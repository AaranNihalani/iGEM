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autoCompressPictures="0"/>
  <mc:AlternateContent xmlns:mc="http://schemas.openxmlformats.org/markup-compatibility/2006">
    <mc:Choice Requires="x15">
      <x15ac:absPath xmlns:x15ac="http://schemas.microsoft.com/office/spreadsheetml/2010/11/ac" url="E:\02 Ulrich\21 Publications\1508_MegaPICS\02_Trial-2_Matrix\21_ReSub\21_Files-for-Upload\03_Supplement\"/>
    </mc:Choice>
  </mc:AlternateContent>
  <bookViews>
    <workbookView xWindow="0" yWindow="0" windowWidth="28800" windowHeight="13020"/>
  </bookViews>
  <sheets>
    <sheet name="Supplementary Table 2" sheetId="18" r:id="rId1"/>
    <sheet name="MMP1-G" sheetId="2" r:id="rId2"/>
    <sheet name="MMP2-G" sheetId="10" r:id="rId3"/>
    <sheet name="MMP3-G" sheetId="11" r:id="rId4"/>
    <sheet name="MMP7-G" sheetId="12" r:id="rId5"/>
    <sheet name="MMP8-G" sheetId="13" r:id="rId6"/>
    <sheet name="MMP9-G" sheetId="14" r:id="rId7"/>
    <sheet name="MMP12-G" sheetId="15" r:id="rId8"/>
    <sheet name="MMP13-G" sheetId="16" r:id="rId9"/>
    <sheet name="MMP14-G" sheetId="17" r:id="rId10"/>
  </sheets>
  <definedNames>
    <definedName name="_xlnm.Print_Area" localSheetId="0">'Supplementary Table 2'!$A$1:$K$52</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O19" i="15" l="1"/>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18" i="15"/>
  <c r="O3" i="12"/>
  <c r="K7" i="18" l="1"/>
  <c r="K8" i="18"/>
  <c r="V3" i="17"/>
  <c r="U3" i="17"/>
  <c r="T3" i="17"/>
  <c r="S3" i="17"/>
  <c r="R3" i="17"/>
  <c r="Q3" i="17"/>
  <c r="P3" i="17"/>
  <c r="O3" i="17"/>
  <c r="N3" i="17"/>
  <c r="M3" i="17"/>
  <c r="L3" i="17"/>
  <c r="K3" i="17"/>
  <c r="J3" i="17"/>
  <c r="I3" i="17"/>
  <c r="H3" i="17"/>
  <c r="G3" i="17"/>
  <c r="F3" i="17"/>
  <c r="E3" i="17"/>
  <c r="D3" i="17"/>
  <c r="C3" i="17"/>
  <c r="B3" i="17"/>
  <c r="A3" i="17"/>
  <c r="V3" i="16"/>
  <c r="U3" i="16"/>
  <c r="T3" i="16"/>
  <c r="S3" i="16"/>
  <c r="R3" i="16"/>
  <c r="Q3" i="16"/>
  <c r="P3" i="16"/>
  <c r="O3" i="16"/>
  <c r="N3" i="16"/>
  <c r="M3" i="16"/>
  <c r="L3" i="16"/>
  <c r="K3" i="16"/>
  <c r="J3" i="16"/>
  <c r="I3" i="16"/>
  <c r="H3" i="16"/>
  <c r="G3" i="16"/>
  <c r="F3" i="16"/>
  <c r="E3" i="16"/>
  <c r="D3" i="16"/>
  <c r="C3" i="16"/>
  <c r="B3" i="16"/>
  <c r="A3" i="16"/>
  <c r="V3" i="15"/>
  <c r="U3" i="15"/>
  <c r="T3" i="15"/>
  <c r="S3" i="15"/>
  <c r="R3" i="15"/>
  <c r="Q3" i="15"/>
  <c r="P3" i="15"/>
  <c r="O3" i="15"/>
  <c r="N3" i="15"/>
  <c r="M3" i="15"/>
  <c r="L3" i="15"/>
  <c r="K3" i="15"/>
  <c r="J3" i="15"/>
  <c r="I3" i="15"/>
  <c r="H3" i="15"/>
  <c r="G3" i="15"/>
  <c r="F3" i="15"/>
  <c r="E3" i="15"/>
  <c r="D3" i="15"/>
  <c r="C3" i="15"/>
  <c r="B3" i="15"/>
  <c r="A3" i="15"/>
  <c r="V3" i="14"/>
  <c r="U3" i="14"/>
  <c r="T3" i="14"/>
  <c r="S3" i="14"/>
  <c r="R3" i="14"/>
  <c r="Q3" i="14"/>
  <c r="P3" i="14"/>
  <c r="O3" i="14"/>
  <c r="N3" i="14"/>
  <c r="M3" i="14"/>
  <c r="L3" i="14"/>
  <c r="K3" i="14"/>
  <c r="J3" i="14"/>
  <c r="I3" i="14"/>
  <c r="H3" i="14"/>
  <c r="G3" i="14"/>
  <c r="F3" i="14"/>
  <c r="E3" i="14"/>
  <c r="D3" i="14"/>
  <c r="C3" i="14"/>
  <c r="B3" i="14"/>
  <c r="A3" i="14"/>
  <c r="V3" i="13"/>
  <c r="U3" i="13"/>
  <c r="T3" i="13"/>
  <c r="S3" i="13"/>
  <c r="R3" i="13"/>
  <c r="Q3" i="13"/>
  <c r="P3" i="13"/>
  <c r="O3" i="13"/>
  <c r="N3" i="13"/>
  <c r="M3" i="13"/>
  <c r="L3" i="13"/>
  <c r="K3" i="13"/>
  <c r="J3" i="13"/>
  <c r="I3" i="13"/>
  <c r="H3" i="13"/>
  <c r="G3" i="13"/>
  <c r="F3" i="13"/>
  <c r="E3" i="13"/>
  <c r="D3" i="13"/>
  <c r="C3" i="13"/>
  <c r="B3" i="13"/>
  <c r="A3" i="13"/>
  <c r="V3" i="12"/>
  <c r="U3" i="12"/>
  <c r="T3" i="12"/>
  <c r="S3" i="12"/>
  <c r="R3" i="12"/>
  <c r="Q3" i="12"/>
  <c r="P3" i="12"/>
  <c r="N3" i="12"/>
  <c r="M3" i="12"/>
  <c r="L3" i="12"/>
  <c r="K3" i="12"/>
  <c r="J3" i="12"/>
  <c r="I3" i="12"/>
  <c r="H3" i="12"/>
  <c r="G3" i="12"/>
  <c r="F3" i="12"/>
  <c r="E3" i="12"/>
  <c r="D3" i="12"/>
  <c r="C3" i="12"/>
  <c r="B3" i="12"/>
  <c r="A3" i="12"/>
  <c r="V3" i="11"/>
  <c r="U3" i="11"/>
  <c r="T3" i="11"/>
  <c r="S3" i="11"/>
  <c r="R3" i="11"/>
  <c r="Q3" i="11"/>
  <c r="P3" i="11"/>
  <c r="O3" i="11"/>
  <c r="N3" i="11"/>
  <c r="M3" i="11"/>
  <c r="L3" i="11"/>
  <c r="K3" i="11"/>
  <c r="J3" i="11"/>
  <c r="I3" i="11"/>
  <c r="H3" i="11"/>
  <c r="G3" i="11"/>
  <c r="F3" i="11"/>
  <c r="E3" i="11"/>
  <c r="D3" i="11"/>
  <c r="C3" i="11"/>
  <c r="B3" i="11"/>
  <c r="A3" i="11"/>
  <c r="B3" i="10"/>
  <c r="C3" i="10"/>
  <c r="D3" i="10"/>
  <c r="E3" i="10"/>
  <c r="F3" i="10"/>
  <c r="G3" i="10"/>
  <c r="H3" i="10"/>
  <c r="I3" i="10"/>
  <c r="J3" i="10"/>
  <c r="K3" i="10"/>
  <c r="L3" i="10"/>
  <c r="M3" i="10"/>
  <c r="N3" i="10"/>
  <c r="O3" i="10"/>
  <c r="P3" i="10"/>
  <c r="Q3" i="10"/>
  <c r="R3" i="10"/>
  <c r="S3" i="10"/>
  <c r="T3" i="10"/>
  <c r="U3" i="10"/>
  <c r="V3" i="10"/>
  <c r="A3" i="10"/>
</calcChain>
</file>

<file path=xl/sharedStrings.xml><?xml version="1.0" encoding="utf-8"?>
<sst xmlns="http://schemas.openxmlformats.org/spreadsheetml/2006/main" count="12794" uniqueCount="5407">
  <si>
    <t>probability</t>
  </si>
  <si>
    <t>spectrum</t>
  </si>
  <si>
    <t>peptide</t>
  </si>
  <si>
    <t>protein</t>
  </si>
  <si>
    <t>index</t>
  </si>
  <si>
    <t>pI</t>
  </si>
  <si>
    <t>ppm</t>
  </si>
  <si>
    <t>hyperscore</t>
  </si>
  <si>
    <t>nextscore</t>
  </si>
  <si>
    <t>bscore</t>
  </si>
  <si>
    <t>yscore</t>
  </si>
  <si>
    <t>expect</t>
  </si>
  <si>
    <t>ions</t>
  </si>
  <si>
    <t>fval</t>
  </si>
  <si>
    <t>MegaP_hMMP1_GluC_GB_QStar-XL_20110627.01934.01934.3</t>
  </si>
  <si>
    <t>13/48</t>
  </si>
  <si>
    <t>D.n[29.04]YTK[156.13]HPAK[156.13]PDPSGE.C</t>
  </si>
  <si>
    <t>sp|Q16576|RBBP7_HUMAN,sp|Q16576-2|RBBP7_HUMAN</t>
  </si>
  <si>
    <t>Histone-binding protein RBBP7 OS=Homo sapiens GN=RBBP7 PE=1 SV=1</t>
  </si>
  <si>
    <t>MegaP_hMMP1_GluC_GB_QStar-XL_20110627.01939.01939.3</t>
  </si>
  <si>
    <t>14/48</t>
  </si>
  <si>
    <t>D.n[29.04]YTK[156.13]HPSK[156.13]PDPSGE.C</t>
  </si>
  <si>
    <t>sp|Q09028|RBBP4_HUMAN,sp|Q09028-2|RBBP4_HUMAN,sp|Q09028-3|RBBP4_HUMAN,sp|Q09028-4|RBBP4_HUMAN</t>
  </si>
  <si>
    <t>Histone-binding protein RBBP4 OS=Homo sapiens GN=RBBP4 PE=1 SV=3</t>
  </si>
  <si>
    <t>MegaP_hMMP1_GluC_GB_QStar-XL_20110627.02126.02126.3</t>
  </si>
  <si>
    <t>14/36</t>
  </si>
  <si>
    <t>D.n[89.01]MK[156.13]THK[156.13]NPALK[156.13].A</t>
  </si>
  <si>
    <t>sp|Q01518|CAP1_HUMAN,sp|Q01518-2|CAP1_HUMAN</t>
  </si>
  <si>
    <t>Adenylyl cyclase-associated protein 1 OS=Homo sapiens GN=CAP1 PE=1 SV=5</t>
  </si>
  <si>
    <t>MegaP_hMMP1_GluC_GB_QStar-XL_20110627.02132.02132.3</t>
  </si>
  <si>
    <t>11/36</t>
  </si>
  <si>
    <t>M.n[29.04]APK[156.13]PGPYVK[156.13]E.M</t>
  </si>
  <si>
    <t>MegaP_hMMP1_GluC_GB_QStar-XL_20110627.02135.02135.2</t>
  </si>
  <si>
    <t>14/14</t>
  </si>
  <si>
    <t>N.n[89.01]TAAQK[156.13]VSH.L</t>
  </si>
  <si>
    <t>sp|P35579|MYH9_HUMAN</t>
  </si>
  <si>
    <t>Myosin-9 OS=Homo sapiens GN=MYH9 PE=1 SV=4</t>
  </si>
  <si>
    <t>MegaP_hMMP1_GluC_GB_QStar-XL_20110627.02154.02154.3</t>
  </si>
  <si>
    <t>14/44</t>
  </si>
  <si>
    <t>D.n[89.01]MK[156.13]THK[156.13]NPALK[156.13]AQ.S</t>
  </si>
  <si>
    <t>MegaP_hMMP1_GluC_GB_QStar-XL_20110627.02219.02219.3</t>
  </si>
  <si>
    <t>15/56</t>
  </si>
  <si>
    <t>E.n[29.04]HSVNYK[156.13]PPAQK[156.13]SIQE.L</t>
  </si>
  <si>
    <t>sp|P52565|GDIR1_HUMAN,sp|P52565-2|GDIR1_HUMAN</t>
  </si>
  <si>
    <t>Rho GDP-dissociation inhibitor 1 OS=Homo sapiens GN=ARHGDIA PE=1 SV=3</t>
  </si>
  <si>
    <t>MegaP_hMMP1_GluC_GB_QStar-XL_20110627.02247.02247.3</t>
  </si>
  <si>
    <t>12/48</t>
  </si>
  <si>
    <t>E.n[29.04]GVHGGLINK[156.13]K[156.13]C[160.03]YE.M</t>
  </si>
  <si>
    <t>sp|P07737|PROF1_HUMAN</t>
  </si>
  <si>
    <t>Profilin-1 OS=Homo sapiens GN=PFN1 PE=1 SV=2</t>
  </si>
  <si>
    <t>MegaP_hMMP1_GluC_GB_QStar-XL_20110627.02287.02287.2</t>
  </si>
  <si>
    <t>17/18</t>
  </si>
  <si>
    <t>F.n[89.01]INTSK[156.13]GQK[156.13]C[160.03]E.F</t>
  </si>
  <si>
    <t>sp|P10809|CH60_HUMAN</t>
  </si>
  <si>
    <t>60 kDa heat shock protein, mitochondrial OS=Homo sapiens GN=HSPD1 PE=1 SV=2</t>
  </si>
  <si>
    <t>MegaP_hMMP1_GluC_GB_QStar-XL_20110627.02288.02288.3</t>
  </si>
  <si>
    <t>19/48</t>
  </si>
  <si>
    <t>E.n[29.04]RHYGGLTGLNK[156.13]AE.T</t>
  </si>
  <si>
    <t>sp|P18669|PGAM1_HUMAN,sp|P15259|PGAM2_HUMAN,sp|Q8N0Y7|PGAM4_HUMAN</t>
  </si>
  <si>
    <t>Phosphoglycerate mutase 1 OS=Homo sapiens GN=PGAM1 PE=1 SV=2</t>
  </si>
  <si>
    <t>MegaP_hMMP1_GluC_GB_QStar-XL_20110627.02346.02346.3</t>
  </si>
  <si>
    <t>16/56</t>
  </si>
  <si>
    <t>G.n[29.04]QSGAGNNWAK[156.13]GHYTE.G</t>
  </si>
  <si>
    <t>sp|P07437|TBB5_HUMAN,sp|Q13885|TBB2A_HUMAN,sp|Q9BVA1|TBB2B_HUMAN,sp|Q13509|TBB3_HUMAN,sp|P04350|TBB4A_HUMAN,sp|P68371|TBB4B_HUMAN</t>
  </si>
  <si>
    <t>Tubulin beta chain OS=Homo sapiens GN=TUBB PE=1 SV=2</t>
  </si>
  <si>
    <t>MegaP_hMMP1_GluC_GB_QStar-XL_20110627.02380.02380.3</t>
  </si>
  <si>
    <t>H.n[29.04]K[156.13]NPALK[156.13]AQSGPVR.S</t>
  </si>
  <si>
    <t>sp|Q01518|CAP1_HUMAN</t>
  </si>
  <si>
    <t>MegaP_hMMP1_GluC_GB_QStar-XL_20110627.02382.02382.2</t>
  </si>
  <si>
    <t>13/16</t>
  </si>
  <si>
    <t>R.n[89.01]K[156.13]GNYAERVG.A</t>
  </si>
  <si>
    <t>sp|Q93077|H2A1C_HUMAN</t>
  </si>
  <si>
    <t>Histone H2A type 1-C OS=Homo sapiens GN=HIST1H2AC PE=1 SV=3</t>
  </si>
  <si>
    <t>MegaP_hMMP1_GluC_GB_QStar-XL_20110627.02407.02407.3</t>
  </si>
  <si>
    <t>S.n[29.04]QIVM[147.04]LEASAE.N</t>
  </si>
  <si>
    <t>sp|Q8TCS8|PNPT1_HUMAN</t>
  </si>
  <si>
    <t>Polyribonucleotide nucleotidyltransferase 1, mitochondrial OS=Homo sapiens GN=PNPT1 PE=1 SV=2</t>
  </si>
  <si>
    <t>MegaP_hMMP1_GluC_GB_QStar-XL_20110627.02546.02546.2</t>
  </si>
  <si>
    <t>13/18</t>
  </si>
  <si>
    <t>E.n[29.04]GYGPPPPHYE.G</t>
  </si>
  <si>
    <t>sp|P14866|HNRPL_HUMAN,sp|P14866-2|HNRPL_HUMAN</t>
  </si>
  <si>
    <t>Heterogeneous nuclear ribonucleoprotein L OS=Homo sapiens GN=HNRNPL PE=1 SV=2</t>
  </si>
  <si>
    <t>MegaP_hMMP1_GluC_GB_QStar-XL_20110627.02608.02608.2</t>
  </si>
  <si>
    <t>10/12</t>
  </si>
  <si>
    <t>E.n[29.04]AAIYHLQ.L</t>
  </si>
  <si>
    <t>sp|P14618|KPYM_HUMAN,sp|P14618-3|KPYM_HUMAN</t>
  </si>
  <si>
    <t>Pyruvate kinase PKM OS=Homo sapiens GN=PKM PE=1 SV=4</t>
  </si>
  <si>
    <t>MegaP_hMMP1_GluC_GB_QStar-XL_20110627.02658.02658.2</t>
  </si>
  <si>
    <t>19/20</t>
  </si>
  <si>
    <t>N.n[89.01]VSAVDK[156.13]STGK[156.13]E.N</t>
  </si>
  <si>
    <t>sp|P11142|HSP7C_HUMAN</t>
  </si>
  <si>
    <t>Heat shock cognate 71 kDa protein OS=Homo sapiens GN=HSPA8 PE=1 SV=1</t>
  </si>
  <si>
    <t>MegaP_hMMP1_GluC_GB_QStar-XL_20110627.02695.02695.2</t>
  </si>
  <si>
    <t>16/20</t>
  </si>
  <si>
    <t>MegaP_hMMP1_GluC_GB_QStar-XL_20110627.02702.02702.2</t>
  </si>
  <si>
    <t>10/20</t>
  </si>
  <si>
    <t>H.n[89.01]VVDATHGDPHA.L</t>
  </si>
  <si>
    <t>CON_P0C1U8|P0C1U8</t>
  </si>
  <si>
    <t>Endoproteinase_Glu-C (V8 -Glutamyl endopeptidase) - Staphylococcus aureus.</t>
  </si>
  <si>
    <t>MegaP_hMMP1_GluC_GB_QStar-XL_20110627.02723.02723.3</t>
  </si>
  <si>
    <t>15/40</t>
  </si>
  <si>
    <t>N.n[89.01]YK[156.13]GK[156.13]NVLINK[156.13]D.L</t>
  </si>
  <si>
    <t>sp|P27797|CALR_HUMAN</t>
  </si>
  <si>
    <t>Calreticulin OS=Homo sapiens GN=CALR PE=1 SV=1</t>
  </si>
  <si>
    <t>MegaP_hMMP1_GluC_GB_QStar-XL_20110627.02766.02766.2</t>
  </si>
  <si>
    <t>15/26</t>
  </si>
  <si>
    <t>F.n[89.01]MC[160.03]QGGDFTRHNGTG.D</t>
  </si>
  <si>
    <t>sp|Q9Y536|PAL4A_HUMAN</t>
  </si>
  <si>
    <t>Peptidyl-prolyl cis-trans isomerase A-like 4A\B\C OS=Homo sapiens GN=PPIAL4A PE=2 SV=1</t>
  </si>
  <si>
    <t>MegaP_hMMP1_GluC_GB_QStar-XL_20110627.02812.02812.2</t>
  </si>
  <si>
    <t>17/22</t>
  </si>
  <si>
    <t>G.n[89.01]LAGK[156.13]DPVQC[160.03]SRD.V</t>
  </si>
  <si>
    <t>sp|Q99497|PARK7_HUMAN</t>
  </si>
  <si>
    <t>Protein DJ-1 OS=Homo sapiens GN=PARK7 PE=1 SV=2</t>
  </si>
  <si>
    <t>MegaP_hMMP1_GluC_GB_QStar-XL_20110627.02814.02814.2</t>
  </si>
  <si>
    <t>15/24</t>
  </si>
  <si>
    <t>N.n[89.01]VINGGSHAGNK[156.13]LA.M</t>
  </si>
  <si>
    <t>sp|P06733|ENOA_HUMAN</t>
  </si>
  <si>
    <t>Alpha-enolase OS=Homo sapiens GN=ENO1 PE=1 SV=2</t>
  </si>
  <si>
    <t>MegaP_hMMP1_GluC_GB_QStar-XL_20110627.02823.02823.3</t>
  </si>
  <si>
    <t>20/56</t>
  </si>
  <si>
    <t>H.n[89.01]LK[156.13]K[156.13]QAGPASVPLRTE.E</t>
  </si>
  <si>
    <t>sp|P30101|PDIA3_HUMAN</t>
  </si>
  <si>
    <t>Protein disulfide-isomerase A3 OS=Homo sapiens GN=PDIA3 PE=1 SV=4</t>
  </si>
  <si>
    <t>MegaP_hMMP1_GluC_GB_QStar-XL_20110627.02847.02847.3</t>
  </si>
  <si>
    <t>19/60</t>
  </si>
  <si>
    <t>H.n[89.01]LK[156.13]K[156.13]QAGPASVPLRTEE.E</t>
  </si>
  <si>
    <t>MegaP_hMMP1_GluC_GB_QStar-XL_20110627.02848.02848.3</t>
  </si>
  <si>
    <t>12/40</t>
  </si>
  <si>
    <t>P.n[89.01]QK[156.13]AGGFLMK[156.13]K[156.13]E.L</t>
  </si>
  <si>
    <t>sp|P00558|PGK1_HUMAN</t>
  </si>
  <si>
    <t>Phosphoglycerate kinase 1 OS=Homo sapiens GN=PGK1 PE=1 SV=3</t>
  </si>
  <si>
    <t>MegaP_hMMP1_GluC_GB_QStar-XL_20110627.02854.02854.3</t>
  </si>
  <si>
    <t>18/64</t>
  </si>
  <si>
    <t>H.n[89.01]LK[156.13]K[156.13]QAGPASVPLRTEEE.F</t>
  </si>
  <si>
    <t>MegaP_hMMP1_GluC_GB_QStar-XL_20110627.02882.02882.3</t>
  </si>
  <si>
    <t>7/32</t>
  </si>
  <si>
    <t>E.n[29.04]APIK[156.13]K[156.13]K[156.13]RPP.V</t>
  </si>
  <si>
    <t>sp|Q8IVN3|MSTN1_HUMAN</t>
  </si>
  <si>
    <t>Musculoskeletal embryonic nuclear protein 1 OS=Homo sapiens GN=MUSTN1 PE=2 SV=2</t>
  </si>
  <si>
    <t>MegaP_hMMP1_GluC_GB_QStar-XL_20110627.02920.02920.2</t>
  </si>
  <si>
    <t>15/20</t>
  </si>
  <si>
    <t>D.n[29.04]SYLVLHNGPEE.V</t>
  </si>
  <si>
    <t>sp|P40121|CAPG_HUMAN,sp|P40121-2|CAPG_HUMAN</t>
  </si>
  <si>
    <t>Macrophage-capping protein OS=Homo sapiens GN=CAPG PE=1 SV=2</t>
  </si>
  <si>
    <t>MegaP_hMMP1_GluC_GB_QStar-XL_20110627.02935.02935.2</t>
  </si>
  <si>
    <t>13/20</t>
  </si>
  <si>
    <t>L.n[89.01]AWSK[156.13]TGPVAK[156.13]E.L</t>
  </si>
  <si>
    <t>MegaP_hMMP1_GluC_GB_QStar-XL_20110627.02967.02967.3</t>
  </si>
  <si>
    <t>14/40</t>
  </si>
  <si>
    <t>E.n[29.04]ALAAHK[156.13]YLLVE.F</t>
  </si>
  <si>
    <t>sp|P07237|PDIA1_HUMAN</t>
  </si>
  <si>
    <t>Protein disulfide-isomerase OS=Homo sapiens GN=P4HB PE=1 SV=3</t>
  </si>
  <si>
    <t>MegaP_hMMP1_GluC_GB_QStar-XL_20110627.02970.02970.2</t>
  </si>
  <si>
    <t>12/16</t>
  </si>
  <si>
    <t>E.n[29.04]SLFVSNHAY.-</t>
  </si>
  <si>
    <t>sp|P04075|ALDOA_HUMAN,sp|P04075-2|ALDOA_HUMAN</t>
  </si>
  <si>
    <t>Fructose-bisphosphate aldolase A OS=Homo sapiens GN=ALDOA PE=1 SV=2</t>
  </si>
  <si>
    <t>MegaP_hMMP1_GluC_GB_QStar-XL_20110627.02978.02978.3</t>
  </si>
  <si>
    <t>N.n[89.01]VRNGYGFINRNDTK[156.13]E.D</t>
  </si>
  <si>
    <t>sp|P67809|YBOX1_HUMAN,sp|Q9Y2T7|YBOX2_HUMAN,sp|P16989|YBOX3_HUMAN,sp|P16989-2|YBOX3_HUMAN,sp|P16989-3|YBOX3_HUMAN</t>
  </si>
  <si>
    <t>Nuclease-sensitive element-binding protein 1 OS=Homo sapiens GN=YBX1 PE=1 SV=3</t>
  </si>
  <si>
    <t>MegaP_hMMP1_GluC_GB_QStar-XL_20110627.02983.02983.3</t>
  </si>
  <si>
    <t>14/52</t>
  </si>
  <si>
    <t>N.n[89.01]NK[156.13]GPVK[156.13]VVVGK[156.13]TFD.S</t>
  </si>
  <si>
    <t>sp|P13667|PDIA4_HUMAN</t>
  </si>
  <si>
    <t>Protein disulfide-isomerase A4 OS=Homo sapiens GN=PDIA4 PE=1 SV=2</t>
  </si>
  <si>
    <t>MegaP_hMMP1_GluC_GB_QStar-XL_20110627.02990.02990.3</t>
  </si>
  <si>
    <t>15/68</t>
  </si>
  <si>
    <t>E.n[29.04]HGIDPTGTYHGDSDLQLD.R</t>
  </si>
  <si>
    <t>sp|P07437|TBB5_HUMAN</t>
  </si>
  <si>
    <t>MegaP_hMMP1_GluC_GB_QStar-XL_20110627.03026.03026.3</t>
  </si>
  <si>
    <t>V.n[89.01]IK[156.13]SK[156.13]GGVVGIK[156.13]VD.K</t>
  </si>
  <si>
    <t>MegaP_hMMP1_GluC_GB_QStar-XL_20110627.03074.03074.2</t>
  </si>
  <si>
    <t>14/30</t>
  </si>
  <si>
    <t>N.n[89.01]VINGGSHAGNK[156.13]LAMQE.F</t>
  </si>
  <si>
    <t>sp|P06733|ENOA_HUMAN,sp|P06733-2|ENOA_HUMAN,sp|P13929|ENOB_HUMAN,sp|P13929-3|ENOB_HUMAN,sp|P09104|ENOG_HUMAN</t>
  </si>
  <si>
    <t>MegaP_hMMP1_GluC_GB_QStar-XL_20110627.03079.03079.2</t>
  </si>
  <si>
    <t>13/24</t>
  </si>
  <si>
    <t>C.n[89.01]LTASK[156.13]SAPSIPK[156.13]E.N</t>
  </si>
  <si>
    <t>sp|P40925|MDHC_HUMAN,sp|P40925-2|MDHC_HUMAN,sp|P40925-3|MDHC_HUMAN</t>
  </si>
  <si>
    <t>Malate dehydrogenase, cytoplasmic OS=Homo sapiens GN=MDH1 PE=1 SV=4</t>
  </si>
  <si>
    <t>MegaP_hMMP1_GluC_GB_QStar-XL_20110627.03092.03092.2</t>
  </si>
  <si>
    <t>11/18</t>
  </si>
  <si>
    <t>N.n[89.01]MDVPNIK[156.13]RND.F</t>
  </si>
  <si>
    <t>sp|P63241|IF5A1_HUMAN,sp|P63241-2|IF5A1_HUMAN,sp|Q9GZV4|IF5A2_HUMAN,sp|Q6IS14|IF5AL_HUMAN</t>
  </si>
  <si>
    <t>Eukaryotic translation initiation factor 5A-1 OS=Homo sapiens GN=EIF5A PE=1 SV=2</t>
  </si>
  <si>
    <t>MegaP_hMMP1_GluC_GB_QStar-XL_20110627.03114.03114.2</t>
  </si>
  <si>
    <t>18/22</t>
  </si>
  <si>
    <t>A.n[89.01]LIQQATTVK[156.13]NK[156.13]D.L</t>
  </si>
  <si>
    <t>sp|P32969|RL9_HUMAN</t>
  </si>
  <si>
    <t>60S ribosomal protein L9 OS=Homo sapiens GN=RPL9 PE=1 SV=1</t>
  </si>
  <si>
    <t>MegaP_hMMP1_GluC_GB_QStar-XL_20110627.03130.03130.2</t>
  </si>
  <si>
    <t>21/26</t>
  </si>
  <si>
    <t>S.n[89.01]LVSK[156.13]GTLVQTK[156.13]GTG.A</t>
  </si>
  <si>
    <t>sp|P16401|H15_HUMAN</t>
  </si>
  <si>
    <t>Histone H1.5 OS=Homo sapiens GN=HIST1H1B PE=1 SV=3</t>
  </si>
  <si>
    <t>MegaP_hMMP1_GluC_GB_QStar-XL_20110627.03131.03131.3</t>
  </si>
  <si>
    <t>E.n[29.04]FYAPWC[160.03]GHC[160.03]K[156.13]NLE.P</t>
  </si>
  <si>
    <t>sp|P30101|PDIA3_HUMAN,sp|Q15084|PDIA6_HUMAN,sp|Q15084-2|PDIA6_HUMAN</t>
  </si>
  <si>
    <t>MegaP_hMMP1_GluC_GB_QStar-XL_20110627.03160.03160.2</t>
  </si>
  <si>
    <t>15/18</t>
  </si>
  <si>
    <t>L.n[89.01]QAVLLPK[156.13]K[156.13]TE.S</t>
  </si>
  <si>
    <t>sp|Q96QV6|H2A1A_HUMAN,sp|P04908|H2A1B_HUMAN,sp|Q93077|H2A1C_HUMAN,sp|P20671|H2A1D_HUMAN,sp|Q96KK5|H2A1H_HUMAN,sp|Q99878|H2A1J_HUMAN,sp|P0C0S8|H2A1_HUMAN,sp|Q6FI13|H2A2A_HUMAN,sp|Q8IUE6|H2A2B_HUMAN,sp|Q16777|H2A2C_HUMAN,sp|Q7L7L0|H2A3_HUMAN,sp|Q9BTM1|H2AJ_HUMAN</t>
  </si>
  <si>
    <t>Histone H2A type 1-A OS=Homo sapiens GN=HIST1H2AA PE=1 SV=3</t>
  </si>
  <si>
    <t>MegaP_hMMP1_GluC_GB_QStar-XL_20110627.03183.03183.3</t>
  </si>
  <si>
    <t>13/56</t>
  </si>
  <si>
    <t>A.n[89.01]IVK[156.13]FSPNEQNK[156.13]HIGE.V</t>
  </si>
  <si>
    <t>MegaP_hMMP1_GluC_GB_QStar-XL_20110627.03191.03191.4</t>
  </si>
  <si>
    <t>15/120</t>
  </si>
  <si>
    <t>A.n[89.01]MK[156.13]TK[156.13]EPVK[156.13]K[156.13]IFVGGLSPDTPE.E</t>
  </si>
  <si>
    <t>sp|Q14103|HNRPD_HUMAN,sp|Q14103-2|HNRPD_HUMAN,sp|Q14103-3|HNRPD_HUMAN,sp|Q14103-4|HNRPD_HUMAN</t>
  </si>
  <si>
    <t>Heterogeneous nuclear ribonucleoprotein D0 OS=Homo sapiens GN=HNRNPD PE=1 SV=1</t>
  </si>
  <si>
    <t>MegaP_hMMP1_GluC_GB_QStar-XL_20110627.03208.03208.2</t>
  </si>
  <si>
    <t>17/20</t>
  </si>
  <si>
    <t>S.n[89.01]C[160.03]VGVFQHGK[156.13]VE.L</t>
  </si>
  <si>
    <t>sp|P11142|HSP7C_HUMAN,sp|P34931|HS71L_HUMAN,sp|P08107|HSP71_HUMAN,sp|P08107-2|HSP71_HUMAN,sp|P54652|HSP72_HUMAN,sp|P11142-2|HSP7C_HUMAN</t>
  </si>
  <si>
    <t>MegaP_hMMP1_GluC_GB_QStar-XL_20110627.03227.03227.3</t>
  </si>
  <si>
    <t>P.n[89.01]QVIK[156.13]SK[156.13]GGVVGIK[156.13]VD.K</t>
  </si>
  <si>
    <t>MegaP_hMMP1_GluC_GB_QStar-XL_20110627.03244.03244.2</t>
  </si>
  <si>
    <t>18/20</t>
  </si>
  <si>
    <t>S.n[89.01]C[160.03]VGVFK[156.13]NGRVE.L</t>
  </si>
  <si>
    <t>sp|P11021|GRP78_HUMAN</t>
  </si>
  <si>
    <t>78 kDa glucose-regulated protein OS=Homo sapiens GN=HSPA5 PE=1 SV=2</t>
  </si>
  <si>
    <t>MegaP_hMMP1_GluC_GB_QStar-XL_20110627.03250.03250.2</t>
  </si>
  <si>
    <t>E.n[29.04]TLGFLNHYQ.M</t>
  </si>
  <si>
    <t>MegaP_hMMP1_GluC_GB_QStar-XL_20110627.03291.03291.2</t>
  </si>
  <si>
    <t>8/14</t>
  </si>
  <si>
    <t>E.n[29.04]FYAPWC[160.03]GH.C</t>
  </si>
  <si>
    <t>sp|P30101|PDIA3_HUMAN,sp|P07237|PDIA1_HUMAN,sp|Q13087|PDIA2_HUMAN,sp|Q13087-2|PDIA2_HUMAN,sp|P13667|PDIA4_HUMAN,sp|Q15084|PDIA6_HUMAN,sp|Q15084-2|PDIA6_HUMAN,sp|Q96JJ7|TMX3_HUMAN,sp|Q96JJ7-2|TMX3_HUMAN</t>
  </si>
  <si>
    <t>MegaP_hMMP1_GluC_GB_QStar-XL_20110627.03322.03322.4</t>
  </si>
  <si>
    <t>16/144</t>
  </si>
  <si>
    <t>V.n[89.01]IK[156.13]SK[156.13]GGVVGIK[156.13]VDK[156.13]GVVPLAGTNGE.T</t>
  </si>
  <si>
    <t>MegaP_hMMP1_GluC_GB_QStar-XL_20110627.03351.03351.2</t>
  </si>
  <si>
    <t>R.n[89.01]K[156.13]LNFNGEGEPE.E</t>
  </si>
  <si>
    <t>sp|P00918|CAH2_HUMAN</t>
  </si>
  <si>
    <t>Carbonic anhydrase 2 OS=Homo sapiens GN=CA2 PE=1 SV=2</t>
  </si>
  <si>
    <t>MegaP_hMMP1_GluC_GB_QStar-XL_20110627.03374.03374.3</t>
  </si>
  <si>
    <t>S.n[89.01]YVVVMPK[156.13]K[156.13]RQALVE.F</t>
  </si>
  <si>
    <t>sp|P14866|HNRPL_HUMAN</t>
  </si>
  <si>
    <t>MegaP_hMMP1_GluC_GB_QStar-XL_20110627.03416.03416.2</t>
  </si>
  <si>
    <t>A.n[89.01]C[160.03]TILLRGASK[156.13]E.L</t>
  </si>
  <si>
    <t>sp|P49368|TCPG_HUMAN</t>
  </si>
  <si>
    <t>T-complex protein 1 subunit gamma OS=Homo sapiens GN=CCT3 PE=1 SV=4</t>
  </si>
  <si>
    <t>MegaP_hMMP1_GluC_GB_QStar-XL_20110627.03426.03426.3</t>
  </si>
  <si>
    <t>15/44</t>
  </si>
  <si>
    <t>N.n[89.01]LFNRYPALHK[156.13]PE.N</t>
  </si>
  <si>
    <t>sp|P13796|PLSL_HUMAN</t>
  </si>
  <si>
    <t>Plastin-2 OS=Homo sapiens GN=LCP1 PE=1 SV=6</t>
  </si>
  <si>
    <t>MegaP_hMMP1_GluC_GB_QStar-XL_20110627.03431.03431.2</t>
  </si>
  <si>
    <t>10/16</t>
  </si>
  <si>
    <t>P.n[29.04]GPGPALPAH.S</t>
  </si>
  <si>
    <t>sp|P20823|HNF1A_HUMAN</t>
  </si>
  <si>
    <t>Hepatocyte nuclear factor 1-alpha OS=Homo sapiens GN=HNF1A PE=1 SV=2</t>
  </si>
  <si>
    <t>MegaP_hMMP1_GluC_GB_QStar-XL_20110627.03456.03456.3</t>
  </si>
  <si>
    <t>17/56</t>
  </si>
  <si>
    <t>S.n[89.01]LAGGIIGVK[156.13]GAK[156.13]IK[156.13]E.L</t>
  </si>
  <si>
    <t>sp|P61978|HNRPK_HUMAN,sp|P61978-2|HNRPK_HUMAN,sp|P61978-3|HNRPK_HUMAN</t>
  </si>
  <si>
    <t>Heterogeneous nuclear ribonucleoprotein K OS=Homo sapiens GN=HNRNPK PE=1 SV=1</t>
  </si>
  <si>
    <t>MegaP_hMMP1_GluC_GB_QStar-XL_20110627.03466.03466.2</t>
  </si>
  <si>
    <t>11/16</t>
  </si>
  <si>
    <t>MegaP_hMMP1_GluC_GB_QStar-XL_20110627.03467.03467.2</t>
  </si>
  <si>
    <t>9/34</t>
  </si>
  <si>
    <t>D.n[89.01]LSTTGGNSGSPVFNEK[156.13]NE.V</t>
  </si>
  <si>
    <t>MegaP_hMMP1_GluC_GB_QStar-XL_20110627.03476.03476.4</t>
  </si>
  <si>
    <t>14/114</t>
  </si>
  <si>
    <t>N.n[89.01]LGK[156.13]DSNNLC[160.03]LHFNPRFNAHG.D</t>
  </si>
  <si>
    <t>sp|P09382|LEG1_HUMAN</t>
  </si>
  <si>
    <t>Galectin-1 OS=Homo sapiens GN=LGALS1 PE=1 SV=2</t>
  </si>
  <si>
    <t>MegaP_hMMP1_GluC_GB_QStar-XL_20110627.03478.03478.2</t>
  </si>
  <si>
    <t>14/26</t>
  </si>
  <si>
    <t>S.n[89.01]LFDK[156.13]DGDGTITTK[156.13]E.L</t>
  </si>
  <si>
    <t>sp|P62158|CALM_HUMAN</t>
  </si>
  <si>
    <t>Calmodulin OS=Homo sapiens GN=CALM1 PE=1 SV=2</t>
  </si>
  <si>
    <t>MegaP_hMMP1_GluC_GB_QStar-XL_20110627.03480.03480.3</t>
  </si>
  <si>
    <t>16/44</t>
  </si>
  <si>
    <t>MegaP_hMMP1_GluC_GB_QStar-XL_20110627.03502.03502.2</t>
  </si>
  <si>
    <t>MegaP_hMMP1_GluC_GB_QStar-XL_20110627.03514.03514.2</t>
  </si>
  <si>
    <t>16/26</t>
  </si>
  <si>
    <t>MegaP_hMMP1_GluC_GB_QStar-XL_20110627.03530.03530.2</t>
  </si>
  <si>
    <t>14/24</t>
  </si>
  <si>
    <t>F.n[89.01]IVNTNVPRASVPD.G</t>
  </si>
  <si>
    <t>sp|P14174|MIF_HUMAN</t>
  </si>
  <si>
    <t>Macrophage migration inhibitory factor OS=Homo sapiens GN=MIF PE=1 SV=4</t>
  </si>
  <si>
    <t>MegaP_hMMP1_GluC_GB_QStar-XL_20110627.03532.03532.2</t>
  </si>
  <si>
    <t>15/22</t>
  </si>
  <si>
    <t>G.n[89.01]LAWSK[156.13]TGPVAK[156.13]E.L</t>
  </si>
  <si>
    <t>MegaP_hMMP1_GluC_GB_QStar-XL_20110627.03538.03538.2</t>
  </si>
  <si>
    <t>MegaP_hMMP1_GluC_GB_QStar-XL_20110627.03570.03570.3</t>
  </si>
  <si>
    <t>Q.n[89.01]LK[156.13]K[156.13]SADTLWDIQK[156.13]D.L</t>
  </si>
  <si>
    <t>sp|P07195|LDHB_HUMAN</t>
  </si>
  <si>
    <t>L-lactate dehydrogenase B chain OS=Homo sapiens GN=LDHB PE=1 SV=2</t>
  </si>
  <si>
    <t>MegaP_hMMP1_GluC_GB_QStar-XL_20110627.03575.03575.2</t>
  </si>
  <si>
    <t>MegaP_hMMP1_GluC_GB_QStar-XL_20110627.03594.03594.3</t>
  </si>
  <si>
    <t>Y.n[89.01]LK[156.13]MK[156.13]GDYYRYLAE.V</t>
  </si>
  <si>
    <t>sp|Q04917|1433F_HUMAN,sp|P61981|1433G_HUMAN,sp|P31947|1433S_HUMAN,sp|P31947-2|1433S_HUMAN,sp|P63104|1433Z_HUMAN,sp|P63104-2|1433Z_HUMAN</t>
  </si>
  <si>
    <t>14-3-3 protein eta OS=Homo sapiens GN=YWHAH PE=1 SV=4</t>
  </si>
  <si>
    <t>MegaP_hMMP1_GluC_GB_QStar-XL_20110627.03599.03599.2</t>
  </si>
  <si>
    <t>12/14</t>
  </si>
  <si>
    <t>S.n[89.01]MVLTK[156.13]MK[156.13]E.L</t>
  </si>
  <si>
    <t>sp|P11142|HSP7C_HUMAN,sp|P11021|GRP78_HUMAN,sp|P08107|HSP71_HUMAN,sp|P54652|HSP72_HUMAN,sp|P11142-2|HSP7C_HUMAN</t>
  </si>
  <si>
    <t>MegaP_hMMP1_GluC_GB_QStar-XL_20110627.03604.03604.2</t>
  </si>
  <si>
    <t>11/20</t>
  </si>
  <si>
    <t>L.n[89.01]LK[156.13]VNQIGSVTE.S</t>
  </si>
  <si>
    <t>sp|P06733|ENOA_HUMAN,sp|P06733-2|ENOA_HUMAN,sp|P13929|ENOB_HUMAN,sp|P13929-2|ENOB_HUMAN,sp|P13929-3|ENOB_HUMAN,sp|P09104|ENOG_HUMAN</t>
  </si>
  <si>
    <t>MegaP_hMMP1_GluC_GB_QStar-XL_20110627.03610.03610.2</t>
  </si>
  <si>
    <t>10/14</t>
  </si>
  <si>
    <t>D.n[29.04]YAFIHFDE.R</t>
  </si>
  <si>
    <t>sp|O60506|HNRPQ_HUMAN,sp|O60506-2|HNRPQ_HUMAN,sp|O60506-3|HNRPQ_HUMAN,sp|O60506-4|HNRPQ_HUMAN,sp|O60506-5|HNRPQ_HUMAN</t>
  </si>
  <si>
    <t>Heterogeneous nuclear ribonucleoprotein Q OS=Homo sapiens GN=SYNCRIP PE=1 SV=2</t>
  </si>
  <si>
    <t>MegaP_hMMP1_GluC_GB_QStar-XL_20110627.03619.03619.2</t>
  </si>
  <si>
    <t>12/22</t>
  </si>
  <si>
    <t>K.n[89.01]LMSNLDSNRDNE.V</t>
  </si>
  <si>
    <t>sp|P26447|S10A4_HUMAN</t>
  </si>
  <si>
    <t>Protein S100-A4 OS=Homo sapiens GN=S100A4 PE=1 SV=1</t>
  </si>
  <si>
    <t>MegaP_hMMP1_GluC_GB_QStar-XL_20110627.03627.03627.2</t>
  </si>
  <si>
    <t>13/26</t>
  </si>
  <si>
    <t>C.n[89.01]IITC[160.03]DGK[156.13]NLTIK[156.13]TE.S</t>
  </si>
  <si>
    <t>sp|Q01469|FABP5_HUMAN</t>
  </si>
  <si>
    <t>Fatty acid-binding protein, epidermal OS=Homo sapiens GN=FABP5 PE=1 SV=3</t>
  </si>
  <si>
    <t>MegaP_hMMP1_GluC_GB_QStar-XL_20110627.03639.03639.3</t>
  </si>
  <si>
    <t>16/48</t>
  </si>
  <si>
    <t>Y.n[89.01]IK[156.13]ALSK[156.13]DLPK[156.13]AVE.L</t>
  </si>
  <si>
    <t>sp|P31930|QCR1_HUMAN</t>
  </si>
  <si>
    <t>Cytochrome b-c1 complex subunit 1, mitochondrial OS=Homo sapiens GN=UQCRC1 PE=1 SV=3</t>
  </si>
  <si>
    <t>MegaP_hMMP1_GluC_GB_QStar-XL_20110627.03643.03643.2</t>
  </si>
  <si>
    <t>14/18</t>
  </si>
  <si>
    <t>F.n[89.01]LAQLK[156.13]DEC[160.03]PE.V</t>
  </si>
  <si>
    <t>sp|P30153|2AAA_HUMAN</t>
  </si>
  <si>
    <t>Serine\threonine-protein phosphatase 2A 65 kDa regulatory subunit A alpha isoform OS=Homo sapiens GN=PPP2R1A PE=1 SV=4</t>
  </si>
  <si>
    <t>MegaP_hMMP1_GluC_GB_QStar-XL_20110627.03654.03654.2</t>
  </si>
  <si>
    <t>13/22</t>
  </si>
  <si>
    <t>MegaP_hMMP1_GluC_GB_QStar-XL_20110627.03667.03667.3</t>
  </si>
  <si>
    <t>16/52</t>
  </si>
  <si>
    <t>A.n[89.01]TFVK[156.13]MLPDK[156.13]DC[160.03]RYA.L</t>
  </si>
  <si>
    <t>sp|P23528|COF1_HUMAN</t>
  </si>
  <si>
    <t>Cofilin-1 OS=Homo sapiens GN=CFL1 PE=1 SV=3</t>
  </si>
  <si>
    <t>MegaP_hMMP1_GluC_GB_QStar-XL_20110627.03690.03690.2</t>
  </si>
  <si>
    <t>16/16</t>
  </si>
  <si>
    <t>T.n[89.01]LLAK[156.13]NLPYK[156.13].V</t>
  </si>
  <si>
    <t>sp|P19338|NUCL_HUMAN</t>
  </si>
  <si>
    <t>Nucleolin OS=Homo sapiens GN=NCL PE=1 SV=3</t>
  </si>
  <si>
    <t>MegaP_hMMP1_GluC_GB_QStar-XL_20110627.03696.03696.2</t>
  </si>
  <si>
    <t>9/16</t>
  </si>
  <si>
    <t>Y.n[89.01]IAVHVVPDQ.L</t>
  </si>
  <si>
    <t>MegaP_hMMP1_GluC_GB_QStar-XL_20110627.03698.03698.2</t>
  </si>
  <si>
    <t>Y.n[89.01]LLQNSVK[156.13]QYS.G</t>
  </si>
  <si>
    <t>sp|P61978|HNRPK_HUMAN</t>
  </si>
  <si>
    <t>MegaP_hMMP1_GluC_GB_QStar-XL_20110627.03707.03707.3</t>
  </si>
  <si>
    <t>14/56</t>
  </si>
  <si>
    <t>R.n[89.01]IIPRHLQLAIRNDEE.L</t>
  </si>
  <si>
    <t>sp|Q96QV6|H2A1A_HUMAN,sp|P04908|H2A1B_HUMAN,sp|Q93077|H2A1C_HUMAN,sp|P20671|H2A1D_HUMAN,sp|Q96KK5|H2A1H_HUMAN,sp|Q99878|H2A1J_HUMAN,sp|P0C0S8|H2A1_HUMAN,sp|Q6FI13|H2A2A_HUMAN,sp|Q16777|H2A2C_HUMAN,sp|Q7L7L0|H2A3_HUMAN,sp|Q9BTM1|H2AJ_HUMAN,sp|Q9BTM1-2|H2AJ_HUMAN,sp|P16104|H2AX_HUMAN</t>
  </si>
  <si>
    <t>MegaP_hMMP1_GluC_GB_QStar-XL_20110627.03714.03714.3</t>
  </si>
  <si>
    <t>H.n[89.01]LTVK[156.13]K[156.13]IFVGGIK[156.13]E.D</t>
  </si>
  <si>
    <t>sp|Q32P51|RA1L2_HUMAN,sp|P09651|ROA1_HUMAN,sp|P09651-2|ROA1_HUMAN,sp|P09651-3|ROA1_HUMAN,sp|P51991|ROA3_HUMAN,sp|P51991-2|ROA3_HUMAN</t>
  </si>
  <si>
    <t>Heterogeneous nuclear ribonucleoprotein A1-like 2 OS=Homo sapiens GN=HNRNPA1L2 PE=2 SV=2</t>
  </si>
  <si>
    <t>MegaP_hMMP1_GluC_GB_QStar-XL_20110627.03732.03732.2</t>
  </si>
  <si>
    <t>H.n[89.01]LNMK[156.13]LTRAQFE.G</t>
  </si>
  <si>
    <t>sp|P38646|GRP75_HUMAN</t>
  </si>
  <si>
    <t>Stress-70 protein, mitochondrial OS=Homo sapiens GN=HSPA9 PE=1 SV=2</t>
  </si>
  <si>
    <t>MegaP_hMMP1_GluC_GB_QStar-XL_20110627.03743.03743.2</t>
  </si>
  <si>
    <t>10/22</t>
  </si>
  <si>
    <t>S.n[89.01]C[160.03]TTNC[160.03]LAPLAK[156.13]V.L</t>
  </si>
  <si>
    <t>sp|P04406|G3P_HUMAN</t>
  </si>
  <si>
    <t>Glyceraldehyde-3-phosphate dehydrogenase OS=Homo sapiens GN=GAPDH PE=1 SV=3</t>
  </si>
  <si>
    <t>MegaP_hMMP1_GluC_GB_QStar-XL_20110627.03747.03747.2</t>
  </si>
  <si>
    <t>S.n[89.01]VQDPGLHVWRVE.K</t>
  </si>
  <si>
    <t>MegaP_hMMP1_GluC_GB_QStar-XL_20110627.03766.03766.2</t>
  </si>
  <si>
    <t>P.n[89.01]NIQAVLLPK[156.13]K[156.13]TE.S</t>
  </si>
  <si>
    <t>MegaP_hMMP1_GluC_GB_QStar-XL_20110627.03767.03767.2</t>
  </si>
  <si>
    <t>14/20</t>
  </si>
  <si>
    <t>A.n[89.01]LC[160.03]SLHSIGK[156.13]IG.G</t>
  </si>
  <si>
    <t>MegaP_hMMP1_GluC_GB_QStar-XL_20110627.03776.03776.3</t>
  </si>
  <si>
    <t>8/84</t>
  </si>
  <si>
    <t>A.n[89.01]MQYDLSTTGGNSGSPVFNEK[156.13]NE.V</t>
  </si>
  <si>
    <t>MegaP_hMMP1_GluC_GB_QStar-XL_20110627.03782.03782.2</t>
  </si>
  <si>
    <t>H.n[89.01]LQLAVRNDEE.L</t>
  </si>
  <si>
    <t>sp|Q8IUE6|H2A2B_HUMAN</t>
  </si>
  <si>
    <t>Histone H2A type 2-B OS=Homo sapiens GN=HIST2H2AB PE=1 SV=3</t>
  </si>
  <si>
    <t>MegaP_hMMP1_GluC_GB_QStar-XL_20110627.03802.03802.2</t>
  </si>
  <si>
    <t>MegaP_hMMP1_GluC_GB_QStar-XL_20110627.03803.03803.2</t>
  </si>
  <si>
    <t>MegaP_hMMP1_GluC_GB_QStar-XL_20110627.03830.03830.2</t>
  </si>
  <si>
    <t>A.n[89.01]TFVK[156.13]MLPDK[156.13]D.C</t>
  </si>
  <si>
    <t>MegaP_hMMP1_GluC_GB_QStar-XL_20110627.03842.03842.3</t>
  </si>
  <si>
    <t>15/48</t>
  </si>
  <si>
    <t>Y.n[89.01]LK[156.13]MK[156.13]GDYFRYLSE.V</t>
  </si>
  <si>
    <t>sp|P31946|1433B_HUMAN,sp|P31946-2|1433B_HUMAN</t>
  </si>
  <si>
    <t>14-3-3 protein beta\alpha OS=Homo sapiens GN=YWHAB PE=1 SV=3</t>
  </si>
  <si>
    <t>MegaP_hMMP1_GluC_GB_QStar-XL_20110627.03854.03854.2</t>
  </si>
  <si>
    <t>10/28</t>
  </si>
  <si>
    <t>S.n[89.01]C[160.03]TTNC[160.03]LAPLAK[156.13]VIHD.N</t>
  </si>
  <si>
    <t>sp|P04406|G3P_HUMAN,sp|P04406-2|G3P_HUMAN</t>
  </si>
  <si>
    <t>MegaP_hMMP1_GluC_GB_QStar-XL_20110627.03866.03866.2</t>
  </si>
  <si>
    <t>MegaP_hMMP1_GluC_GB_QStar-XL_20110627.03874.03874.2</t>
  </si>
  <si>
    <t>N.n[89.01]IQAVLLPK[156.13]K[156.13]TE.S</t>
  </si>
  <si>
    <t>MegaP_hMMP1_GluC_GB_QStar-XL_20110627.03879.03879.2</t>
  </si>
  <si>
    <t>14/16</t>
  </si>
  <si>
    <t>Q.n[89.01]ISHLVIMHE.E</t>
  </si>
  <si>
    <t>sp|P18206|VINC_HUMAN,sp|P18206-2|VINC_HUMAN</t>
  </si>
  <si>
    <t>Vinculin OS=Homo sapiens GN=VCL PE=1 SV=4</t>
  </si>
  <si>
    <t>MegaP_hMMP1_GluC_GB_QStar-XL_20110627.03880.03880.2</t>
  </si>
  <si>
    <t>T.n[89.01]IAPALVSK[156.13]K[156.13]LNVTE.Q</t>
  </si>
  <si>
    <t>MegaP_hMMP1_GluC_GB_QStar-XL_20110627.03882.03882.2</t>
  </si>
  <si>
    <t>A.n[89.01]LLGTIRADGK[156.13]ISE.Q</t>
  </si>
  <si>
    <t>sp|P25705|ATPA_HUMAN,sp|P25705-2|ATPA_HUMAN</t>
  </si>
  <si>
    <t>ATP synthase subunit alpha, mitochondrial OS=Homo sapiens GN=ATP5A1 PE=1 SV=1</t>
  </si>
  <si>
    <t>MegaP_hMMP1_GluC_GB_QStar-XL_20110627.03888.03888.2</t>
  </si>
  <si>
    <t>G.n[89.01]LTSVINQK[156.13]LK[156.13]DDE.V</t>
  </si>
  <si>
    <t>MegaP_hMMP1_GluC_GB_QStar-XL_20110627.03898.03898.3</t>
  </si>
  <si>
    <t>17/76</t>
  </si>
  <si>
    <t>M.n[89.01]C[160.03]K[156.13]AGFAGDDAPRAVFPSIVG.R</t>
  </si>
  <si>
    <t>sp|P60709|ACTB_HUMAN</t>
  </si>
  <si>
    <t>Actin, cytoplasmic 1 OS=Homo sapiens GN=ACTB PE=1 SV=1</t>
  </si>
  <si>
    <t>MegaP_hMMP1_GluC_GB_QStar-XL_20110627.03906.03906.2</t>
  </si>
  <si>
    <t>N.n[89.01]ILTAFQK[156.13]K[156.13]GAE.K</t>
  </si>
  <si>
    <t>sp|P30040|ERP29_HUMAN</t>
  </si>
  <si>
    <t>Endoplasmic reticulum resident protein 29 OS=Homo sapiens GN=ERP29 PE=1 SV=4</t>
  </si>
  <si>
    <t>MegaP_hMMP1_GluC_GB_QStar-XL_20110627.03910.03910.2</t>
  </si>
  <si>
    <t>MegaP_hMMP1_GluC_GB_QStar-XL_20110627.03915.03915.2</t>
  </si>
  <si>
    <t>C.n[89.01]IVAPDTVIHC[160.03]E.G</t>
  </si>
  <si>
    <t>sp|P55072|TERA_HUMAN</t>
  </si>
  <si>
    <t>Transitional endoplasmic reticulum ATPase OS=Homo sapiens GN=VCP PE=1 SV=4</t>
  </si>
  <si>
    <t>MegaP_hMMP1_GluC_GB_QStar-XL_20110627.03922.03922.2</t>
  </si>
  <si>
    <t>12/24</t>
  </si>
  <si>
    <t>MegaP_hMMP1_GluC_GB_QStar-XL_20110627.03923.03923.2</t>
  </si>
  <si>
    <t>11/22</t>
  </si>
  <si>
    <t>C.n[89.01]LK[156.13]GC[160.03]DVVVIPAG.V</t>
  </si>
  <si>
    <t>sp|P40926|MDHM_HUMAN</t>
  </si>
  <si>
    <t>Malate dehydrogenase, mitochondrial OS=Homo sapiens GN=MDH2 PE=1 SV=3</t>
  </si>
  <si>
    <t>MegaP_hMMP1_GluC_GB_QStar-XL_20110627.03926.03926.3</t>
  </si>
  <si>
    <t>10/80</t>
  </si>
  <si>
    <t>S.n[89.01]MANAGPNTNGSQFFIC[160.03]TAK[156.13]TE.W</t>
  </si>
  <si>
    <t>sp|A2BFH1|PAL4G_HUMAN,sp|P62937|PPIA_HUMAN</t>
  </si>
  <si>
    <t>Peptidyl-prolyl cis-trans isomerase A-like 4G OS=Homo sapiens GN=PPIAL4G PE=2 SV=1</t>
  </si>
  <si>
    <t>MegaP_hMMP1_GluC_GB_QStar-XL_20110627.03954.03954.2</t>
  </si>
  <si>
    <t>P.n[89.01]LLK[156.13]DVIATDK[156.13]E.D</t>
  </si>
  <si>
    <t>sp|P40925|MDHC_HUMAN,sp|P40925-3|MDHC_HUMAN</t>
  </si>
  <si>
    <t>MegaP_hMMP1_GluC_GB_QStar-XL_20110627.03960.03960.2</t>
  </si>
  <si>
    <t>N.n[89.01]IRMPSLPSYK[156.13]VG.D</t>
  </si>
  <si>
    <t>sp|P29401|TKT_HUMAN</t>
  </si>
  <si>
    <t>Transketolase OS=Homo sapiens GN=TKT PE=1 SV=3</t>
  </si>
  <si>
    <t>MegaP_hMMP1_GluC_GB_QStar-XL_20110627.03962.03962.2</t>
  </si>
  <si>
    <t>G.n[89.01]LVASNLNLK[156.13]PGE.C</t>
  </si>
  <si>
    <t>MegaP_hMMP1_GluC_GB_QStar-XL_20110627.03982.03982.2</t>
  </si>
  <si>
    <t>N.n[89.01]IK[156.13]APK[156.13]ISMPDFD.L</t>
  </si>
  <si>
    <t>sp|Q09666|AHNK_HUMAN,sp|Q09666|AHNK_HUMAN,sp|Q09666|AHNK_HUMAN,sp|Q09666|AHNK_HUMAN</t>
  </si>
  <si>
    <t>Neuroblast differentiation-associated protein AHNAK OS=Homo sapiens GN=AHNAK PE=1 SV=2</t>
  </si>
  <si>
    <t>MegaP_hMMP1_GluC_GB_QStar-XL_20110627.03991.03991.2</t>
  </si>
  <si>
    <t>R.n[89.01]LK[156.13]GIVPLAK[156.13]VD.C</t>
  </si>
  <si>
    <t>MegaP_hMMP1_GluC_GB_QStar-XL_20110627.03998.03998.2</t>
  </si>
  <si>
    <t>MegaP_hMMP1_GluC_GB_QStar-XL_20110627.04004.04004.2</t>
  </si>
  <si>
    <t>12/26</t>
  </si>
  <si>
    <t>R.n[89.01]LIGRTWNDPSVQQD.L</t>
  </si>
  <si>
    <t>MegaP_hMMP1_GluC_GB_QStar-XL_20110627.04007.04007.2</t>
  </si>
  <si>
    <t>K.n[89.01]IGGIGTVPVGRVE.T</t>
  </si>
  <si>
    <t>sp|P68104|EF1A1_HUMAN,sp|Q05639|EF1A2_HUMAN,sp|Q5VTE0|EF1A3_HUMAN</t>
  </si>
  <si>
    <t>Elongation factor 1-alpha 1 OS=Homo sapiens GN=EEF1A1 PE=1 SV=1</t>
  </si>
  <si>
    <t>MegaP_hMMP1_GluC_GB_QStar-XL_20110627.04019.04019.2</t>
  </si>
  <si>
    <t>9/24</t>
  </si>
  <si>
    <t>Y.n[89.01]LLQNSVK[156.13]QYADVE.G</t>
  </si>
  <si>
    <t>sp|P61978-2|HNRPK_HUMAN,sp|P61978-3|HNRPK_HUMAN</t>
  </si>
  <si>
    <t>Isoform 2 of Heterogeneous nuclear ribonucleoprotein K OS=Homo sapiens GN=HNRNPK</t>
  </si>
  <si>
    <t>MegaP_hMMP1_GluC_GB_QStar-XL_20110627.04026.04026.2</t>
  </si>
  <si>
    <t>N.n[89.01]LQVTQPTVGMNFK[156.13].T</t>
  </si>
  <si>
    <t>sp|P0CW22|RS17L_HUMAN</t>
  </si>
  <si>
    <t>40S ribosomal protein S17-like OS=Homo sapiens GN=RPS17L PE=1 SV=1</t>
  </si>
  <si>
    <t>MegaP_hMMP1_GluC_GB_QStar-XL_20110627.04034.04034.2</t>
  </si>
  <si>
    <t>N.n[89.01]C[160.03]LAPLAK[156.13]VIHD.N</t>
  </si>
  <si>
    <t>MegaP_hMMP1_GluC_GB_QStar-XL_20110627.04042.04042.3</t>
  </si>
  <si>
    <t>17/64</t>
  </si>
  <si>
    <t>N.n[89.01]VTVTK[156.13]TDK[156.13]TLVLLMGK[156.13]E.G</t>
  </si>
  <si>
    <t>MegaP_hMMP1_GluC_GB_QStar-XL_20110627.04043.04043.2</t>
  </si>
  <si>
    <t>16/14</t>
  </si>
  <si>
    <t>S.n[89.01]VYVYK[156.13]VLK[156.13].Q</t>
  </si>
  <si>
    <t>sp|P62807|H2B1C_HUMAN</t>
  </si>
  <si>
    <t>Histone H2B type 1-C\E\F\G\I OS=Homo sapiens GN=HIST1H2BC PE=1 SV=4</t>
  </si>
  <si>
    <t>MegaP_hMMP1_GluC_GB_QStar-XL_20110627.04044.04044.2</t>
  </si>
  <si>
    <t>H.n[89.01]C[160.03]K[156.13]QLAPIWDK[156.13]LGE.T</t>
  </si>
  <si>
    <t>MegaP_hMMP1_GluC_GB_QStar-XL_20110627.04054.04054.2</t>
  </si>
  <si>
    <t>10/24</t>
  </si>
  <si>
    <t>S.n[89.01]LRILNNGHAFNVE.F</t>
  </si>
  <si>
    <t>MegaP_hMMP1_GluC_GB_QStar-XL_20110627.04055.04055.2</t>
  </si>
  <si>
    <t>MegaP_hMMP1_GluC_GB_QStar-XL_20110627.04056.04056.2</t>
  </si>
  <si>
    <t>A.n[89.01]LLK[156.13]TPAQFDADE.L</t>
  </si>
  <si>
    <t>sp|P04083|ANXA1_HUMAN</t>
  </si>
  <si>
    <t>Annexin A1 OS=Homo sapiens GN=ANXA1 PE=1 SV=2</t>
  </si>
  <si>
    <t>MegaP_hMMP1_GluC_GB_QStar-XL_20110627.04070.04070.2</t>
  </si>
  <si>
    <t>T.n[89.01]IMFGPDK[156.13]C[160.03]GE.D</t>
  </si>
  <si>
    <t>sp|P27824|CALX_HUMAN,sp|O14967|CLGN_HUMAN</t>
  </si>
  <si>
    <t>Calnexin OS=Homo sapiens GN=CANX PE=1 SV=2</t>
  </si>
  <si>
    <t>MegaP_hMMP1_GluC_GB_QStar-XL_20110627.04078.04078.2</t>
  </si>
  <si>
    <t>A.n[89.01]LLK[156.13]TPAQFD.A</t>
  </si>
  <si>
    <t>MegaP_hMMP1_GluC_GB_QStar-XL_20110627.04094.04094.2</t>
  </si>
  <si>
    <t>16/24</t>
  </si>
  <si>
    <t>R.n[89.01]IVAPGK[156.13]GILAADE.S</t>
  </si>
  <si>
    <t>sp|P04075|ALDOA_HUMAN,sp|P04075-2|ALDOA_HUMAN,sp|P09972|ALDOC_HUMAN</t>
  </si>
  <si>
    <t>MegaP_hMMP1_GluC_GB_QStar-XL_20110627.04098.04098.2</t>
  </si>
  <si>
    <t>N.n[89.01]LTTGK[156.13]IYQYVINK[156.13]E.R</t>
  </si>
  <si>
    <t>sp|P17812|PYRG1_HUMAN</t>
  </si>
  <si>
    <t>CTP synthase 1 OS=Homo sapiens GN=CTPS1 PE=1 SV=2</t>
  </si>
  <si>
    <t>MegaP_hMMP1_GluC_GB_QStar-XL_20110627.04122.04122.2</t>
  </si>
  <si>
    <t>9/18</t>
  </si>
  <si>
    <t>N.n[89.01]LTVK[156.13]LPDGYE.F</t>
  </si>
  <si>
    <t>MegaP_hMMP1_GluC_GB_QStar-XL_20110627.04130.04130.2</t>
  </si>
  <si>
    <t>MegaP_hMMP1_GluC_GB_QStar-XL_20110627.04158.04158.2</t>
  </si>
  <si>
    <t>MegaP_hMMP1_GluC_GB_QStar-XL_20110627.04166.04166.2</t>
  </si>
  <si>
    <t>MegaP_hMMP1_GluC_GB_QStar-XL_20110627.04186.04186.2</t>
  </si>
  <si>
    <t>R.n[89.01]LVQAFQFTDK[156.13]HGE.V</t>
  </si>
  <si>
    <t>sp|Q06830|PRDX1_HUMAN</t>
  </si>
  <si>
    <t>Peroxiredoxin-1 OS=Homo sapiens GN=PRDX1 PE=1 SV=1</t>
  </si>
  <si>
    <t>MegaP_hMMP1_GluC_GB_QStar-XL_20110627.04187.04187.2</t>
  </si>
  <si>
    <t>10/18</t>
  </si>
  <si>
    <t>L.n[89.01]IINTFYSNK[156.13]E.L</t>
  </si>
  <si>
    <t>sp|Q14568|HS902_HUMAN,sp|Q58FF8|H90B2_HUMAN,sp|Q58FF6|H90B4_HUMAN,sp|P07900|HS90A_HUMAN,sp|P07900-2|HS90A_HUMAN,sp|P08238|HS90B_HUMAN</t>
  </si>
  <si>
    <t>Putative heat shock protein HSP 90-alpha A2 OS=Homo sapiens GN=HSP90AA2 PE=1 SV=2</t>
  </si>
  <si>
    <t>MegaP_hMMP1_GluC_GB_QStar-XL_20110627.04190.04190.2</t>
  </si>
  <si>
    <t>S.n[89.01]IYVYK[156.13]VLK[156.13].Q</t>
  </si>
  <si>
    <t>sp|P33778|H2B1B_HUMAN</t>
  </si>
  <si>
    <t>Histone H2B type 1-B OS=Homo sapiens GN=HIST1H2BB PE=1 SV=2</t>
  </si>
  <si>
    <t>MegaP_hMMP1_GluC_GB_QStar-XL_20110627.04202.04202.2</t>
  </si>
  <si>
    <t>11/24</t>
  </si>
  <si>
    <t>MegaP_hMMP1_GluC_GB_QStar-XL_20110627.04210.04210.2</t>
  </si>
  <si>
    <t>13/30</t>
  </si>
  <si>
    <t>L.n[89.01]LVGTQIDLRDDPSTIE.K</t>
  </si>
  <si>
    <t>sp|P60953|CDC42_HUMAN,sp|P60953-1|CDC42_HUMAN</t>
  </si>
  <si>
    <t>Cell division control protein 42 homolog OS=Homo sapiens GN=CDC42 PE=1 SV=2</t>
  </si>
  <si>
    <t>MegaP_hMMP1_GluC_GB_QStar-XL_20110627.04211.04211.2</t>
  </si>
  <si>
    <t>H.n[89.01]LAK[156.13]TAFDDAIAE.L</t>
  </si>
  <si>
    <t>sp|P61981|1433G_HUMAN</t>
  </si>
  <si>
    <t>14-3-3 protein gamma OS=Homo sapiens GN=YWHAG PE=1 SV=2</t>
  </si>
  <si>
    <t>MegaP_hMMP1_GluC_GB_QStar-XL_20110627.04212.04212.2</t>
  </si>
  <si>
    <t>G.n[89.01]IYISTLK[156.13]TE.F</t>
  </si>
  <si>
    <t>sp|O95433|AHSA1_HUMAN</t>
  </si>
  <si>
    <t>Activator of 90 kDa heat shock protein ATPase homolog 1 OS=Homo sapiens GN=AHSA1 PE=1 SV=1</t>
  </si>
  <si>
    <t>MegaP_hMMP1_GluC_GB_QStar-XL_20110627.04220.04220.2</t>
  </si>
  <si>
    <t>G.n[89.01]LK[156.13]GMSLNLEPD.N</t>
  </si>
  <si>
    <t>MegaP_hMMP1_GluC_GB_QStar-XL_20110627.04223.04223.2</t>
  </si>
  <si>
    <t>MegaP_hMMP1_GluC_GB_QStar-XL_20110627.04226.04226.2</t>
  </si>
  <si>
    <t>MegaP_hMMP1_GluC_GB_QStar-XL_20110627.04228.04228.2</t>
  </si>
  <si>
    <t>D.n[89.01]LINNLGTIAK[156.13]SG.T</t>
  </si>
  <si>
    <t>sp|Q14568|HS902_HUMAN,sp|P07900|HS90A_HUMAN,sp|P07900-2|HS90A_HUMAN,sp|P08238|HS90B_HUMAN</t>
  </si>
  <si>
    <t>MegaP_hMMP1_GluC_GB_QStar-XL_20110627.04246.04246.2</t>
  </si>
  <si>
    <t>MegaP_hMMP1_GluC_GB_QStar-XL_20110627.04264.04264.2</t>
  </si>
  <si>
    <t>R.n[89.01]SRGFGFVLFK[156.13]E.S</t>
  </si>
  <si>
    <t>sp|Q14103|HNRPD_HUMAN</t>
  </si>
  <si>
    <t>MegaP_hMMP1_GluC_GB_QStar-XL_20110627.04270.04270.2</t>
  </si>
  <si>
    <t>R.n[89.01]LAK[156.13]AAFDDAIAE.L</t>
  </si>
  <si>
    <t>sp|P62258|1433E_HUMAN,sp|P62258-2|1433E_HUMAN</t>
  </si>
  <si>
    <t>14-3-3 protein epsilon OS=Homo sapiens GN=YWHAE PE=1 SV=1</t>
  </si>
  <si>
    <t>MegaP_hMMP1_GluC_GB_QStar-XL_20110627.04272.04272.2</t>
  </si>
  <si>
    <t>11/30</t>
  </si>
  <si>
    <t>Q.n[89.01]LIVGVNK[156.13]MDSTEPPYS.Q</t>
  </si>
  <si>
    <t>sp|P68104|EF1A1_HUMAN</t>
  </si>
  <si>
    <t>MegaP_hMMP1_GluC_GB_QStar-XL_20110627.04287.04287.2</t>
  </si>
  <si>
    <t>P.n[89.01]IYVWSSK[156.13]TE.T</t>
  </si>
  <si>
    <t>sp|P14625|ENPL_HUMAN</t>
  </si>
  <si>
    <t>Endoplasmin OS=Homo sapiens GN=HSP90B1 PE=1 SV=1</t>
  </si>
  <si>
    <t>MegaP_hMMP1_GluC_GB_QStar-XL_20110627.04295.04295.3</t>
  </si>
  <si>
    <t>13/52</t>
  </si>
  <si>
    <t>-.n[29.04]MIPAVVLLLLLLVE.Q</t>
  </si>
  <si>
    <t>sp|P30273|FCERG_HUMAN</t>
  </si>
  <si>
    <t>High affinity immunoglobulin epsilon receptor subunit gamma OS=Homo sapiens GN=FCER1G PE=1 SV=1</t>
  </si>
  <si>
    <t>MegaP_hMMP1_GluC_GB_QStar-XL_20110627.04306.04306.2</t>
  </si>
  <si>
    <t>MegaP_hMMP1_GluC_GB_QStar-XL_20110627.04308.04308.2</t>
  </si>
  <si>
    <t>V.n[89.01]LRGTVTDFPGFDE.R</t>
  </si>
  <si>
    <t>sp|P08758|ANXA5_HUMAN</t>
  </si>
  <si>
    <t>Annexin A5 OS=Homo sapiens GN=ANXA5 PE=1 SV=2</t>
  </si>
  <si>
    <t>MegaP_hMMP1_GluC_GB_QStar-XL_20110627.04327.04327.2</t>
  </si>
  <si>
    <t>11/26</t>
  </si>
  <si>
    <t>G.n[89.01]ITLPVDFQGRSTGE.A</t>
  </si>
  <si>
    <t>sp|P31943|HNRH1_HUMAN</t>
  </si>
  <si>
    <t>Heterogeneous nuclear ribonucleoprotein H OS=Homo sapiens GN=HNRNPH1 PE=1 SV=4</t>
  </si>
  <si>
    <t>MegaP_hMMP1_GluC_GB_QStar-XL_20110627.04331.04331.2</t>
  </si>
  <si>
    <t>Y.n[89.01]LLQNSVK[156.13]QYSGK[156.13]FF.-</t>
  </si>
  <si>
    <t>MegaP_hMMP1_GluC_GB_QStar-XL_20110627.04332.04332.2</t>
  </si>
  <si>
    <t>A.n[89.01]LSADVLGRC[160.03]QVFE.E</t>
  </si>
  <si>
    <t>sp|Q99832|TCPH_HUMAN,sp|Q99832-2|TCPH_HUMAN,sp|Q99832-3|TCPH_HUMAN,sp|Q99832-4|TCPH_HUMAN</t>
  </si>
  <si>
    <t>T-complex protein 1 subunit eta OS=Homo sapiens GN=CCT7 PE=1 SV=2</t>
  </si>
  <si>
    <t>MegaP_hMMP1_GluC_GB_QStar-XL_20110627.04340.04340.2</t>
  </si>
  <si>
    <t>D.n[29.04]GSPGLVGGTGPPG.F</t>
  </si>
  <si>
    <t>sp|Q17RW2|COOA1_HUMAN,sp|Q17RW2-2|COOA1_HUMAN</t>
  </si>
  <si>
    <t>Collagen alpha-1(XXIV) chain OS=Homo sapiens GN=COL24A1 PE=2 SV=2</t>
  </si>
  <si>
    <t>MegaP_hMMP1_GluC_GB_QStar-XL_20110627.04342.04342.2</t>
  </si>
  <si>
    <t>MegaP_hMMP1_GluC_GB_QStar-XL_20110627.04354.04354.2</t>
  </si>
  <si>
    <t>Q.n[89.01]LHAAMADTFLE.H</t>
  </si>
  <si>
    <t>sp|P14618|KPYM_HUMAN,sp|P14618-2|KPYM_HUMAN</t>
  </si>
  <si>
    <t>MegaP_hMMP1_GluC_GB_QStar-XL_20110627.04355.04355.2</t>
  </si>
  <si>
    <t>R.n[89.01]MLLADQGQSWK[156.13]E.E</t>
  </si>
  <si>
    <t>sp|P09211|GSTP1_HUMAN</t>
  </si>
  <si>
    <t>Glutathione S-transferase P OS=Homo sapiens GN=GSTP1 PE=1 SV=2</t>
  </si>
  <si>
    <t>MegaP_hMMP1_GluC_GB_QStar-XL_20110627.04370.04370.2</t>
  </si>
  <si>
    <t>10/26</t>
  </si>
  <si>
    <t>R.n[89.01]AK[156.13]QIVWNGPVGVFE.W</t>
  </si>
  <si>
    <t>MegaP_hMMP1_GluC_GB_QStar-XL_20110627.04374.04374.2</t>
  </si>
  <si>
    <t>K.n[89.01]IMGK[156.13]ILDQGE.D</t>
  </si>
  <si>
    <t>MegaP_hMMP1_GluC_GB_QStar-XL_20110627.04378.04378.2</t>
  </si>
  <si>
    <t>N.n[89.01]LNAINK[156.13]C[160.03]PLLK[156.13]PWA.L</t>
  </si>
  <si>
    <t>sp|P04075|ALDOA_HUMAN</t>
  </si>
  <si>
    <t>MegaP_hMMP1_GluC_GB_QStar-XL_20110627.04390.04390.2</t>
  </si>
  <si>
    <t>MegaP_hMMP1_GluC_GB_QStar-XL_20110627.04414.04414.2</t>
  </si>
  <si>
    <t>MegaP_hMMP1_GluC_GB_QStar-XL_20110627.04422.04422.2</t>
  </si>
  <si>
    <t>N.n[89.01]LK[156.13]APLDIPVPDP.V</t>
  </si>
  <si>
    <t>sp|Q06323|PSME1_HUMAN</t>
  </si>
  <si>
    <t>Proteasome activator complex subunit 1 OS=Homo sapiens GN=PSME1 PE=1 SV=1</t>
  </si>
  <si>
    <t>MegaP_hMMP1_GluC_GB_QStar-XL_20110627.04446.04446.2</t>
  </si>
  <si>
    <t>K.n[89.01]LLGPVLVK[156.13]QE.L</t>
  </si>
  <si>
    <t>sp|O15212|PFD6_HUMAN</t>
  </si>
  <si>
    <t>Prefoldin subunit 6 OS=Homo sapiens GN=PFDN6 PE=1 SV=1</t>
  </si>
  <si>
    <t>MegaP_hMMP1_GluC_GB_QStar-XL_20110627.04458.04458.2</t>
  </si>
  <si>
    <t>MegaP_hMMP1_GluC_GB_QStar-XL_20110627.04483.04483.2</t>
  </si>
  <si>
    <t>MegaP_hMMP1_GluC_GB_QStar-XL_20110627.04491.04491.2</t>
  </si>
  <si>
    <t>S.n[89.01]LQQASLK[156.13]LFE.M</t>
  </si>
  <si>
    <t>MegaP_hMMP1_GluC_GB_QStar-XL_20110627.04494.04494.2</t>
  </si>
  <si>
    <t>MegaP_hMMP1_GluC_GB_QStar-XL_20110627.04516.04516.2</t>
  </si>
  <si>
    <t>P.n[89.01]NVNAAILK[156.13]K[156.13]VIQW.C</t>
  </si>
  <si>
    <t>sp|P63208|SKP1_HUMAN</t>
  </si>
  <si>
    <t>S-phase kinase-associated protein 1 OS=Homo sapiens GN=SKP1 PE=1 SV=2</t>
  </si>
  <si>
    <t>MegaP_hMMP1_GluC_GB_QStar-XL_20110627.04540.04540.2</t>
  </si>
  <si>
    <t>N.n[89.01]FFSPLNPVRVHIE.L</t>
  </si>
  <si>
    <t>sp|P31943|HNRH1_HUMAN,sp|P52597|HNRPF_HUMAN</t>
  </si>
  <si>
    <t>MegaP_hMMP1_GluC_GB_QStar-XL_20110627.04578.04578.2</t>
  </si>
  <si>
    <t>12/18</t>
  </si>
  <si>
    <t>R.n[89.01]GILTLK[156.13]YPIE.H</t>
  </si>
  <si>
    <t>sp|P60709|ACTB_HUMAN,sp|P62736|ACTA_HUMAN,sp|P68032|ACTC_HUMAN,sp|P63261|ACTG_HUMAN,sp|P63267|ACTH_HUMAN,sp|P68133|ACTS_HUMAN,CON_P60712|P60712</t>
  </si>
  <si>
    <t>MegaP_hMMP1_GluC_GB_QStar-XL_20110627.04614.04614.2</t>
  </si>
  <si>
    <t>MegaP_hMMP1_GluC_GB_QStar-XL_20110627.04626.04626.2</t>
  </si>
  <si>
    <t>S.n[89.01]LIALVNDPQPEHP.L</t>
  </si>
  <si>
    <t>sp|P68036|UB2L3_HUMAN</t>
  </si>
  <si>
    <t>Ubiquitin-conjugating enzyme E2 L3 OS=Homo sapiens GN=UBE2L3 PE=1 SV=1</t>
  </si>
  <si>
    <t>MegaP_hMMP1_GluC_GB_QStar-XL_20110627.04650.04650.2</t>
  </si>
  <si>
    <t>13/28</t>
  </si>
  <si>
    <t>N.n[89.01]LGGLAVARDDGLFSG.D</t>
  </si>
  <si>
    <t>sp|P37802|TAGL2_HUMAN</t>
  </si>
  <si>
    <t>Transgelin-2 OS=Homo sapiens GN=TAGLN2 PE=1 SV=3</t>
  </si>
  <si>
    <t>MegaP_hMMP1_GluC_GB_QStar-XL_20110627.04662.04662.2</t>
  </si>
  <si>
    <t>N.n[89.01]LFVGNLNFNK[156.13]SAPE.L</t>
  </si>
  <si>
    <t>MegaP_hMMP1_GluC_GB_QStar-XL_20110627.04667.04667.2</t>
  </si>
  <si>
    <t>S.n[89.01]LIINTFYSNK[156.13]E.L</t>
  </si>
  <si>
    <t>MegaP_hMMP1_GluC_GB_QStar-XL_20110627.04687.04687.2</t>
  </si>
  <si>
    <t>N.n[89.01]LGGLAVARDDGLFS.G</t>
  </si>
  <si>
    <t>MegaP_hMMP1_GluC_GB_QStar-XL_20110627.04699.04699.2</t>
  </si>
  <si>
    <t>MegaP_hMMP1_GluC_GB_QStar-XL_20110627.04702.04702.2</t>
  </si>
  <si>
    <t>MegaP_hMMP1_GluC_GB_QStar-XL_20110627.04704.04704.2</t>
  </si>
  <si>
    <t>G.n[89.01]ILTLK[156.13]YPIE.H</t>
  </si>
  <si>
    <t>MegaP_hMMP1_GluC_GB_QStar-XL_20110627.04714.04714.2</t>
  </si>
  <si>
    <t>14/28</t>
  </si>
  <si>
    <t>A.n[89.01]ILGVSLAVC[160.03]K[156.13]AGAVE.K</t>
  </si>
  <si>
    <t>sp|P06733|ENOA_HUMAN,sp|P06733-2|ENOA_HUMAN</t>
  </si>
  <si>
    <t>MegaP_hMMP1_GluC_GB_QStar-XL_20110627.04744.04744.2</t>
  </si>
  <si>
    <t>C.n[89.01]LLAK[156.13]QAFDDAIAE.L</t>
  </si>
  <si>
    <t>sp|Q04917|1433F_HUMAN</t>
  </si>
  <si>
    <t>MegaP_hMMP1_GluC_GB_QStar-XL_20110627.04751.04751.2</t>
  </si>
  <si>
    <t>S.n[89.01]LAALK[156.13]K[156.13]ALAAGGYDVE.K</t>
  </si>
  <si>
    <t>MegaP_hMMP1_GluC_GB_QStar-XL_20110627.04794.04794.2</t>
  </si>
  <si>
    <t>S.n[89.01]LSTFQQMWISK[156.13]QE.Y</t>
  </si>
  <si>
    <t>sp|P60709|ACTB_HUMAN,sp|P62736|ACTA_HUMAN,sp|Q562R1|ACTBL_HUMAN,sp|Q9BYX7|ACTBM_HUMAN,sp|P68032|ACTC_HUMAN,sp|P63261|ACTG_HUMAN,sp|Q6S8J3|POTEE_HUMAN,sp|A5A3E0|POTEF_HUMAN,sp|P0CG38|POTEI_HUMAN,sp|P0CG39|POTEJ_HUMAN,CON_P60712|P60712</t>
  </si>
  <si>
    <t>MegaP_hMMP1_GluC_GB_QStar-XL_20110627.04852.04852.2</t>
  </si>
  <si>
    <t>11/32</t>
  </si>
  <si>
    <t>S.n[89.01]VNAVMK[156.13]VIDPATATSVD.L</t>
  </si>
  <si>
    <t>sp|P50991|TCPD_HUMAN,sp|P50991-2|TCPD_HUMAN</t>
  </si>
  <si>
    <t>T-complex protein 1 subunit delta OS=Homo sapiens GN=CCT4 PE=1 SV=4</t>
  </si>
  <si>
    <t>MegaP_hMMP1_GluC_GB_QStar-XL_20110627.04995.04995.2</t>
  </si>
  <si>
    <t>K.n[89.01]LLQDFFNGK[156.13]E.L</t>
  </si>
  <si>
    <t>assumed charge</t>
  </si>
  <si>
    <t>MegaP_hMMP2_GluC-1_OS_QStar-XL_20111027.01759.01759.3</t>
  </si>
  <si>
    <t>11/56</t>
  </si>
  <si>
    <t>E.n[29.04]VK[156.13]NK[156.13]IASK[156.13]YDHQAEE.D</t>
  </si>
  <si>
    <t>sp|Q15417|CNN3_HUMAN</t>
  </si>
  <si>
    <t>Calponin-3 OS=Homo sapiens GN=CNN3 PE=1 SV=1</t>
  </si>
  <si>
    <t>MegaP_hMMP2_GluC-1_OS_QStar-XL_20111027.01761.01761.3</t>
  </si>
  <si>
    <t>13/36</t>
  </si>
  <si>
    <t>D.n[89.01]K[156.13]K[156.13]K[156.13]VLDK[156.13]C[160.03]QE.V</t>
  </si>
  <si>
    <t>sp|P08107|HSP71_HUMAN,sp|P08107-2|HSP71_HUMAN</t>
  </si>
  <si>
    <t>Heat shock 70 kDa protein 1A\1B OS=Homo sapiens GN=HSPA1A PE=1 SV=5</t>
  </si>
  <si>
    <t>MegaP_hMMP2_GluC-1_OS_QStar-XL_20111027.01762.01762.3</t>
  </si>
  <si>
    <t>9/56</t>
  </si>
  <si>
    <t>E.n[29.04]DAC[160.03]YNC[160.03]GRGGHIAK[156.13]D.C</t>
  </si>
  <si>
    <t>sp|P62633|CNBP_HUMAN,sp|P62633-2|CNBP_HUMAN,sp|P62633-3|CNBP_HUMAN</t>
  </si>
  <si>
    <t>Cellular nucleic acid-binding protein OS=Homo sapiens GN=CNBP PE=1 SV=1</t>
  </si>
  <si>
    <t>MegaP_hMMP2_GluC-1_OS_QStar-XL_20111027.01776.01776.3</t>
  </si>
  <si>
    <t>16/60</t>
  </si>
  <si>
    <t>S.n[29.04]SSAASNNHQVGSGNDP.W</t>
  </si>
  <si>
    <t>sp|Q9Y5X1|SNX9_HUMAN</t>
  </si>
  <si>
    <t>Sorting nexin-9 OS=Homo sapiens GN=SNX9 PE=1 SV=1</t>
  </si>
  <si>
    <t>MegaP_hMMP2_GluC-1_OS_QStar-XL_20111027.01863.01863.3</t>
  </si>
  <si>
    <t>E.n[29.04]SK[156.13]ADDPYAHLSK[156.13]K[156.13]E.K</t>
  </si>
  <si>
    <t>sp|Q8NE71|ABCF1_HUMAN</t>
  </si>
  <si>
    <t>ATP-binding cassette sub-family F member 1 OS=Homo sapiens GN=ABCF1 PE=1 SV=2</t>
  </si>
  <si>
    <t>MegaP_hMMP2_GluC-1_OS_QStar-XL_20111027.01878.01878.2</t>
  </si>
  <si>
    <t>E.n[29.04]YHSEPVEDEK[156.13]P.-</t>
  </si>
  <si>
    <t>sp|P26196|DDX6_HUMAN</t>
  </si>
  <si>
    <t>Probable ATP-dependent RNA helicase DDX6 OS=Homo sapiens GN=DDX6 PE=1 SV=2</t>
  </si>
  <si>
    <t>MegaP_hMMP2_GluC-1_OS_QStar-XL_20111027.01881.01881.3</t>
  </si>
  <si>
    <t>E.n[29.04]YDGHSTYPSHQYQ.-</t>
  </si>
  <si>
    <t>sp|P30043|BLVRB_HUMAN</t>
  </si>
  <si>
    <t>Flavin reductase (NADPH) OS=Homo sapiens GN=BLVRB PE=1 SV=3</t>
  </si>
  <si>
    <t>MegaP_hMMP2_GluC-1_OS_QStar-XL_20111027.01898.01898.3</t>
  </si>
  <si>
    <t>13/44</t>
  </si>
  <si>
    <t>E.n[89.01]VRHLK[156.13]TK[156.13]PSDEE.M</t>
  </si>
  <si>
    <t>sp|P07108|ACBP_HUMAN,sp|P07108-2|ACBP_HUMAN,sp|P07108-3|ACBP_HUMAN,sp|P07108-4|ACBP_HUMAN,sp|P07108-5|ACBP_HUMAN,sp|P07108-6|ACBP_HUMAN</t>
  </si>
  <si>
    <t>Acyl-CoA-binding protein OS=Homo sapiens GN=DBI PE=1 SV=2</t>
  </si>
  <si>
    <t>MegaP_hMMP2_GluC-1_OS_QStar-XL_20111027.01916.01916.2</t>
  </si>
  <si>
    <t>12/20</t>
  </si>
  <si>
    <t>F.n[89.01]SK[156.13]APGSAGHYE.L</t>
  </si>
  <si>
    <t>sp|P35250|RFC2_HUMAN</t>
  </si>
  <si>
    <t>Replication factor C subunit 2 OS=Homo sapiens GN=RFC2 PE=1 SV=3</t>
  </si>
  <si>
    <t>MegaP_hMMP2_GluC-1_OS_QStar-XL_20111027.01932.01932.4</t>
  </si>
  <si>
    <t>7/108</t>
  </si>
  <si>
    <t>D.n[29.04]LAARLAAARLNRDPGLAGG.P</t>
  </si>
  <si>
    <t>sp|Q02846|GUC2D_HUMAN</t>
  </si>
  <si>
    <t>Retinal guanylyl cyclase 1 OS=Homo sapiens GN=GUCY2D PE=1 SV=2</t>
  </si>
  <si>
    <t>MegaP_hMMP2_GluC-1_OS_QStar-XL_20111027.01956.01956.2</t>
  </si>
  <si>
    <t>E.n[29.04]HGIDPTGTYHGD.S</t>
  </si>
  <si>
    <t>sp|P04350|TBB4A_HUMAN,sp|P68371|TBB4B_HUMAN,sp|P07437|TBB5_HUMAN</t>
  </si>
  <si>
    <t>Tubulin beta-4A chain OS=Homo sapiens GN=TUBB4A PE=1 SV=2</t>
  </si>
  <si>
    <t>MegaP_hMMP2_GluC-1_OS_QStar-XL_20111027.01983.01983.2</t>
  </si>
  <si>
    <t>K.n[89.01]LQGK[156.13]PQSHE.L</t>
  </si>
  <si>
    <t>sp|Q8IVD9|NUDC3_HUMAN</t>
  </si>
  <si>
    <t>NudC domain-containing protein 3 OS=Homo sapiens GN=NUDCD3 PE=1 SV=3</t>
  </si>
  <si>
    <t>MegaP_hMMP2_GluC-1_OS_QStar-XL_20111027.02036.02036.3</t>
  </si>
  <si>
    <t>E.n[29.04]K[156.13]GVPLYRHIAD.L</t>
  </si>
  <si>
    <t>sp|P06733|ENOA_HUMAN,sp|P06733-2|ENOA_HUMAN,sp|P13929|ENOB_HUMAN,sp|P13929-2|ENOB_HUMAN,sp|P13929-3|ENOB_HUMAN</t>
  </si>
  <si>
    <t>MegaP_hMMP2_GluC-1_OS_QStar-XL_20111027.02061.02061.3</t>
  </si>
  <si>
    <t>10/40</t>
  </si>
  <si>
    <t>E.n[29.04]VYHNLK[156.13]NVIK[156.13]E.K</t>
  </si>
  <si>
    <t>MegaP_hMMP2_GluC-1_OS_QStar-XL_20111027.02081.02081.2</t>
  </si>
  <si>
    <t>D.n[29.04]YFGAHTYE.L</t>
  </si>
  <si>
    <t>sp|P52209|6PGD_HUMAN</t>
  </si>
  <si>
    <t>6-phosphogluconate dehydrogenase, decarboxylating OS=Homo sapiens GN=PGD PE=1 SV=3</t>
  </si>
  <si>
    <t>MegaP_hMMP2_GluC-1_OS_QStar-XL_20111027.02093.02093.3</t>
  </si>
  <si>
    <t>19/40</t>
  </si>
  <si>
    <t>D.n[89.01]GK[156.13]HVVFGK[156.13]VK[156.13]E.G</t>
  </si>
  <si>
    <t>sp|P62937|PPIA_HUMAN</t>
  </si>
  <si>
    <t>Peptidyl-prolyl cis-trans isomerase A OS=Homo sapiens GN=PPIA PE=1 SV=2</t>
  </si>
  <si>
    <t>MegaP_hMMP2_GluC-1_OS_QStar-XL_20111027.02100.02100.2</t>
  </si>
  <si>
    <t>MegaP_hMMP2_GluC-1_OS_QStar-XL_20111027.02103.02103.2</t>
  </si>
  <si>
    <t>S.n[89.01]MHGDMPQK[156.13]E.R</t>
  </si>
  <si>
    <t>sp|P38919|IF4A3_HUMAN</t>
  </si>
  <si>
    <t>Eukaryotic initiation factor 4A-III OS=Homo sapiens GN=EIF4A3 PE=1 SV=4</t>
  </si>
  <si>
    <t>MegaP_hMMP2_GluC-1_OS_QStar-XL_20111027.02105.02105.3</t>
  </si>
  <si>
    <t>15/36</t>
  </si>
  <si>
    <t>R.n[29.04]IGAEVYHNLK[156.13].N</t>
  </si>
  <si>
    <t>MegaP_hMMP2_GluC-1_OS_QStar-XL_20111027.02168.02168.2</t>
  </si>
  <si>
    <t>Y.n[89.01]MMAK[156.13]K[156.13]HLE.L</t>
  </si>
  <si>
    <t>sp|P08238|HS90B_HUMAN,sp|Q58FF7|H90B3_HUMAN</t>
  </si>
  <si>
    <t>Heat shock protein HSP 90-beta OS=Homo sapiens GN=HSP90AB1 PE=1 SV=4</t>
  </si>
  <si>
    <t>MegaP_hMMP2_GluC-1_OS_QStar-XL_20111027.02204.02204.2</t>
  </si>
  <si>
    <t>E.n[29.04]ALHYLTRVE.V</t>
  </si>
  <si>
    <t>sp|Q01105|SET_HUMAN,sp|Q01105-2|SET_HUMAN,sp|Q01105-3|SET_HUMAN,sp|Q01105-4|SET_HUMAN</t>
  </si>
  <si>
    <t>Protein SET OS=Homo sapiens GN=SET PE=1 SV=3</t>
  </si>
  <si>
    <t>MegaP_hMMP2_GluC-1_OS_QStar-XL_20111027.02208.02208.2</t>
  </si>
  <si>
    <t>MegaP_hMMP2_GluC-1_OS_QStar-XL_20111027.02219.02219.2</t>
  </si>
  <si>
    <t>15/16</t>
  </si>
  <si>
    <t>S.n[89.01]LK[156.13]NQIGDK[156.13]E.K</t>
  </si>
  <si>
    <t>MegaP_hMMP2_GluC-1_OS_QStar-XL_20111027.02228.02228.2</t>
  </si>
  <si>
    <t>W.n[89.01]LSNQLRNQK[156.13].-</t>
  </si>
  <si>
    <t>sp|P84077|ARF1_HUMAN</t>
  </si>
  <si>
    <t>ADP-ribosylation factor 1 OS=Homo sapiens GN=ARF1 PE=1 SV=2</t>
  </si>
  <si>
    <t>MegaP_hMMP2_GluC-1_OS_QStar-XL_20111027.02229.02229.2</t>
  </si>
  <si>
    <t>M.n[89.01]MAARQLHDE.A</t>
  </si>
  <si>
    <t>MegaP_hMMP2_GluC-1_OS_QStar-XL_20111027.02250.02250.2</t>
  </si>
  <si>
    <t>S.n[89.01]VVAPPGAPK[156.13]K[156.13]E.H</t>
  </si>
  <si>
    <t>sp|P15170|ERF3A_HUMAN,sp|P15170-2|ERF3A_HUMAN,sp|P15170-3|ERF3A_HUMAN</t>
  </si>
  <si>
    <t>Eukaryotic peptide chain release factor GTP-binding subunit ERF3A OS=Homo sapiens GN=GSPT1 PE=1 SV=1</t>
  </si>
  <si>
    <t>MegaP_hMMP2_GluC-1_OS_QStar-XL_20111027.02292.02292.2</t>
  </si>
  <si>
    <t>P.n[89.01]LHSQIPREE.Q</t>
  </si>
  <si>
    <t>sp|Q08211|DHX9_HUMAN</t>
  </si>
  <si>
    <t>ATP-dependent RNA helicase A OS=Homo sapiens GN=DHX9 PE=1 SV=4</t>
  </si>
  <si>
    <t>MegaP_hMMP2_GluC-1_OS_QStar-XL_20111027.02315.02315.3</t>
  </si>
  <si>
    <t>MegaP_hMMP2_GluC-1_OS_QStar-XL_20111027.02324.02324.3</t>
  </si>
  <si>
    <t>15/52</t>
  </si>
  <si>
    <t>A.n[89.01]YVK[156.13]K[156.13]LDPAQSASRE.N</t>
  </si>
  <si>
    <t>sp|Q13813|SPTN1_HUMAN,sp|Q13813-2|SPTN1_HUMAN,sp|Q13813-3|SPTN1_HUMAN</t>
  </si>
  <si>
    <t>Spectrin alpha chain, non-erythrocytic 1 OS=Homo sapiens GN=SPTAN1 PE=1 SV=3</t>
  </si>
  <si>
    <t>MegaP_hMMP2_GluC-1_OS_QStar-XL_20111027.02325.02325.3</t>
  </si>
  <si>
    <t>20/60</t>
  </si>
  <si>
    <t>MegaP_hMMP2_GluC-1_OS_QStar-XL_20111027.02328.02328.3</t>
  </si>
  <si>
    <t>20/64</t>
  </si>
  <si>
    <t>MegaP_hMMP2_GluC-1_OS_QStar-XL_20111027.02334.02334.3</t>
  </si>
  <si>
    <t>16/40</t>
  </si>
  <si>
    <t>D.n[29.04]AIHFYNK[156.13]SLAE.H</t>
  </si>
  <si>
    <t>sp|P31948|STIP1_HUMAN</t>
  </si>
  <si>
    <t>Stress-induced-phosphoprotein 1 OS=Homo sapiens GN=STIP1 PE=1 SV=1</t>
  </si>
  <si>
    <t>MegaP_hMMP2_GluC-1_OS_QStar-XL_20111027.02384.02384.3</t>
  </si>
  <si>
    <t>18/44</t>
  </si>
  <si>
    <t>A.n[89.01]LHK[156.13]AIM[147.04]VK[156.13]GVDE.A</t>
  </si>
  <si>
    <t>MegaP_hMMP2_GluC-1_OS_QStar-XL_20111027.02408.02408.2</t>
  </si>
  <si>
    <t>E.n[29.04]EAPYDAIHVG.A</t>
  </si>
  <si>
    <t>sp|P22061|PIMT_HUMAN,sp|P22061-2|PIMT_HUMAN</t>
  </si>
  <si>
    <t>Protein-L-isoaspartate(D-aspartate) O-methyltransferase OS=Homo sapiens GN=PCMT1 PE=1 SV=4</t>
  </si>
  <si>
    <t>MegaP_hMMP2_GluC-1_OS_QStar-XL_20111027.02417.02417.2</t>
  </si>
  <si>
    <t>MegaP_hMMP2_GluC-1_OS_QStar-XL_20111027.02418.02418.3</t>
  </si>
  <si>
    <t>11/40</t>
  </si>
  <si>
    <t>E.n[29.04]VAK[156.13]IIYIVHDE.V</t>
  </si>
  <si>
    <t>sp|P25788|PSA3_HUMAN,sp|P25788-2|PSA3_HUMAN</t>
  </si>
  <si>
    <t>Proteasome subunit alpha type-3 OS=Homo sapiens GN=PSMA3 PE=1 SV=2</t>
  </si>
  <si>
    <t>MegaP_hMMP2_GluC-1_OS_QStar-XL_20111027.02442.02442.3</t>
  </si>
  <si>
    <t>12/44</t>
  </si>
  <si>
    <t>A.n[89.01]VYAIHHQQLPHG.F</t>
  </si>
  <si>
    <t>sp|Q8WWM7|ATX2L_HUMAN</t>
  </si>
  <si>
    <t>Ataxin-2-like protein OS=Homo sapiens GN=ATXN2L PE=1 SV=2</t>
  </si>
  <si>
    <t>MegaP_hMMP2_GluC-1_OS_QStar-XL_20111027.02450.02450.3</t>
  </si>
  <si>
    <t>15/64</t>
  </si>
  <si>
    <t>G.n[89.01]WK[156.13]PGSDTIK[156.13]PNVDDSK[156.13]E.Y</t>
  </si>
  <si>
    <t>sp|P32119|PRDX2_HUMAN</t>
  </si>
  <si>
    <t>Peroxiredoxin-2 OS=Homo sapiens GN=PRDX2 PE=1 SV=5</t>
  </si>
  <si>
    <t>MegaP_hMMP2_GluC-1_OS_QStar-XL_20111027.02456.02456.3</t>
  </si>
  <si>
    <t>12/52</t>
  </si>
  <si>
    <t>A.n[89.01]AK[156.13]GTVGSILDRK[156.13]DE.T</t>
  </si>
  <si>
    <t>sp|P61221|ABCE1_HUMAN</t>
  </si>
  <si>
    <t>ATP-binding cassette sub-family E member 1 OS=Homo sapiens GN=ABCE1 PE=1 SV=1</t>
  </si>
  <si>
    <t>MegaP_hMMP2_GluC-1_OS_QStar-XL_20111027.02463.02463.3</t>
  </si>
  <si>
    <t>D.n[29.04]LGTTYSC[160.03]VGVFQHGK[156.13]VE.L</t>
  </si>
  <si>
    <t>MegaP_hMMP2_GluC-1_OS_QStar-XL_20111027.02474.02474.3</t>
  </si>
  <si>
    <t>17/44</t>
  </si>
  <si>
    <t>A.n[89.01]LHK[156.13]AIMVK[156.13]GVDE.A</t>
  </si>
  <si>
    <t>MegaP_hMMP2_GluC-1_OS_QStar-XL_20111027.02478.02478.2</t>
  </si>
  <si>
    <t>T.n[89.01]LK[156.13]SQLNSQSVE.L</t>
  </si>
  <si>
    <t>sp|O60763|USO1_HUMAN,sp|O60763-2|USO1_HUMAN</t>
  </si>
  <si>
    <t>General vesicular transport factor p115 OS=Homo sapiens GN=USO1 PE=1 SV=2</t>
  </si>
  <si>
    <t>MegaP_hMMP2_GluC-1_OS_QStar-XL_20111027.02505.02505.2</t>
  </si>
  <si>
    <t>S.n[89.01]VK[156.13]VFSGK[156.13]SE.R</t>
  </si>
  <si>
    <t>MegaP_hMMP2_GluC-1_OS_QStar-XL_20111027.02519.02519.2</t>
  </si>
  <si>
    <t>G.n[89.01]WK[156.13]PGSDTIK[156.13]PD.V</t>
  </si>
  <si>
    <t>MegaP_hMMP2_GluC-1_OS_QStar-XL_20111027.02525.02525.2</t>
  </si>
  <si>
    <t>T.n[89.01]LNAAK[156.13]VPADTE.V</t>
  </si>
  <si>
    <t>sp|P60174|TPIS_HUMAN</t>
  </si>
  <si>
    <t>Triosephosphate isomerase OS=Homo sapiens GN=TPI1 PE=1 SV=3</t>
  </si>
  <si>
    <t>MegaP_hMMP2_GluC-1_OS_QStar-XL_20111027.02540.02540.2</t>
  </si>
  <si>
    <t>sp|P60174|TPIS_HUMAN,sp|P60174-1|TPIS_HUMAN</t>
  </si>
  <si>
    <t>MegaP_hMMP2_GluC-1_OS_QStar-XL_20111027.02564.02564.3</t>
  </si>
  <si>
    <t>18/60</t>
  </si>
  <si>
    <t>D.n[29.04]VYK[156.13]IGGIGTVPVGRVE.T</t>
  </si>
  <si>
    <t>MegaP_hMMP2_GluC-1_OS_QStar-XL_20111027.02567.02567.2</t>
  </si>
  <si>
    <t>5/16</t>
  </si>
  <si>
    <t>C.n[29.04]C[160.03]C[160.03]C[160.03]GC[160.03]EC[160.03]LE.E</t>
  </si>
  <si>
    <t>sp|Q8N565|MREG_HUMAN,sp|Q8N565-2|MREG_HUMAN</t>
  </si>
  <si>
    <t>Melanoregulin OS=Homo sapiens GN=MREG PE=1 SV=1</t>
  </si>
  <si>
    <t>MegaP_hMMP2_GluC-1_OS_QStar-XL_20111027.02570.02570.3</t>
  </si>
  <si>
    <t>E.n[89.01]VYHNLK[156.13]NVIK[156.13]E.K</t>
  </si>
  <si>
    <t>MegaP_hMMP2_GluC-1_OS_QStar-XL_20111027.02576.02576.2</t>
  </si>
  <si>
    <t>sp|P08107|HSP71_HUMAN,sp|P34931|HS71L_HUMAN,sp|P08107-2|HSP71_HUMAN,sp|P54652|HSP72_HUMAN,sp|P11142|HSP7C_HUMAN,sp|P11142-2|HSP7C_HUMAN</t>
  </si>
  <si>
    <t>MegaP_hMMP2_GluC-1_OS_QStar-XL_20111027.02580.02580.2</t>
  </si>
  <si>
    <t>T.n[89.01]IAK[156.13]SGTK[156.13]AFME.A</t>
  </si>
  <si>
    <t>sp|P08238|HS90B_HUMAN,sp|Q14568|HS902_HUMAN,sp|P07900|HS90A_HUMAN,sp|P07900-2|HS90A_HUMAN</t>
  </si>
  <si>
    <t>MegaP_hMMP2_GluC-1_OS_QStar-XL_20111027.02589.02589.2</t>
  </si>
  <si>
    <t>A.n[89.01]LVSK[156.13]K[156.13]LNVTE.Q</t>
  </si>
  <si>
    <t>MegaP_hMMP2_GluC-1_OS_QStar-XL_20111027.02597.02597.2</t>
  </si>
  <si>
    <t>A.n[89.01]QVK[156.13]APLVLK[156.13]D.-</t>
  </si>
  <si>
    <t>MegaP_hMMP2_GluC-1_OS_QStar-XL_20111027.02598.02598.2</t>
  </si>
  <si>
    <t>E.n[29.04]TMVYHPNIDLE.G</t>
  </si>
  <si>
    <t>sp|P61081|UBC12_HUMAN</t>
  </si>
  <si>
    <t>NEDD8-conjugating enzyme Ubc12 OS=Homo sapiens GN=UBE2M PE=1 SV=1</t>
  </si>
  <si>
    <t>MegaP_hMMP2_GluC-1_OS_QStar-XL_20111027.02603.02603.2</t>
  </si>
  <si>
    <t>D.n[89.01]LVTATDQK[156.13]VE.K</t>
  </si>
  <si>
    <t>sp|P29218|IMPA1_HUMAN,sp|P29218-2|IMPA1_HUMAN,sp|P29218-3|IMPA1_HUMAN</t>
  </si>
  <si>
    <t>Inositol monophosphatase 1 OS=Homo sapiens GN=IMPA1 PE=1 SV=1</t>
  </si>
  <si>
    <t>MegaP_hMMP2_GluC-1_OS_QStar-XL_20111027.02613.02613.2</t>
  </si>
  <si>
    <t>MegaP_hMMP2_GluC-1_OS_QStar-XL_20111027.02636.02636.3</t>
  </si>
  <si>
    <t>W.n[89.01]LDANTLAEK[156.13]DEFEHK[156.13].R</t>
  </si>
  <si>
    <t>sp|P08107|HSP71_HUMAN</t>
  </si>
  <si>
    <t>MegaP_hMMP2_GluC-1_OS_QStar-XL_20111027.02639.02639.3</t>
  </si>
  <si>
    <t>19/52</t>
  </si>
  <si>
    <t>G.n[89.01]LRSVQTFADK[156.13]SK[156.13]QE.A</t>
  </si>
  <si>
    <t>sp|P47756-2|CAPZB_HUMAN</t>
  </si>
  <si>
    <t>Isoform 2 of F-actin-capping protein subunit beta OS=Homo sapiens GN=CAPZB</t>
  </si>
  <si>
    <t>MegaP_hMMP2_GluC-1_OS_QStar-XL_20111027.02657.02657.2</t>
  </si>
  <si>
    <t>A.n[89.01]FQFTDK[156.13]HGE.V</t>
  </si>
  <si>
    <t>MegaP_hMMP2_GluC-1_OS_QStar-XL_20111027.02658.02658.2</t>
  </si>
  <si>
    <t>H.n[89.01]SVGVVIGRSGE.M</t>
  </si>
  <si>
    <t>sp|Q92945|FUBP2_HUMAN</t>
  </si>
  <si>
    <t>Far upstream element-binding protein 2 OS=Homo sapiens GN=KHSRP PE=1 SV=4</t>
  </si>
  <si>
    <t>MegaP_hMMP2_GluC-1_OS_QStar-XL_20111027.02675.02675.2</t>
  </si>
  <si>
    <t>Q.n[89.01]VK[156.13]APLVLK[156.13]D.-</t>
  </si>
  <si>
    <t>MegaP_hMMP2_GluC-1_OS_QStar-XL_20111027.02678.02678.2</t>
  </si>
  <si>
    <t>11/12</t>
  </si>
  <si>
    <t>K.n[89.01]LYAVHQE.G</t>
  </si>
  <si>
    <t>sp|P50990|TCPQ_HUMAN</t>
  </si>
  <si>
    <t>T-complex protein 1 subunit theta OS=Homo sapiens GN=CCT8 PE=1 SV=4</t>
  </si>
  <si>
    <t>MegaP_hMMP2_GluC-1_OS_QStar-XL_20111027.02697.02697.2</t>
  </si>
  <si>
    <t>A.n[89.01]LC[160.03]SLHSIGK[156.13].L</t>
  </si>
  <si>
    <t>MegaP_hMMP2_GluC-1_OS_QStar-XL_20111027.02705.02705.2</t>
  </si>
  <si>
    <t>MegaP_hMMP2_GluC-1_OS_QStar-XL_20111027.02723.02723.2</t>
  </si>
  <si>
    <t>Q.n[89.01]LK[156.13]VVQTK[156.13]YVE.A</t>
  </si>
  <si>
    <t>sp|Q99471|PFD5_HUMAN,sp|Q99471-2|PFD5_HUMAN</t>
  </si>
  <si>
    <t>Prefoldin subunit 5 OS=Homo sapiens GN=PFDN5 PE=1 SV=2</t>
  </si>
  <si>
    <t>MegaP_hMMP2_GluC-1_OS_QStar-XL_20111027.02729.02729.3</t>
  </si>
  <si>
    <t>G.n[89.01]VVVGK[156.13]DTLLTNK[156.13]HVVD.A</t>
  </si>
  <si>
    <t>MegaP_hMMP2_GluC-1_OS_QStar-XL_20111027.02735.02735.3</t>
  </si>
  <si>
    <t>E.n[89.01]AQSK[156.13]RGILTLK[156.13]YPIE.H</t>
  </si>
  <si>
    <t>MegaP_hMMP2_GluC-1_OS_QStar-XL_20111027.02744.02744.2</t>
  </si>
  <si>
    <t>11/14</t>
  </si>
  <si>
    <t>D.n[89.01]FVLRFFSE.K</t>
  </si>
  <si>
    <t>sp|P07384|CAN1_HUMAN</t>
  </si>
  <si>
    <t>Calpain-1 catalytic subunit OS=Homo sapiens GN=CAPN1 PE=1 SV=1</t>
  </si>
  <si>
    <t>MegaP_hMMP2_GluC-1_OS_QStar-XL_20111027.02768.02768.2</t>
  </si>
  <si>
    <t>H.n[89.01]ISGQHLVAVEE.D</t>
  </si>
  <si>
    <t>sp|P06748|NPM_HUMAN,sp|P06748-2|NPM_HUMAN,sp|P06748-3|NPM_HUMAN</t>
  </si>
  <si>
    <t>Nucleophosmin OS=Homo sapiens GN=NPM1 PE=1 SV=2</t>
  </si>
  <si>
    <t>MegaP_hMMP2_GluC-1_OS_QStar-XL_20111027.02771.02771.3</t>
  </si>
  <si>
    <t>20/44</t>
  </si>
  <si>
    <t>E.n[29.04]GYALPHAILRLD.L</t>
  </si>
  <si>
    <t>sp|P60709|ACTB_HUMAN,sp|Q562R1|ACTBL_HUMAN,sp|P63261|ACTG_HUMAN,CON_P60712|P60712</t>
  </si>
  <si>
    <t>MegaP_hMMP2_GluC-1_OS_QStar-XL_20111027.02792.02792.3</t>
  </si>
  <si>
    <t>18/52</t>
  </si>
  <si>
    <t>MegaP_hMMP2_GluC-1_OS_QStar-XL_20111027.02802.02802.2</t>
  </si>
  <si>
    <t>N.n[89.01]IISRTTDGVYE.G</t>
  </si>
  <si>
    <t>sp|P53396|ACLY_HUMAN,sp|P53396-2|ACLY_HUMAN</t>
  </si>
  <si>
    <t>ATP-citrate synthase OS=Homo sapiens GN=ACLY PE=1 SV=3</t>
  </si>
  <si>
    <t>MegaP_hMMP2_GluC-1_OS_QStar-XL_20111027.02805.02805.2</t>
  </si>
  <si>
    <t>A.n[89.01]QHALRLAAFG.Q</t>
  </si>
  <si>
    <t>sp|Q12906|ILF3_HUMAN</t>
  </si>
  <si>
    <t>Interleukin enhancer-binding factor 3 OS=Homo sapiens GN=ILF3 PE=1 SV=3</t>
  </si>
  <si>
    <t>MegaP_hMMP2_GluC-1_OS_QStar-XL_20111027.02807.02807.3</t>
  </si>
  <si>
    <t>MegaP_hMMP2_GluC-1_OS_QStar-XL_20111027.02811.02811.2</t>
  </si>
  <si>
    <t>MegaP_hMMP2_GluC-1_OS_QStar-XL_20111027.02831.02831.3</t>
  </si>
  <si>
    <t>N.n[89.01]ILK[156.13]DK[156.13]DPPIPVAK[156.13]ID.A</t>
  </si>
  <si>
    <t>MegaP_hMMP2_GluC-1_OS_QStar-XL_20111027.02832.02832.2</t>
  </si>
  <si>
    <t>MegaP_hMMP2_GluC-1_OS_QStar-XL_20111027.02838.02838.2</t>
  </si>
  <si>
    <t>R.n[89.01]AVSAVK[156.13]NMNLPE.L</t>
  </si>
  <si>
    <t>sp|Q92572|AP3S1_HUMAN</t>
  </si>
  <si>
    <t>AP-3 complex subunit sigma-1 OS=Homo sapiens GN=AP3S1 PE=1 SV=1</t>
  </si>
  <si>
    <t>MegaP_hMMP2_GluC-1_OS_QStar-XL_20111027.02852.02852.2</t>
  </si>
  <si>
    <t>E.n[89.01]ALHYLTRVE.V</t>
  </si>
  <si>
    <t>MegaP_hMMP2_GluC-1_OS_QStar-XL_20111027.02873.02873.2</t>
  </si>
  <si>
    <t>G.n[89.01]LRVQAMQISSE.K</t>
  </si>
  <si>
    <t>sp|Q9UKY7|CDV3_HUMAN,sp|Q9UKY7-2|CDV3_HUMAN</t>
  </si>
  <si>
    <t>Protein CDV3 homolog OS=Homo sapiens GN=CDV3 PE=1 SV=1</t>
  </si>
  <si>
    <t>MegaP_hMMP2_GluC-1_OS_QStar-XL_20111027.02885.02885.2</t>
  </si>
  <si>
    <t>K.n[89.01]LNVK[156.13]LTK[156.13]LTE.K</t>
  </si>
  <si>
    <t>sp|P23526|SAHH_HUMAN,sp|P23526-2|SAHH_HUMAN</t>
  </si>
  <si>
    <t>Adenosylhomocysteinase OS=Homo sapiens GN=AHCY PE=1 SV=4</t>
  </si>
  <si>
    <t>MegaP_hMMP2_GluC-1_OS_QStar-XL_20111027.02891.02891.2</t>
  </si>
  <si>
    <t>R.n[89.01]LVTIK[156.13]QLHE.Q</t>
  </si>
  <si>
    <t>sp|Q13561|DCTN2_HUMAN,sp|Q13561-2|DCTN2_HUMAN,sp|Q13561-3|DCTN2_HUMAN</t>
  </si>
  <si>
    <t>Dynactin subunit 2 OS=Homo sapiens GN=DCTN2 PE=1 SV=4</t>
  </si>
  <si>
    <t>MegaP_hMMP2_GluC-1_OS_QStar-XL_20111027.02892.02892.3</t>
  </si>
  <si>
    <t>R.n[89.01]VIHIRK[156.13]LPIDVTE.G</t>
  </si>
  <si>
    <t>sp|P26599|PTBP1_HUMAN</t>
  </si>
  <si>
    <t>Polypyrimidine tract-binding protein 1 OS=Homo sapiens GN=PTBP1 PE=1 SV=1</t>
  </si>
  <si>
    <t>MegaP_hMMP2_GluC-1_OS_QStar-XL_20111027.02907.02907.3</t>
  </si>
  <si>
    <t>M.n[89.01]QK[156.13]AQQVSQGLDVLTAK[156.13]VE.N</t>
  </si>
  <si>
    <t>MegaP_hMMP2_GluC-1_OS_QStar-XL_20111027.02909.02909.2</t>
  </si>
  <si>
    <t>C.n[89.01]IIGRTLVVHE.K</t>
  </si>
  <si>
    <t>sp|P00441|SODC_HUMAN</t>
  </si>
  <si>
    <t>Superoxide dismutase [Cu-Zn] OS=Homo sapiens GN=SOD1 PE=1 SV=2</t>
  </si>
  <si>
    <t>MegaP_hMMP2_GluC-1_OS_QStar-XL_20111027.02921.02921.3</t>
  </si>
  <si>
    <t>MegaP_hMMP2_GluC-1_OS_QStar-XL_20111027.02939.02939.2</t>
  </si>
  <si>
    <t>S.n[89.01]LIAK[156.13]VATAQDD.V</t>
  </si>
  <si>
    <t>sp|Q92526|TCPW_HUMAN,sp|Q92526-3|TCPW_HUMAN,sp|P40227|TCPZ_HUMAN</t>
  </si>
  <si>
    <t>T-complex protein 1 subunit zeta-2 OS=Homo sapiens GN=CCT6B PE=1 SV=5</t>
  </si>
  <si>
    <t>MegaP_hMMP2_GluC-1_OS_QStar-XL_20111027.02942.02942.2</t>
  </si>
  <si>
    <t>P.n[89.01]LK[156.13]GLSLVDK[156.13]E.N</t>
  </si>
  <si>
    <t>sp|P31350|RIR2_HUMAN,sp|P31350-2|RIR2_HUMAN</t>
  </si>
  <si>
    <t>Ribonucleoside-diphosphate reductase subunit M2 OS=Homo sapiens GN=RRM2 PE=1 SV=1</t>
  </si>
  <si>
    <t>MegaP_hMMP2_GluC-1_OS_QStar-XL_20111027.02954.02954.3</t>
  </si>
  <si>
    <t>D.n[89.01]LAIVK[156.13]FSPNEQNK[156.13]HIGE.V</t>
  </si>
  <si>
    <t>MegaP_hMMP2_GluC-1_OS_QStar-XL_20111027.02978.02978.2</t>
  </si>
  <si>
    <t>A.n[89.01]LASQLQDSLK[156.13]D.L</t>
  </si>
  <si>
    <t>MegaP_hMMP2_GluC-1_OS_QStar-XL_20111027.02994.02994.4</t>
  </si>
  <si>
    <t>13/96</t>
  </si>
  <si>
    <t>L.n[89.01]IVIYFVVVMAVGLWAMF.S</t>
  </si>
  <si>
    <t>sp|P13866|SC5A1_HUMAN</t>
  </si>
  <si>
    <t>Sodium\glucose cotransporter 1 OS=Homo sapiens GN=SLC5A1 PE=1 SV=1</t>
  </si>
  <si>
    <t>MegaP_hMMP2_GluC-1_OS_QStar-XL_20111027.03044.03044.2</t>
  </si>
  <si>
    <t>MegaP_hMMP2_GluC-1_OS_QStar-XL_20111027.03059.03059.2</t>
  </si>
  <si>
    <t>MegaP_hMMP2_GluC-1_OS_QStar-XL_20111027.03068.03068.2</t>
  </si>
  <si>
    <t>D.n[89.01]WYSQVITK[156.13]SE.M</t>
  </si>
  <si>
    <t>sp|P07814|SYEP_HUMAN</t>
  </si>
  <si>
    <t>Bifunctional glutamate\proline--tRNA ligase OS=Homo sapiens GN=EPRS PE=1 SV=5</t>
  </si>
  <si>
    <t>MegaP_hMMP2_GluC-1_OS_QStar-XL_20111027.03072.03072.2</t>
  </si>
  <si>
    <t>MegaP_hMMP2_GluC-1_OS_QStar-XL_20111027.03077.03077.2</t>
  </si>
  <si>
    <t>MegaP_hMMP2_GluC-1_OS_QStar-XL_20111027.03084.03084.2</t>
  </si>
  <si>
    <t>A.n[89.01]LINAAIQK[156.13]GVAE.K</t>
  </si>
  <si>
    <t>sp|P46940|IQGA1_HUMAN</t>
  </si>
  <si>
    <t>Ras GTPase-activating-like protein IQGAP1 OS=Homo sapiens GN=IQGAP1 PE=1 SV=1</t>
  </si>
  <si>
    <t>MegaP_hMMP2_GluC-1_OS_QStar-XL_20111027.03099.03099.2</t>
  </si>
  <si>
    <t>MegaP_hMMP2_GluC-1_OS_QStar-XL_20111027.03104.03104.2</t>
  </si>
  <si>
    <t>A.n[89.01]LLAHEIGFGSK[156.13].V</t>
  </si>
  <si>
    <t>MegaP_hMMP2_GluC-1_OS_QStar-XL_20111027.03105.03105.3</t>
  </si>
  <si>
    <t>15/60</t>
  </si>
  <si>
    <t>E.n[29.04]FQTNLVPYPRIHFPLA.T</t>
  </si>
  <si>
    <t>sp|Q71U36|TBA1A_HUMAN,sp|Q71U36-2|TBA1A_HUMAN,sp|P68363|TBA1B_HUMAN,sp|Q9BQE3|TBA1C_HUMAN,sp|Q13748|TBA3C_HUMAN,sp|Q13748-2|TBA3C_HUMAN,sp|Q6PEY2|TBA3E_HUMAN,sp|P68366|TBA4A_HUMAN,CON_ENSBTAP00000016242|ENSBTAP00000016242</t>
  </si>
  <si>
    <t>Tubulin alpha-1A chain OS=Homo sapiens GN=TUBA1A PE=1 SV=1</t>
  </si>
  <si>
    <t>MegaP_hMMP2_GluC-1_OS_QStar-XL_20111027.03131.03131.2</t>
  </si>
  <si>
    <t>D.n[89.01]LINNLGTIAK[156.13].S</t>
  </si>
  <si>
    <t>sp|Q14568|HS902_HUMAN,sp|Q58FF8|H90B2_HUMAN,sp|P07900|HS90A_HUMAN,sp|P07900-2|HS90A_HUMAN,sp|P08238|HS90B_HUMAN</t>
  </si>
  <si>
    <t>MegaP_hMMP2_GluC-1_OS_QStar-XL_20111027.03132.03132.2</t>
  </si>
  <si>
    <t>8/20</t>
  </si>
  <si>
    <t>E.n[29.04]RPTVPRK[156.13]PRTE.P</t>
  </si>
  <si>
    <t>sp|Q8N8Y5|ZFP41_HUMAN</t>
  </si>
  <si>
    <t>Zinc finger protein 41 homolog OS=Homo sapiens GN=ZFP41 PE=2 SV=1</t>
  </si>
  <si>
    <t>MegaP_hMMP2_GluC-1_OS_QStar-XL_20111027.03143.03143.2</t>
  </si>
  <si>
    <t>D.n[29.04]STLIMQLLRD.N</t>
  </si>
  <si>
    <t>sp|P31946|1433B_HUMAN,sp|P31946-2|1433B_HUMAN,sp|P62258|1433E_HUMAN,sp|P62258-2|1433E_HUMAN,sp|Q04917|1433F_HUMAN,sp|P61981|1433G_HUMAN,sp|P31947|1433S_HUMAN,sp|P31947-2|1433S_HUMAN,sp|P27348|1433T_HUMAN,sp|P63104|1433Z_HUMAN,sp|P63104-2|1433Z_HUMAN</t>
  </si>
  <si>
    <t>MegaP_hMMP2_GluC-1_OS_QStar-XL_20111027.03144.03144.2</t>
  </si>
  <si>
    <t>D.n[89.01]LINNLGTIAK[156.13]S.G</t>
  </si>
  <si>
    <t>MegaP_hMMP2_GluC-1_OS_QStar-XL_20111027.03156.03156.3</t>
  </si>
  <si>
    <t>N.n[89.01]LK[156.13]APLDIPVPDPVK[156.13]E.K</t>
  </si>
  <si>
    <t>MegaP_hMMP2_GluC-1_OS_QStar-XL_20111027.03176.03176.2</t>
  </si>
  <si>
    <t>14/22</t>
  </si>
  <si>
    <t>MegaP_hMMP2_GluC-1_OS_QStar-XL_20111027.03191.03191.2</t>
  </si>
  <si>
    <t>16/18</t>
  </si>
  <si>
    <t>N.n[89.01]LQNAFRIIK[156.13]E.V</t>
  </si>
  <si>
    <t>sp|Q9Y5B9|SP16H_HUMAN</t>
  </si>
  <si>
    <t>FACT complex subunit SPT16 OS=Homo sapiens GN=SUPT16H PE=1 SV=1</t>
  </si>
  <si>
    <t>MegaP_hMMP2_GluC-1_OS_QStar-XL_20111027.03192.03192.2</t>
  </si>
  <si>
    <t>D.n[89.01]LVVGLC[160.03]TGQIK[156.13].T</t>
  </si>
  <si>
    <t>MegaP_hMMP2_GluC-1_OS_QStar-XL_20111027.03200.03200.2</t>
  </si>
  <si>
    <t>A.n[89.01]LSLAVDK[156.13]QFEE.R</t>
  </si>
  <si>
    <t>sp|Q15645|PCH2_HUMAN,sp|Q15645-2|PCH2_HUMAN</t>
  </si>
  <si>
    <t>Pachytene checkpoint protein 2 homolog OS=Homo sapiens GN=TRIP13 PE=1 SV=2</t>
  </si>
  <si>
    <t>MegaP_hMMP2_GluC-1_OS_QStar-XL_20111027.03206.03206.2</t>
  </si>
  <si>
    <t>R.n[89.01]YYALK[156.13]SMTE.A</t>
  </si>
  <si>
    <t>sp|P12277|KCRB_HUMAN</t>
  </si>
  <si>
    <t>Creatine kinase B-type OS=Homo sapiens GN=CKB PE=1 SV=1</t>
  </si>
  <si>
    <t>MegaP_hMMP2_GluC-1_OS_QStar-XL_20111027.03219.03219.2</t>
  </si>
  <si>
    <t>K.n[89.01]MIVMASHMQE.Q</t>
  </si>
  <si>
    <t>MegaP_hMMP2_GluC-1_OS_QStar-XL_20111027.03221.03221.2</t>
  </si>
  <si>
    <t>D.n[89.01]LFTSK[156.13]GLFR.A</t>
  </si>
  <si>
    <t>MegaP_hMMP2_GluC-1_OS_QStar-XL_20111027.03222.03222.3</t>
  </si>
  <si>
    <t>19/68</t>
  </si>
  <si>
    <t>K.n[29.04]GHYTEGAELVDSVLDVVR.K</t>
  </si>
  <si>
    <t>sp|Q13885|TBB2A_HUMAN</t>
  </si>
  <si>
    <t>Tubulin beta-2A chain OS=Homo sapiens GN=TUBB2A PE=1 SV=1</t>
  </si>
  <si>
    <t>MegaP_hMMP2_GluC-1_OS_QStar-XL_20111027.03228.03228.2</t>
  </si>
  <si>
    <t>N.n[89.01]STAIQELFK[156.13]R.L</t>
  </si>
  <si>
    <t>sp|P68371|TBB4B_HUMAN</t>
  </si>
  <si>
    <t>Tubulin beta-4B chain OS=Homo sapiens GN=TUBB4B PE=1 SV=1</t>
  </si>
  <si>
    <t>MegaP_hMMP2_GluC-1_OS_QStar-XL_20111027.03273.03273.2</t>
  </si>
  <si>
    <t>9/22</t>
  </si>
  <si>
    <t>L.n[89.01]LMASIPLPDK[156.13]AS.-</t>
  </si>
  <si>
    <t>sp|P00491|PNPH_HUMAN</t>
  </si>
  <si>
    <t>Purine nucleoside phosphorylase OS=Homo sapiens GN=PNP PE=1 SV=2</t>
  </si>
  <si>
    <t>MegaP_hMMP2_GluC-1_OS_QStar-XL_20111027.03280.03280.2</t>
  </si>
  <si>
    <t>MegaP_hMMP2_GluC-1_OS_QStar-XL_20111027.03304.03304.2</t>
  </si>
  <si>
    <t>K.n[89.01]VWGSIK[156.13]GLTE.G</t>
  </si>
  <si>
    <t>MegaP_hMMP2_GluC-1_OS_QStar-XL_20111027.03315.03315.2</t>
  </si>
  <si>
    <t>MegaP_hMMP2_GluC-1_OS_QStar-XL_20111027.03317.03317.2</t>
  </si>
  <si>
    <t>MegaP_hMMP2_GluC-1_OS_QStar-XL_20111027.03343.03343.2</t>
  </si>
  <si>
    <t>D.n[89.01]LVIPFTIK[156.13]K[156.13]GE.L</t>
  </si>
  <si>
    <t>sp|P21333|FLNA_HUMAN,sp|P21333-2|FLNA_HUMAN</t>
  </si>
  <si>
    <t>Filamin-A OS=Homo sapiens GN=FLNA PE=1 SV=4</t>
  </si>
  <si>
    <t>MegaP_hMMP2_GluC-1_OS_QStar-XL_20111027.03352.03352.2</t>
  </si>
  <si>
    <t>MegaP_hMMP2_GluC-1_OS_QStar-XL_20111027.03367.03367.2</t>
  </si>
  <si>
    <t>MegaP_hMMP2_GluC-1_OS_QStar-XL_20111027.03399.03399.3</t>
  </si>
  <si>
    <t>G.n[89.01]LIADAK[156.13]TLIDK[156.13]ARVE.T</t>
  </si>
  <si>
    <t>sp|P28066|PSA5_HUMAN,sp|P28066-2|PSA5_HUMAN</t>
  </si>
  <si>
    <t>Proteasome subunit alpha type-5 OS=Homo sapiens GN=PSMA5 PE=1 SV=3</t>
  </si>
  <si>
    <t>MegaP_hMMP2_GluC-1_OS_QStar-XL_20111027.03403.03403.2</t>
  </si>
  <si>
    <t>A.n[89.01]ILGVSLAVC[160.03]K[156.13].A</t>
  </si>
  <si>
    <t>MegaP_hMMP2_GluC-1_OS_QStar-XL_20111027.03418.03418.2</t>
  </si>
  <si>
    <t>8/18</t>
  </si>
  <si>
    <t>D.n[89.01]GPVQGIINFE.Q</t>
  </si>
  <si>
    <t>MegaP_hMMP2_GluC-1_OS_QStar-XL_20111027.03426.03426.2</t>
  </si>
  <si>
    <t>C.n[89.01]AISILGK[156.13]SLADE.L</t>
  </si>
  <si>
    <t>MegaP_hMMP2_GluC-1_OS_QStar-XL_20111027.03429.03429.2</t>
  </si>
  <si>
    <t>MegaP_hMMP2_GluC-1_OS_QStar-XL_20111027.03442.03442.2</t>
  </si>
  <si>
    <t>C.n[89.01]IYSALILHDDE.V</t>
  </si>
  <si>
    <t>sp|P05386|RLA1_HUMAN,sp|P05386-2|RLA1_HUMAN</t>
  </si>
  <si>
    <t>60S acidic ribosomal protein P1 OS=Homo sapiens GN=RPLP1 PE=1 SV=1</t>
  </si>
  <si>
    <t>MegaP_hMMP2_GluC-1_OS_QStar-XL_20111027.03454.03454.2</t>
  </si>
  <si>
    <t>R.n[89.01]MFILQSK[156.13]E.A</t>
  </si>
  <si>
    <t>sp|O60925|PFD1_HUMAN</t>
  </si>
  <si>
    <t>Prefoldin subunit 1 OS=Homo sapiens GN=PFDN1 PE=1 SV=2</t>
  </si>
  <si>
    <t>MegaP_hMMP2_GluC-1_OS_QStar-XL_20111027.03457.03457.2</t>
  </si>
  <si>
    <t>MegaP_hMMP2_GluC-1_OS_QStar-XL_20111027.03488.03488.2</t>
  </si>
  <si>
    <t>S.n[89.01]IK[156.13]QAVDFLSNE.G</t>
  </si>
  <si>
    <t>sp|P15927|RFA2_HUMAN</t>
  </si>
  <si>
    <t>Replication protein A 32 kDa subunit OS=Homo sapiens GN=RPA2 PE=1 SV=1</t>
  </si>
  <si>
    <t>MegaP_hMMP2_GluC-1_OS_QStar-XL_20111027.03491.03491.2</t>
  </si>
  <si>
    <t>A.n[89.01]LVILAK[156.13]GAEE.M</t>
  </si>
  <si>
    <t>MegaP_hMMP2_GluC-1_OS_QStar-XL_20111027.03517.03517.2</t>
  </si>
  <si>
    <t>MegaP_hMMP2_GluC-1_OS_QStar-XL_20111027.03559.03559.2</t>
  </si>
  <si>
    <t>A.n[89.01]IQGLRAVFDE.T</t>
  </si>
  <si>
    <t>sp|P49588|SYAC_HUMAN</t>
  </si>
  <si>
    <t>Alanine--tRNA ligase, cytoplasmic OS=Homo sapiens GN=AARS PE=1 SV=2</t>
  </si>
  <si>
    <t>MegaP_hMMP2_GluC-1_OS_QStar-XL_20111027.03567.03567.2</t>
  </si>
  <si>
    <t>G.n[89.01]MVALLDYRE.D</t>
  </si>
  <si>
    <t>sp|P13693|TCTP_HUMAN</t>
  </si>
  <si>
    <t>Translationally-controlled tumor protein OS=Homo sapiens GN=TPT1 PE=1 SV=1</t>
  </si>
  <si>
    <t>MegaP_hMMP2_GluC-1_OS_QStar-XL_20111027.03623.03623.2</t>
  </si>
  <si>
    <t>D.n[89.01]GSVLK[156.13]QFLSE.T</t>
  </si>
  <si>
    <t>sp|P09936|UCHL1_HUMAN</t>
  </si>
  <si>
    <t>Ubiquitin carboxyl-terminal hydrolase isozyme L1 OS=Homo sapiens GN=UCHL1 PE=1 SV=2</t>
  </si>
  <si>
    <t>MegaP_hMMP2_GluC-1_OS_QStar-XL_20111027.03662.03662.3</t>
  </si>
  <si>
    <t>13/60</t>
  </si>
  <si>
    <t>D.n[29.04]LAGRDLTDYLMK[156.13]ILTE.R</t>
  </si>
  <si>
    <t>sp|P60709|ACTB_HUMAN,sp|P62736|ACTA_HUMAN,sp|Q562R1|ACTBL_HUMAN,sp|P68032|ACTC_HUMAN,sp|P63261|ACTG_HUMAN,sp|P63267|ACTH_HUMAN,sp|P63267-2|ACTH_HUMAN,sp|P68133|ACTS_HUMAN,CON_P60712|P60712</t>
  </si>
  <si>
    <t>MegaP_hMMP2_GluC-1_OS_QStar-XL_20111027.03720.03720.3</t>
  </si>
  <si>
    <t>12/56</t>
  </si>
  <si>
    <t>E.n[29.04]VTQDLIDESEEERFE.E</t>
  </si>
  <si>
    <t>sp|Q5MIZ7|P4R3B_HUMAN</t>
  </si>
  <si>
    <t>Serine\threonine-protein phosphatase 4 regulatory subunit 3B OS=Homo sapiens GN=SMEK2 PE=1 SV=2</t>
  </si>
  <si>
    <t>MegaP_hMMP2_GluC-1_OS_QStar-XL_20111027.03734.03734.2</t>
  </si>
  <si>
    <t>N.n[89.01]LLNAVIVQRLT.-</t>
  </si>
  <si>
    <t>sp|Q9UNZ2|NSF1C_HUMAN</t>
  </si>
  <si>
    <t>NSFL1 cofactor p47 OS=Homo sapiens GN=NSFL1C PE=1 SV=2</t>
  </si>
  <si>
    <t>MegaP_hMMP2_GluC-1_OS_QStar-XL_20111027.03921.03921.2</t>
  </si>
  <si>
    <t>N.n[89.01]IFGPLVK[156.13]LE.A</t>
  </si>
  <si>
    <t>sp|Q92900|RENT1_HUMAN,sp|Q92900-2|RENT1_HUMAN</t>
  </si>
  <si>
    <t>Regulator of nonsense transcripts 1 OS=Homo sapiens GN=UPF1 PE=1 SV=2</t>
  </si>
  <si>
    <t>MegaP_hMMP2_GluC-1_OS_QStar-XL_20111027.03964.03964.2</t>
  </si>
  <si>
    <t>K.n[89.01]LQALQRVLQSE.F</t>
  </si>
  <si>
    <t>sp|Q9NUP9|LIN7C_HUMAN</t>
  </si>
  <si>
    <t>Protein lin-7 homolog C OS=Homo sapiens GN=LIN7C PE=1 SV=1</t>
  </si>
  <si>
    <t>MegaP_hMMP2_GluC-1_OS_QStar-XL_20111027.03988.03988.2</t>
  </si>
  <si>
    <t>MegaP_hMMP2_GluC-1_OS_QStar-XL_20111027.04268.04268.2</t>
  </si>
  <si>
    <t>L.n[89.01]LLLFPLTAQHE.N</t>
  </si>
  <si>
    <t>MegaP_hMMP2_GluC-1_OS_QStar-XL_20111027.05211.05211.2</t>
  </si>
  <si>
    <t>MegaP_hMMP2_GluC-1_OS_QStar-XL_20111027.05217.05217.2</t>
  </si>
  <si>
    <t>MegaP_hMMP2_GluC-1_OS_QStar-XL_20111027.05230.05230.3</t>
  </si>
  <si>
    <t>MegaP_hMMP2_GluC-1_OS_QStar-XL_20111027.05254.05254.2</t>
  </si>
  <si>
    <t>MegaP_hMMP2_GluC-1_OS_QStar-XL_20111027.05268.05268.2</t>
  </si>
  <si>
    <t>MegaP_hMMP2_GluC-1_OS_QStar-XL_20111027.05273.05273.2</t>
  </si>
  <si>
    <t>MegaP_hMMP2_GluC-1_OS_QStar-XL_20111027.05274.05274.2</t>
  </si>
  <si>
    <t>MegaP_hMMP2_GluC-1_OS_QStar-XL_20111027.05275.05275.3</t>
  </si>
  <si>
    <t>D.n[89.01]LINNLGTIAK[156.13]SGTK[156.13]AFM[147.04]E.A</t>
  </si>
  <si>
    <t>MegaP_hMMP2_GluC-1_OS_QStar-XL_20111027.05276.05276.2</t>
  </si>
  <si>
    <t>MegaP_hMMP2_GluC-1_OS_QStar-XL_20111027.05278.05278.2</t>
  </si>
  <si>
    <t>MegaP_hMMP2_GluC-1_OS_QStar-XL_20111027.05280.05280.2</t>
  </si>
  <si>
    <t>M.n[89.01]VVTFAPVNVTTE.V</t>
  </si>
  <si>
    <t>sp|P68104|EF1A1_HUMAN,sp|Q5VTE0|EF1A3_HUMAN</t>
  </si>
  <si>
    <t>MegaP_hMMP2_GluC-1_OS_QStar-XL_20111027.05286.05286.2</t>
  </si>
  <si>
    <t>MegaP_hMMP2_GluC-1_OS_QStar-XL_20111027.05287.05287.2</t>
  </si>
  <si>
    <t>R.n[89.01]LIFAGK[156.13]QLE.D</t>
  </si>
  <si>
    <t>sp|P62987|RL40_HUMAN,sp|P62979|RS27A_HUMAN,sp|P0CG47|UBB_HUMAN,sp|P0CG48|UBC_HUMAN</t>
  </si>
  <si>
    <t>Ubiquitin-60S ribosomal protein L40 OS=Homo sapiens GN=UBA52 PE=1 SV=2</t>
  </si>
  <si>
    <t>MegaP_hMMP2_GluC-1_OS_QStar-XL_20111027.05288.05288.2</t>
  </si>
  <si>
    <t>MegaP_hMMP2_GluC-1_OS_QStar-XL_20111027.05294.05294.2</t>
  </si>
  <si>
    <t>MegaP_hMMP2_GluC-1_OS_QStar-XL_20111027.05306.05306.2</t>
  </si>
  <si>
    <t>sp|Q9UNZ2|NSF1C_HUMAN,sp|Q9UNZ2-4|NSF1C_HUMAN,sp|Q9UNZ2-5|NSF1C_HUMAN,sp|Q9UNZ2-6|NSF1C_HUMAN</t>
  </si>
  <si>
    <t>MegaP_hMMP2_GluC-2_OS_QStar-XL_20111027.01777.01777.2</t>
  </si>
  <si>
    <t>E.n[29.04]QSSVGTQHSYSEEE.K</t>
  </si>
  <si>
    <t>MegaP_hMMP2_GluC-2_OS_QStar-XL_20111027.01805.01805.2</t>
  </si>
  <si>
    <t>A.n[89.01]QTNSNAAGK[156.13]QLRK[156.13]E.S</t>
  </si>
  <si>
    <t>sp|Q8NC51|PAIRB_HUMAN,sp|Q8NC51-2|PAIRB_HUMAN,sp|Q8NC51-3|PAIRB_HUMAN,sp|Q8NC51-4|PAIRB_HUMAN</t>
  </si>
  <si>
    <t>Plasminogen activator inhibitor 1 RNA-binding protein OS=Homo sapiens GN=SERBP1 PE=1 SV=2</t>
  </si>
  <si>
    <t>MegaP_hMMP2_GluC-2_OS_QStar-XL_20111027.01855.01855.2</t>
  </si>
  <si>
    <t>E.n[29.04]LLRYHTSQSGDE.M</t>
  </si>
  <si>
    <t>sp|P08238|HS90B_HUMAN</t>
  </si>
  <si>
    <t>MegaP_hMMP2_GluC-2_OS_QStar-XL_20111027.02036.02036.2</t>
  </si>
  <si>
    <t>E.n[29.04]HGIDPTGTYHGDSD.L</t>
  </si>
  <si>
    <t>sp|P07437|TBB5_HUMAN,sp|P04350|TBB4A_HUMAN,sp|P68371|TBB4B_HUMAN</t>
  </si>
  <si>
    <t>MegaP_hMMP2_GluC-2_OS_QStar-XL_20111027.02101.02101.2</t>
  </si>
  <si>
    <t>15/28</t>
  </si>
  <si>
    <t>sp|P04350|TBB4A_HUMAN,sp|Q13885|TBB2A_HUMAN,sp|Q9BVA1|TBB2B_HUMAN,sp|Q13509|TBB3_HUMAN,sp|P68371|TBB4B_HUMAN,sp|P07437|TBB5_HUMAN</t>
  </si>
  <si>
    <t>MegaP_hMMP2_GluC-2_OS_QStar-XL_20111027.02102.02102.2</t>
  </si>
  <si>
    <t>8/26</t>
  </si>
  <si>
    <t>E.n[29.04]AAASAYYNPGNPHN.V</t>
  </si>
  <si>
    <t>sp|Q969T9|WBP2_HUMAN</t>
  </si>
  <si>
    <t>WW domain-binding protein 2 OS=Homo sapiens GN=WBP2 PE=1 SV=1</t>
  </si>
  <si>
    <t>MegaP_hMMP2_GluC-2_OS_QStar-XL_20111027.02109.02109.2</t>
  </si>
  <si>
    <t>D.n[89.01]K[156.13]STGK[156.13]ANK[156.13]ITITND.K</t>
  </si>
  <si>
    <t>MegaP_hMMP2_GluC-2_OS_QStar-XL_20111027.02150.02150.2</t>
  </si>
  <si>
    <t>E.n[29.04]VLGAAATTDYNNNHE.G</t>
  </si>
  <si>
    <t>sp|P46379|BAG6_HUMAN,sp|P46379-2|BAG6_HUMAN,sp|P46379-3|BAG6_HUMAN,sp|P46379-4|BAG6_HUMAN,sp|P46379-5|BAG6_HUMAN</t>
  </si>
  <si>
    <t>Large proline-rich protein BAG6 OS=Homo sapiens GN=BAG6 PE=1 SV=2</t>
  </si>
  <si>
    <t>MegaP_hMMP2_GluC-2_OS_QStar-XL_20111027.02165.02165.2</t>
  </si>
  <si>
    <t>L.n[89.01]C[160.03]TGQIK[156.13]TGAPC[160.03]RSE.R</t>
  </si>
  <si>
    <t>MegaP_hMMP2_GluC-2_OS_QStar-XL_20111027.02172.02172.2</t>
  </si>
  <si>
    <t>MegaP_hMMP2_GluC-2_OS_QStar-XL_20111027.02177.02177.2</t>
  </si>
  <si>
    <t>MegaP_hMMP2_GluC-2_OS_QStar-XL_20111027.02178.02178.2</t>
  </si>
  <si>
    <t>S.n[89.01]QFSDC[160.03]SSAK[156.13]ARGD.L</t>
  </si>
  <si>
    <t>sp|Q13526|PIN1_HUMAN</t>
  </si>
  <si>
    <t>Peptidyl-prolyl cis-trans isomerase NIMA-interacting 1 OS=Homo sapiens GN=PIN1 PE=1 SV=1</t>
  </si>
  <si>
    <t>MegaP_hMMP2_GluC-2_OS_QStar-XL_20111027.02197.02197.2</t>
  </si>
  <si>
    <t>N.n[89.01]GGSHAGNK[156.13]LAMQE.F</t>
  </si>
  <si>
    <t>MegaP_hMMP2_GluC-2_OS_QStar-XL_20111027.02213.02213.2</t>
  </si>
  <si>
    <t>P.n[89.01]LQTK[156.13]ADANRTAPSGSE.Y</t>
  </si>
  <si>
    <t>sp|O43660|PLRG1_HUMAN,sp|O43660-2|PLRG1_HUMAN</t>
  </si>
  <si>
    <t>Pleiotropic regulator 1 OS=Homo sapiens GN=PLRG1 PE=1 SV=1</t>
  </si>
  <si>
    <t>MegaP_hMMP2_GluC-2_OS_QStar-XL_20111027.02221.02221.2</t>
  </si>
  <si>
    <t>V.n[89.01]DDDHFK[156.13]STDAE.-</t>
  </si>
  <si>
    <t>MegaP_hMMP2_GluC-2_OS_QStar-XL_20111027.02221.02221.3</t>
  </si>
  <si>
    <t>16/68</t>
  </si>
  <si>
    <t>E.n[29.04]GHIYSTVDDDHFK[156.13]STDAE.-</t>
  </si>
  <si>
    <t>MegaP_hMMP2_GluC-2_OS_QStar-XL_20111027.02225.02225.2</t>
  </si>
  <si>
    <t>G.n[89.01]AHAPANTPAEVPHS.T</t>
  </si>
  <si>
    <t>sp|Q9NP79|VTA1_HUMAN</t>
  </si>
  <si>
    <t>Vacuolar protein sorting-associated protein VTA1 homolog OS=Homo sapiens GN=VTA1 PE=1 SV=1</t>
  </si>
  <si>
    <t>MegaP_hMMP2_GluC-2_OS_QStar-XL_20111027.02235.02235.2</t>
  </si>
  <si>
    <t>A.n[89.01]QK[156.13]K[156.13]AAVPAPPPEPE.G</t>
  </si>
  <si>
    <t>sp|Q96IK1|BOD1_HUMAN</t>
  </si>
  <si>
    <t>Biorientation of chromosomes in cell division protein 1 OS=Homo sapiens GN=BOD1 PE=1 SV=2</t>
  </si>
  <si>
    <t>MegaP_hMMP2_GluC-2_OS_QStar-XL_20111027.02279.02279.2</t>
  </si>
  <si>
    <t>E.n[89.01]SK[156.13]GK[156.13]ITYLK[156.13]GE.A</t>
  </si>
  <si>
    <t>MegaP_hMMP2_GluC-2_OS_QStar-XL_20111027.02289.02289.2</t>
  </si>
  <si>
    <t>14/34</t>
  </si>
  <si>
    <t>G.n[89.01]YQSSQK[156.13]K[156.13]SC[160.03]VEEPEPEPE.A</t>
  </si>
  <si>
    <t>sp|P51858|HDGF_HUMAN</t>
  </si>
  <si>
    <t>Hepatoma-derived growth factor OS=Homo sapiens GN=HDGF PE=1 SV=1</t>
  </si>
  <si>
    <t>MegaP_hMMP2_GluC-2_OS_QStar-XL_20111027.02309.02309.2</t>
  </si>
  <si>
    <t>W.n[89.01]AIGTGK[156.13]TATPQQAQE.V</t>
  </si>
  <si>
    <t>sp|P60174|TPIS_HUMAN,sp|P60174-1|TPIS_HUMAN,sp|P60174-4|TPIS_HUMAN</t>
  </si>
  <si>
    <t>MegaP_hMMP2_GluC-2_OS_QStar-XL_20111027.02319.02319.2</t>
  </si>
  <si>
    <t>D.n[89.01]YRGGK[156.13]NSTWSGE.S</t>
  </si>
  <si>
    <t>MegaP_hMMP2_GluC-2_OS_QStar-XL_20111027.02327.02327.2</t>
  </si>
  <si>
    <t>M.n[89.01]C[160.03]K[156.13]AGFAGDDAPRA.V</t>
  </si>
  <si>
    <t>sp|Q6S8J3|POTEE_HUMAN</t>
  </si>
  <si>
    <t>POTE ankyrin domain family member E OS=Homo sapiens GN=POTEE PE=1 SV=3</t>
  </si>
  <si>
    <t>MegaP_hMMP2_GluC-2_OS_QStar-XL_20111027.02372.02372.2</t>
  </si>
  <si>
    <t>A.n[89.01]ITATQK[156.13]TVDGPSGK[156.13].L</t>
  </si>
  <si>
    <t>MegaP_hMMP2_GluC-2_OS_QStar-XL_20111027.02382.02382.2</t>
  </si>
  <si>
    <t>L.n[89.01]LTNPK[156.13]TNIQK[156.13]E.A</t>
  </si>
  <si>
    <t>sp|P52292|IMA1_HUMAN</t>
  </si>
  <si>
    <t>Importin subunit alpha-1 OS=Homo sapiens GN=KPNA2 PE=1 SV=1</t>
  </si>
  <si>
    <t>MegaP_hMMP2_GluC-2_OS_QStar-XL_20111027.02388.02388.2</t>
  </si>
  <si>
    <t>N.n[89.01]VINGGSHAGNK[156.13]LAM[147.04]QE.F</t>
  </si>
  <si>
    <t>MegaP_hMMP2_GluC-2_OS_QStar-XL_20111027.02426.02426.2</t>
  </si>
  <si>
    <t>D.n[29.04]SGDGVTHTVPIYE.G</t>
  </si>
  <si>
    <t>sp|P60709|ACTB_HUMAN,sp|P63261|ACTG_HUMAN,sp|Q6S8J3|POTEE_HUMAN,sp|A5A3E0|POTEF_HUMAN,CON_P60712|P60712</t>
  </si>
  <si>
    <t>MegaP_hMMP2_GluC-2_OS_QStar-XL_20111027.02427.02427.2</t>
  </si>
  <si>
    <t>M.n[89.01]QRGSLPANVPTPRG.L</t>
  </si>
  <si>
    <t>sp|P33240|CSTF2_HUMAN</t>
  </si>
  <si>
    <t>Cleavage stimulation factor subunit 2 OS=Homo sapiens GN=CSTF2 PE=1 SV=1</t>
  </si>
  <si>
    <t>MegaP_hMMP2_GluC-2_OS_QStar-XL_20111027.02441.02441.3</t>
  </si>
  <si>
    <t>G.n[89.01]WK[156.13]PGSDTIK[156.13]PDVQK[156.13]SK[156.13]E.Y</t>
  </si>
  <si>
    <t>MegaP_hMMP2_GluC-2_OS_QStar-XL_20111027.02472.02472.2</t>
  </si>
  <si>
    <t>P.n[89.01]VIVASHTANK[156.13]EE.K</t>
  </si>
  <si>
    <t>sp|P35606|COPB2_HUMAN</t>
  </si>
  <si>
    <t>Coatomer subunit beta' OS=Homo sapiens GN=COPB2 PE=1 SV=2</t>
  </si>
  <si>
    <t>MegaP_hMMP2_GluC-2_OS_QStar-XL_20111027.02501.02501.2</t>
  </si>
  <si>
    <t>H.n[29.04]GNSGAGNNWAK[156.13]GHYTE.G</t>
  </si>
  <si>
    <t>sp|Q9H4B7|TBB1_HUMAN</t>
  </si>
  <si>
    <t>Tubulin beta-1 chain OS=Homo sapiens GN=TUBB1 PE=1 SV=1</t>
  </si>
  <si>
    <t>MegaP_hMMP2_GluC-2_OS_QStar-XL_20111027.02508.02508.2</t>
  </si>
  <si>
    <t>C.n[89.01]MMAQYNRHDSPE.D</t>
  </si>
  <si>
    <t>MegaP_hMMP2_GluC-2_OS_QStar-XL_20111027.02513.02513.2</t>
  </si>
  <si>
    <t>9/28</t>
  </si>
  <si>
    <t>G.n[89.01]LC[160.03]TGQIK[156.13]TGAPC[160.03]RSE.R</t>
  </si>
  <si>
    <t>MegaP_hMMP2_GluC-2_OS_QStar-XL_20111027.02516.02516.2</t>
  </si>
  <si>
    <t>N.n[89.01]LQYDDGSGMK[156.13]RE.A</t>
  </si>
  <si>
    <t>sp|Q16531|DDB1_HUMAN</t>
  </si>
  <si>
    <t>DNA damage-binding protein 1 OS=Homo sapiens GN=DDB1 PE=1 SV=1</t>
  </si>
  <si>
    <t>MegaP_hMMP2_GluC-2_OS_QStar-XL_20111027.02523.02523.2</t>
  </si>
  <si>
    <t>12/34</t>
  </si>
  <si>
    <t>MegaP_hMMP2_GluC-2_OS_QStar-XL_20111027.02556.02556.2</t>
  </si>
  <si>
    <t>A.n[89.01]YK[156.13]DAYERDLE.A</t>
  </si>
  <si>
    <t>sp|P08133|ANXA6_HUMAN</t>
  </si>
  <si>
    <t>Annexin A6 OS=Homo sapiens GN=ANXA6 PE=1 SV=3</t>
  </si>
  <si>
    <t>MegaP_hMMP2_GluC-2_OS_QStar-XL_20111027.02558.02558.2</t>
  </si>
  <si>
    <t>R.n[89.01]ITGDPYK[156.13]VQQAK[156.13]E.M</t>
  </si>
  <si>
    <t>sp|Q96AE4|FUBP1_HUMAN,sp|Q96AE4-2|FUBP1_HUMAN</t>
  </si>
  <si>
    <t>Far upstream element-binding protein 1 OS=Homo sapiens GN=FUBP1 PE=1 SV=3</t>
  </si>
  <si>
    <t>MegaP_hMMP2_GluC-2_OS_QStar-XL_20111027.02567.02567.3</t>
  </si>
  <si>
    <t>16/64</t>
  </si>
  <si>
    <t>MegaP_hMMP2_GluC-2_OS_QStar-XL_20111027.02582.02582.2</t>
  </si>
  <si>
    <t>S.n[89.01]STTARVITNQYNNPAG.L</t>
  </si>
  <si>
    <t>sp|O00151|PDLI1_HUMAN</t>
  </si>
  <si>
    <t>PDZ and LIM domain protein 1 OS=Homo sapiens GN=PDLIM1 PE=1 SV=4</t>
  </si>
  <si>
    <t>MegaP_hMMP2_GluC-2_OS_QStar-XL_20111027.02583.02583.2</t>
  </si>
  <si>
    <t>MegaP_hMMP2_GluC-2_OS_QStar-XL_20111027.02597.02597.2</t>
  </si>
  <si>
    <t>MegaP_hMMP2_GluC-2_OS_QStar-XL_20111027.02610.02610.3</t>
  </si>
  <si>
    <t>16/76</t>
  </si>
  <si>
    <t>D.n[89.01]EHGIDPTGTYHGDSDLQLDR.L</t>
  </si>
  <si>
    <t>MegaP_hMMP2_GluC-2_OS_QStar-XL_20111027.02622.02622.2</t>
  </si>
  <si>
    <t>MegaP_hMMP2_GluC-2_OS_QStar-XL_20111027.02624.02624.2</t>
  </si>
  <si>
    <t>MegaP_hMMP2_GluC-2_OS_QStar-XL_20111027.02631.02631.2</t>
  </si>
  <si>
    <t>12/30</t>
  </si>
  <si>
    <t>F.n[89.01]LRGVMGGQSAGPQHTE.A</t>
  </si>
  <si>
    <t>MegaP_hMMP2_GluC-2_OS_QStar-XL_20111027.02637.02637.2</t>
  </si>
  <si>
    <t>sp|Q02539|H11_HUMAN</t>
  </si>
  <si>
    <t>Histone H1.1 OS=Homo sapiens GN=HIST1H1A PE=1 SV=3</t>
  </si>
  <si>
    <t>MegaP_hMMP2_GluC-2_OS_QStar-XL_20111027.02646.02646.2</t>
  </si>
  <si>
    <t>E.n[29.04]AMQYDLSTTGGNSGSPVFNEK[156.13]NE.V</t>
  </si>
  <si>
    <t>MegaP_hMMP2_GluC-2_OS_QStar-XL_20111027.02657.02657.2</t>
  </si>
  <si>
    <t>Q.n[89.01]LQSRLEPK[156.13]PQPPVAE.A</t>
  </si>
  <si>
    <t>sp|Q9UHD8|SEPT9_HUMAN,sp|Q9UHD8-2|SEPT9_HUMAN,sp|Q9UHD8-3|SEPT9_HUMAN,sp|Q9UHD8-5|SEPT9_HUMAN,sp|Q9UHD8-7|SEPT9_HUMAN</t>
  </si>
  <si>
    <t>Septin-9 OS=Homo sapiens GN=SEPT9 PE=1 SV=2</t>
  </si>
  <si>
    <t>MegaP_hMMP2_GluC-2_OS_QStar-XL_20111027.02664.02664.2</t>
  </si>
  <si>
    <t>12/28</t>
  </si>
  <si>
    <t>MegaP_hMMP2_GluC-2_OS_QStar-XL_20111027.02669.02669.3</t>
  </si>
  <si>
    <t>23/76</t>
  </si>
  <si>
    <t>L.n[89.01]IRGK[156.13]QLIVANAGDSRC[160.03]VVSE.A</t>
  </si>
  <si>
    <t>sp|O15355|PPM1G_HUMAN</t>
  </si>
  <si>
    <t>Protein phosphatase 1G OS=Homo sapiens GN=PPM1G PE=1 SV=1</t>
  </si>
  <si>
    <t>MegaP_hMMP2_GluC-2_OS_QStar-XL_20111027.02672.02672.2</t>
  </si>
  <si>
    <t>E.n[29.04]SYAFNMK[156.13]SAVEDE.G</t>
  </si>
  <si>
    <t>MegaP_hMMP2_GluC-2_OS_QStar-XL_20111027.02676.02676.2</t>
  </si>
  <si>
    <t>L.n[89.01]LTEAPLNPK[156.13]ANRE.K</t>
  </si>
  <si>
    <t>sp|P60709|ACTB_HUMAN,sp|P62736|ACTA_HUMAN,sp|Q9BYX7|ACTBM_HUMAN,sp|P68032|ACTC_HUMAN,sp|P63261|ACTG_HUMAN,sp|P63267|ACTH_HUMAN,sp|P63267-2|ACTH_HUMAN,sp|P68133|ACTS_HUMAN,sp|Q6S8J3|POTEE_HUMAN,sp|P0CG38|POTEI_HUMAN,sp|P0CG39|POTEJ_HUMAN,CON_P60712|P60712</t>
  </si>
  <si>
    <t>MegaP_hMMP2_GluC-2_OS_QStar-XL_20111027.02678.02678.2</t>
  </si>
  <si>
    <t>S.n[89.01]YAVQSK[156.13]YGDFNK[156.13]E.V</t>
  </si>
  <si>
    <t>sp|P26038|MOES_HUMAN</t>
  </si>
  <si>
    <t>Moesin OS=Homo sapiens GN=MSN PE=1 SV=3</t>
  </si>
  <si>
    <t>MegaP_hMMP2_GluC-2_OS_QStar-XL_20111027.02687.02687.2</t>
  </si>
  <si>
    <t>G.n[89.01]EFDQGSSSEK[156.13]IQK[156.13]L.K</t>
  </si>
  <si>
    <t>CON_P00766|P00766</t>
  </si>
  <si>
    <t>Chymotrypsinogen-A - Bos taurus (Bovine).</t>
  </si>
  <si>
    <t>MegaP_hMMP2_GluC-2_OS_QStar-XL_20111027.02690.02690.2</t>
  </si>
  <si>
    <t>MegaP_hMMP2_GluC-2_OS_QStar-XL_20111027.02696.02696.2</t>
  </si>
  <si>
    <t>W.n[89.01]IAVSPK[156.13]PGPYVK[156.13]E.M</t>
  </si>
  <si>
    <t>sp|P40123|CAP2_HUMAN</t>
  </si>
  <si>
    <t>Adenylyl cyclase-associated protein 2 OS=Homo sapiens GN=CAP2 PE=1 SV=1</t>
  </si>
  <si>
    <t>MegaP_hMMP2_GluC-2_OS_QStar-XL_20111027.02703.02703.2</t>
  </si>
  <si>
    <t>N.n[89.01]IFK[156.13]AGADEERAE.T</t>
  </si>
  <si>
    <t>sp|P78371|TCPB_HUMAN</t>
  </si>
  <si>
    <t>T-complex protein 1 subunit beta OS=Homo sapiens GN=CCT2 PE=1 SV=4</t>
  </si>
  <si>
    <t>MegaP_hMMP2_GluC-2_OS_QStar-XL_20111027.02706.02706.2</t>
  </si>
  <si>
    <t>Y.n[89.01]IK[156.13]NSNPALNDNLE.K</t>
  </si>
  <si>
    <t>sp|O00299|CLIC1_HUMAN</t>
  </si>
  <si>
    <t>Chloride intracellular channel protein 1 OS=Homo sapiens GN=CLIC1 PE=1 SV=4</t>
  </si>
  <si>
    <t>MegaP_hMMP2_GluC-2_OS_QStar-XL_20111027.02717.02717.2</t>
  </si>
  <si>
    <t>11/28</t>
  </si>
  <si>
    <t>S.n[89.01]QLGPIHPPPRTSMTE.E</t>
  </si>
  <si>
    <t>MegaP_hMMP2_GluC-2_OS_QStar-XL_20111027.02726.02726.4</t>
  </si>
  <si>
    <t>10/162</t>
  </si>
  <si>
    <t>A.n[89.01]LTSGGPSLSAM[147.04]GNGRSSSPTSSLTQPIE.M</t>
  </si>
  <si>
    <t>sp|Q7LBC6|KDM3B_HUMAN,sp|Q7LBC6-2|KDM3B_HUMAN</t>
  </si>
  <si>
    <t>Lysine-specific demethylase 3B OS=Homo sapiens GN=KDM3B PE=1 SV=2</t>
  </si>
  <si>
    <t>MegaP_hMMP2_GluC-2_OS_QStar-XL_20111027.02751.02751.2</t>
  </si>
  <si>
    <t>T.n[89.01]C[160.03]IALRPYPK[156.13]EE.V</t>
  </si>
  <si>
    <t>sp|Q6GMV3|PTRD1_HUMAN</t>
  </si>
  <si>
    <t>Putative peptidyl-tRNA hydrolase PTRHD1 OS=Homo sapiens GN=PTRHD1 PE=1 SV=1</t>
  </si>
  <si>
    <t>MegaP_hMMP2_GluC-2_OS_QStar-XL_20111027.02757.02757.3</t>
  </si>
  <si>
    <t>14/68</t>
  </si>
  <si>
    <t>A.n[89.01]ITATQK[156.13]TVDGPSGK[156.13]LWRD.G</t>
  </si>
  <si>
    <t>MegaP_hMMP2_GluC-2_OS_QStar-XL_20111027.02759.02759.2</t>
  </si>
  <si>
    <t>E.n[29.04]DHPFFVGVQYHPE.F</t>
  </si>
  <si>
    <t>MegaP_hMMP2_GluC-2_OS_QStar-XL_20111027.02763.02763.2</t>
  </si>
  <si>
    <t>16/28</t>
  </si>
  <si>
    <t>MegaP_hMMP2_GluC-2_OS_QStar-XL_20111027.02768.02768.2</t>
  </si>
  <si>
    <t>T.n[89.01]TYSC[160.03]VGVFQHGK[156.13]VE.L</t>
  </si>
  <si>
    <t>MegaP_hMMP2_GluC-2_OS_QStar-XL_20111027.02798.02798.4</t>
  </si>
  <si>
    <t>7/144</t>
  </si>
  <si>
    <t>D.n[29.04]AFVELYGPSM[147.04]RPLFDFSWLSLK[156.13]TLL.S</t>
  </si>
  <si>
    <t>sp|P10415|BCL2_HUMAN</t>
  </si>
  <si>
    <t>Apoptosis regulator Bcl-2 OS=Homo sapiens GN=BCL2 PE=1 SV=2</t>
  </si>
  <si>
    <t>MegaP_hMMP2_GluC-2_OS_QStar-XL_20111027.02805.02805.2</t>
  </si>
  <si>
    <t>S.n[89.01]VISGYRLAC[160.03]K[156.13]E.A</t>
  </si>
  <si>
    <t>sp|P17987|TCPA_HUMAN</t>
  </si>
  <si>
    <t>T-complex protein 1 subunit alpha OS=Homo sapiens GN=TCP1 PE=1 SV=1</t>
  </si>
  <si>
    <t>MegaP_hMMP2_GluC-2_OS_QStar-XL_20111027.02819.02819.2</t>
  </si>
  <si>
    <t>N.n[89.01]ASDALDK[156.13]IRYE.S</t>
  </si>
  <si>
    <t>sp|P08238|HS90B_HUMAN,sp|Q58FF8|H90B2_HUMAN,sp|Q58FF7|H90B3_HUMAN,sp|Q58FF6|H90B4_HUMAN</t>
  </si>
  <si>
    <t>MegaP_hMMP2_GluC-2_OS_QStar-XL_20111027.02823.02823.3</t>
  </si>
  <si>
    <t>15/76</t>
  </si>
  <si>
    <t>F.n[89.01]LK[156.13]SGDAAIVDM[147.04]VPGK[156.13]PM[147.04]C[160.03]VE.S</t>
  </si>
  <si>
    <t>MegaP_hMMP2_GluC-2_OS_QStar-XL_20111027.02831.02831.2</t>
  </si>
  <si>
    <t>9/30</t>
  </si>
  <si>
    <t>Q.n[89.01]ATGK[156.13]PPQYIAVHVVPD.Q</t>
  </si>
  <si>
    <t>MegaP_hMMP2_GluC-2_OS_QStar-XL_20111027.02832.02832.2</t>
  </si>
  <si>
    <t>G.n[89.01]LVAHSDLDERAIE.A</t>
  </si>
  <si>
    <t>sp|O60506|HNRPQ_HUMAN</t>
  </si>
  <si>
    <t>MegaP_hMMP2_GluC-2_OS_QStar-XL_20111027.02837.02837.2</t>
  </si>
  <si>
    <t>G.n[89.01]LM[147.04]TTVHAITATQK[156.13].T</t>
  </si>
  <si>
    <t>MegaP_hMMP2_GluC-2_OS_QStar-XL_20111027.02844.02844.2</t>
  </si>
  <si>
    <t>MegaP_hMMP2_GluC-2_OS_QStar-XL_20111027.02844.02844.3</t>
  </si>
  <si>
    <t>15/80</t>
  </si>
  <si>
    <t>H.n[29.04]DNFGIVEGLM[147.04]TTVHAITATQK[156.13].T</t>
  </si>
  <si>
    <t>MegaP_hMMP2_GluC-2_OS_QStar-XL_20111027.02849.02849.2</t>
  </si>
  <si>
    <t>8/30</t>
  </si>
  <si>
    <t>D.n[89.01]AAK[156.13]NQVALNPQNTVFD.A</t>
  </si>
  <si>
    <t>MegaP_hMMP2_GluC-2_OS_QStar-XL_20111027.02855.02855.2</t>
  </si>
  <si>
    <t>L.n[89.01]IHAVANNQDK[156.13]LGFE.D</t>
  </si>
  <si>
    <t>MegaP_hMMP2_GluC-2_OS_QStar-XL_20111027.02861.02861.2</t>
  </si>
  <si>
    <t>P.n[89.01]VLMNQPPQIAPK[156.13]RE.R</t>
  </si>
  <si>
    <t>sp|Q04637|IF4G1_HUMAN,sp|Q04637-3|IF4G1_HUMAN,sp|Q04637-4|IF4G1_HUMAN,sp|Q04637-8|IF4G1_HUMAN,sp|Q04637-9|IF4G1_HUMAN</t>
  </si>
  <si>
    <t>Eukaryotic translation initiation factor 4 gamma 1 OS=Homo sapiens GN=EIF4G1 PE=1 SV=4</t>
  </si>
  <si>
    <t>MegaP_hMMP2_GluC-2_OS_QStar-XL_20111027.02862.02862.2</t>
  </si>
  <si>
    <t>MegaP_hMMP2_GluC-2_OS_QStar-XL_20111027.02876.02876.2</t>
  </si>
  <si>
    <t>MegaP_hMMP2_GluC-2_OS_QStar-XL_20111027.02882.02882.2</t>
  </si>
  <si>
    <t>17/26</t>
  </si>
  <si>
    <t>G.n[89.01]YLGQVTTIK[156.13]K[156.13]GVTE.C</t>
  </si>
  <si>
    <t>sp|Q9UBT2|SAE2_HUMAN</t>
  </si>
  <si>
    <t>SUMO-activating enzyme subunit 2 OS=Homo sapiens GN=UBA2 PE=1 SV=2</t>
  </si>
  <si>
    <t>MegaP_hMMP2_GluC-2_OS_QStar-XL_20111027.02883.02883.2</t>
  </si>
  <si>
    <t>S.n[89.01]IISTVEPAQRQE.A</t>
  </si>
  <si>
    <t>sp|P36871|PGM1_HUMAN</t>
  </si>
  <si>
    <t>Phosphoglucomutase-1 OS=Homo sapiens GN=PGM1 PE=1 SV=3</t>
  </si>
  <si>
    <t>MegaP_hMMP2_GluC-2_OS_QStar-XL_20111027.02906.02906.3</t>
  </si>
  <si>
    <t>18/72</t>
  </si>
  <si>
    <t>E.n[29.04]SNARYFHVVIAGPQDSPFE.G</t>
  </si>
  <si>
    <t>sp|P61088|UBE2N_HUMAN</t>
  </si>
  <si>
    <t>Ubiquitin-conjugating enzyme E2 N OS=Homo sapiens GN=UBE2N PE=1 SV=1</t>
  </si>
  <si>
    <t>MegaP_hMMP2_GluC-2_OS_QStar-XL_20111027.02915.02915.2</t>
  </si>
  <si>
    <t>18/36</t>
  </si>
  <si>
    <t>G.n[89.01]LYQGAGGPGPGGFGAQGPK[156.13].G</t>
  </si>
  <si>
    <t>MegaP_hMMP2_GluC-2_OS_QStar-XL_20111027.02933.02933.2</t>
  </si>
  <si>
    <t>MegaP_hMMP2_GluC-2_OS_QStar-XL_20111027.02934.02934.3</t>
  </si>
  <si>
    <t>E.n[89.01]GDLAIVK[156.13]FSPNEQNK[156.13]HIGE.V</t>
  </si>
  <si>
    <t>MegaP_hMMP2_GluC-2_OS_QStar-XL_20111027.02942.02942.3</t>
  </si>
  <si>
    <t>F.n[89.01]LK[156.13]SGDAAIVDM[147.04]VPGK[156.13]PMC[160.03]VE.S</t>
  </si>
  <si>
    <t>MegaP_hMMP2_GluC-2_OS_QStar-XL_20111027.02970.02970.3</t>
  </si>
  <si>
    <t>16/80</t>
  </si>
  <si>
    <t>A.n[89.01]AFSRQLNVNAK[156.13]PFVPNVHAAE.F</t>
  </si>
  <si>
    <t>sp|P15170-2|ERF3A_HUMAN</t>
  </si>
  <si>
    <t>Isoform 2 of Eukaryotic peptide chain release factor GTP-binding subunit ERF3A OS=Homo sapiens GN=GSPT1</t>
  </si>
  <si>
    <t>MegaP_hMMP2_GluC-2_OS_QStar-XL_20111027.02994.02994.3</t>
  </si>
  <si>
    <t>17/68</t>
  </si>
  <si>
    <t>G.n[89.01]DLAIVK[156.13]FSPNEQNK[156.13]HIGE.V</t>
  </si>
  <si>
    <t>MegaP_hMMP2_GluC-2_OS_QStar-XL_20111027.03005.03005.2</t>
  </si>
  <si>
    <t>R.n[89.01]IIGDPYK[156.13]VQQAC[160.03]E.M</t>
  </si>
  <si>
    <t>MegaP_hMMP2_GluC-2_OS_QStar-XL_20111027.03026.03026.2</t>
  </si>
  <si>
    <t>K.n[89.01]LLK[156.13]GIDRYNPE.N</t>
  </si>
  <si>
    <t>sp|Q9UBQ5|EIF3K_HUMAN</t>
  </si>
  <si>
    <t>Eukaryotic translation initiation factor 3 subunit K OS=Homo sapiens GN=EIF3K PE=1 SV=1</t>
  </si>
  <si>
    <t>MegaP_hMMP2_GluC-2_OS_QStar-XL_20111027.03033.03033.3</t>
  </si>
  <si>
    <t>18/68</t>
  </si>
  <si>
    <t>sp|P18206|VINC_HUMAN</t>
  </si>
  <si>
    <t>MegaP_hMMP2_GluC-2_OS_QStar-XL_20111027.03038.03038.3</t>
  </si>
  <si>
    <t>16/104</t>
  </si>
  <si>
    <t>H.n[89.01]LQGGAK[156.13]RVIISAPSADAPMFVM[147.04]GVNHE.K</t>
  </si>
  <si>
    <t>MegaP_hMMP2_GluC-2_OS_QStar-XL_20111027.03051.03051.3</t>
  </si>
  <si>
    <t>18/84</t>
  </si>
  <si>
    <t>G.n[89.01]IRAVLLGPPGAGK[156.13]GTQAPRLAE.N</t>
  </si>
  <si>
    <t>sp|P54819|KAD2_HUMAN</t>
  </si>
  <si>
    <t>Adenylate kinase 2, mitochondrial OS=Homo sapiens GN=AK2 PE=1 SV=2</t>
  </si>
  <si>
    <t>MegaP_hMMP2_GluC-2_OS_QStar-XL_20111027.03059.03059.2</t>
  </si>
  <si>
    <t>D.n[89.01]YLGK[156.13]TVQVVPHITD.A</t>
  </si>
  <si>
    <t>sp|P17812|PYRG1_HUMAN,sp|Q9NRF8|PYRG2_HUMAN</t>
  </si>
  <si>
    <t>MegaP_hMMP2_GluC-2_OS_QStar-XL_20111027.03066.03066.2</t>
  </si>
  <si>
    <t>14/38</t>
  </si>
  <si>
    <t>F.n[89.01]LK[156.13]SGDAAIVDMVPGK[156.13]PM[147.04]C[160.03]VE.S</t>
  </si>
  <si>
    <t>MegaP_hMMP2_GluC-2_OS_QStar-XL_20111027.03074.03074.2</t>
  </si>
  <si>
    <t>MegaP_hMMP2_GluC-2_OS_QStar-XL_20111027.03095.03095.2</t>
  </si>
  <si>
    <t>N.n[89.01]LQVTQPTVGMNFK[156.13]TPRGPV.-</t>
  </si>
  <si>
    <t>MegaP_hMMP2_GluC-2_OS_QStar-XL_20111027.03101.03101.2</t>
  </si>
  <si>
    <t>17/30</t>
  </si>
  <si>
    <t>D.n[89.01]VYK[156.13]IGGIGTVPVGRVE.T</t>
  </si>
  <si>
    <t>MegaP_hMMP2_GluC-2_OS_QStar-XL_20111027.03102.03102.2</t>
  </si>
  <si>
    <t>T.n[89.01]LLAK[156.13]NLPYK[156.13]VTQDE.L</t>
  </si>
  <si>
    <t>MegaP_hMMP2_GluC-2_OS_QStar-XL_20111027.03105.03105.2</t>
  </si>
  <si>
    <t>M.n[89.01]IK[156.13]DC[160.03]GATWVVLGHSE.R</t>
  </si>
  <si>
    <t>MegaP_hMMP2_GluC-2_OS_QStar-XL_20111027.03107.03107.2</t>
  </si>
  <si>
    <t>15/38</t>
  </si>
  <si>
    <t>MegaP_hMMP2_GluC-2_OS_QStar-XL_20111027.03108.03108.3</t>
  </si>
  <si>
    <t>16/88</t>
  </si>
  <si>
    <t>E.n[29.04]SLIAVFQK[156.13]YAGK[156.13]DGYNYTLSK[156.13]TE.F</t>
  </si>
  <si>
    <t>sp|P31949|S10AB_HUMAN</t>
  </si>
  <si>
    <t>Protein S100-A11 OS=Homo sapiens GN=S100A11 PE=1 SV=2</t>
  </si>
  <si>
    <t>MegaP_hMMP2_GluC-2_OS_QStar-XL_20111027.03113.03113.2</t>
  </si>
  <si>
    <t>MegaP_hMMP2_GluC-2_OS_QStar-XL_20111027.03116.03116.2</t>
  </si>
  <si>
    <t>MegaP_hMMP2_GluC-2_OS_QStar-XL_20111027.03122.03122.2</t>
  </si>
  <si>
    <t>MegaP_hMMP2_GluC-2_OS_QStar-XL_20111027.03128.03128.2</t>
  </si>
  <si>
    <t>S.n[89.01]LTIHLTSPVVRE.E</t>
  </si>
  <si>
    <t>sp|Q12906|ILF3_HUMAN,sp|Q12906-2|ILF3_HUMAN,sp|Q12906-3|ILF3_HUMAN,sp|Q12906-4|ILF3_HUMAN,sp|Q12906-5|ILF3_HUMAN,sp|Q12906-6|ILF3_HUMAN,sp|Q12906-7|ILF3_HUMAN</t>
  </si>
  <si>
    <t>MegaP_hMMP2_GluC-2_OS_QStar-XL_20111027.03129.03129.2</t>
  </si>
  <si>
    <t>12/32</t>
  </si>
  <si>
    <t>A.n[89.01]LK[156.13]AFPSAINQDNYPNGG.F</t>
  </si>
  <si>
    <t>MegaP_hMMP2_GluC-2_OS_QStar-XL_20111027.03137.03137.2</t>
  </si>
  <si>
    <t>S.n[89.01]LIQAQRDYFGAHTYE.L</t>
  </si>
  <si>
    <t>MegaP_hMMP2_GluC-2_OS_QStar-XL_20111027.03140.03140.2</t>
  </si>
  <si>
    <t>MegaP_hMMP2_GluC-2_OS_QStar-XL_20111027.03143.03143.2</t>
  </si>
  <si>
    <t>S.n[89.01]LSANTFAITGHAE.A</t>
  </si>
  <si>
    <t>sp|Q96K17|BT3L4_HUMAN,sp|Q96K17-2|BT3L4_HUMAN</t>
  </si>
  <si>
    <t>Transcription factor BTF3 homolog 4 OS=Homo sapiens GN=BTF3L4 PE=1 SV=1</t>
  </si>
  <si>
    <t>MegaP_hMMP2_GluC-2_OS_QStar-XL_20111027.03144.03144.2</t>
  </si>
  <si>
    <t>G.n[89.01]LMTTVHAITATQK[156.13].T</t>
  </si>
  <si>
    <t>MegaP_hMMP2_GluC-2_OS_QStar-XL_20111027.03146.03146.2</t>
  </si>
  <si>
    <t>MegaP_hMMP2_GluC-2_OS_QStar-XL_20111027.03147.03147.3</t>
  </si>
  <si>
    <t>18/100</t>
  </si>
  <si>
    <t>M.n[29.04]SK[156.13]GPAVGIDLGTTYSC[160.03]VGVFQHGK[156.13]VE.L</t>
  </si>
  <si>
    <t>sp|P11142|HSP7C_HUMAN,sp|P11142-2|HSP7C_HUMAN</t>
  </si>
  <si>
    <t>MegaP_hMMP2_GluC-2_OS_QStar-XL_20111027.03150.03150.2</t>
  </si>
  <si>
    <t>14/32</t>
  </si>
  <si>
    <t>T.n[89.01]ITGFQTHTTPVLLAHGE.R</t>
  </si>
  <si>
    <t>sp|Q13200|PSMD2_HUMAN</t>
  </si>
  <si>
    <t>26S proteasome non-ATPase regulatory subunit 2 OS=Homo sapiens GN=PSMD2 PE=1 SV=3</t>
  </si>
  <si>
    <t>MegaP_hMMP2_GluC-2_OS_QStar-XL_20111027.03155.03155.2</t>
  </si>
  <si>
    <t>S.n[89.01]LAANTFTITGHAE.T</t>
  </si>
  <si>
    <t>sp|P20290|BTF3_HUMAN,sp|P20290-2|BTF3_HUMAN</t>
  </si>
  <si>
    <t>Transcription factor BTF3 OS=Homo sapiens GN=BTF3 PE=1 SV=1</t>
  </si>
  <si>
    <t>MegaP_hMMP2_GluC-2_OS_QStar-XL_20111027.03159.03159.2</t>
  </si>
  <si>
    <t>Y.n[89.01]LAGDK[156.13]LLPQRVLE.Q</t>
  </si>
  <si>
    <t>MegaP_hMMP2_GluC-2_OS_QStar-XL_20111027.03161.03161.2</t>
  </si>
  <si>
    <t>E.n[29.04]GLMTTVHAITATQK[156.13].T</t>
  </si>
  <si>
    <t>MegaP_hMMP2_GluC-2_OS_QStar-XL_20111027.03162.03162.2</t>
  </si>
  <si>
    <t>T.n[89.01]LK[156.13]M[147.04]SVQPTVSLGGFE.L</t>
  </si>
  <si>
    <t>MegaP_hMMP2_GluC-2_OS_QStar-XL_20111027.03164.03164.2</t>
  </si>
  <si>
    <t>MegaP_hMMP2_GluC-2_OS_QStar-XL_20111027.03171.03171.2</t>
  </si>
  <si>
    <t>MegaP_hMMP2_GluC-2_OS_QStar-XL_20111027.03191.03191.3</t>
  </si>
  <si>
    <t>12/104</t>
  </si>
  <si>
    <t>H.n[89.01]LQGGAK[156.13]RVIISAPSADAPMFVMGVNHE.K</t>
  </si>
  <si>
    <t>MegaP_hMMP2_GluC-2_OS_QStar-XL_20111027.03192.03192.2</t>
  </si>
  <si>
    <t>10/30</t>
  </si>
  <si>
    <t>D.n[89.01]LRSNTGGQAFPQC[160.03]VFD.H</t>
  </si>
  <si>
    <t>sp|P13639|EF2_HUMAN</t>
  </si>
  <si>
    <t>Elongation factor 2 OS=Homo sapiens GN=EEF2 PE=1 SV=4</t>
  </si>
  <si>
    <t>MegaP_hMMP2_GluC-2_OS_QStar-XL_20111027.03197.03197.2</t>
  </si>
  <si>
    <t>G.n[89.01]VGLGLVFVSSLGSMFLPPTT.V</t>
  </si>
  <si>
    <t>sp|Q9H3K2|GHITM_HUMAN</t>
  </si>
  <si>
    <t>Growth hormone-inducible transmembrane protein OS=Homo sapiens GN=GHITM PE=1 SV=2</t>
  </si>
  <si>
    <t>MegaP_hMMP2_GluC-2_OS_QStar-XL_20111027.03204.03204.2</t>
  </si>
  <si>
    <t>E.n[89.01]ISSMVLTK[156.13]MK[156.13]E.L</t>
  </si>
  <si>
    <t>sp|P08107|HSP71_HUMAN,sp|P54652|HSP72_HUMAN</t>
  </si>
  <si>
    <t>MegaP_hMMP2_GluC-2_OS_QStar-XL_20111027.03210.03210.2</t>
  </si>
  <si>
    <t>17/28</t>
  </si>
  <si>
    <t>C.n[89.01]LLK[156.13]FSGDLDDQTC[160.03]RE.D</t>
  </si>
  <si>
    <t>sp|P05455|LA_HUMAN</t>
  </si>
  <si>
    <t>Lupus La protein OS=Homo sapiens GN=SSB PE=1 SV=2</t>
  </si>
  <si>
    <t>MegaP_hMMP2_GluC-2_OS_QStar-XL_20111027.03212.03212.2</t>
  </si>
  <si>
    <t>S.n[89.01]ILK[156.13]IDDVVNTR.-</t>
  </si>
  <si>
    <t>MegaP_hMMP2_GluC-2_OS_QStar-XL_20111027.03219.03219.2</t>
  </si>
  <si>
    <t>N.n[89.01]LLSQSHAYQQFLRD.T</t>
  </si>
  <si>
    <t>sp|Q01082|SPTB2_HUMAN,sp|Q01082-2|SPTB2_HUMAN,sp|Q01082-3|SPTB2_HUMAN</t>
  </si>
  <si>
    <t>Spectrin beta chain, non-erythrocytic 1 OS=Homo sapiens GN=SPTBN1 PE=1 SV=2</t>
  </si>
  <si>
    <t>MegaP_hMMP2_GluC-2_OS_QStar-XL_20111027.03227.03227.2</t>
  </si>
  <si>
    <t>MegaP_hMMP2_GluC-2_OS_QStar-XL_20111027.03243.03243.2</t>
  </si>
  <si>
    <t>MegaP_hMMP2_GluC-2_OS_QStar-XL_20111027.03257.03257.2</t>
  </si>
  <si>
    <t>G.n[89.01]YLAGDK[156.13]LLPQRVLE.Q</t>
  </si>
  <si>
    <t>MegaP_hMMP2_GluC-2_OS_QStar-XL_20111027.03261.03261.2</t>
  </si>
  <si>
    <t>Q.n[89.01]FTSQVIILNHPGQ.L</t>
  </si>
  <si>
    <t>sp|Q05639|EF1A2_HUMAN</t>
  </si>
  <si>
    <t>Elongation factor 1-alpha 2 OS=Homo sapiens GN=EEF1A2 PE=1 SV=1</t>
  </si>
  <si>
    <t>MegaP_hMMP2_GluC-2_OS_QStar-XL_20111027.03263.03263.2</t>
  </si>
  <si>
    <t>C.n[89.01]LIVSVDETIK[156.13]NPR.S</t>
  </si>
  <si>
    <t>sp|Q99832|TCPH_HUMAN</t>
  </si>
  <si>
    <t>MegaP_hMMP2_GluC-2_OS_QStar-XL_20111027.03264.03264.2</t>
  </si>
  <si>
    <t>A.n[89.01]LK[156.13]NNSNDIVNAIME.L</t>
  </si>
  <si>
    <t>sp|Q9H009|NACA2_HUMAN</t>
  </si>
  <si>
    <t>Nascent polypeptide-associated complex subunit alpha-2 OS=Homo sapiens GN=NACA2 PE=1 SV=1</t>
  </si>
  <si>
    <t>MegaP_hMMP2_GluC-2_OS_QStar-XL_20111027.03269.03269.2</t>
  </si>
  <si>
    <t>P.n[89.01]ILDSEETRAAAPQAW.A</t>
  </si>
  <si>
    <t>sp|Q16643|DREB_HUMAN</t>
  </si>
  <si>
    <t>Drebrin OS=Homo sapiens GN=DBN1 PE=1 SV=4</t>
  </si>
  <si>
    <t>MegaP_hMMP2_GluC-2_OS_QStar-XL_20111027.03284.03284.2</t>
  </si>
  <si>
    <t>G.n[89.01]LTGIK[156.13]VTYMEEE.R</t>
  </si>
  <si>
    <t>sp|P34932|HSP74_HUMAN</t>
  </si>
  <si>
    <t>Heat shock 70 kDa protein 4 OS=Homo sapiens GN=HSPA4 PE=1 SV=4</t>
  </si>
  <si>
    <t>MegaP_hMMP2_GluC-2_OS_QStar-XL_20111027.03285.03285.2</t>
  </si>
  <si>
    <t>sp|Q06323|PSME1_HUMAN,sp|Q06323-2|PSME1_HUMAN</t>
  </si>
  <si>
    <t>MegaP_hMMP2_GluC-2_OS_QStar-XL_20111027.03296.03296.2</t>
  </si>
  <si>
    <t>A.n[89.01]AFSSVGSVITK[156.13]K[156.13]LE.D</t>
  </si>
  <si>
    <t>sp|P55327|TPD52_HUMAN,sp|P55327-2|TPD52_HUMAN,sp|P55327-3|TPD52_HUMAN,sp|P55327-4|TPD52_HUMAN,sp|P55327-5|TPD52_HUMAN,sp|P55327-6|TPD52_HUMAN,sp|P55327-7|TPD52_HUMAN</t>
  </si>
  <si>
    <t>Tumor protein D52 OS=Homo sapiens GN=TPD52 PE=1 SV=2</t>
  </si>
  <si>
    <t>MegaP_hMMP2_GluC-2_OS_QStar-XL_20111027.03297.03297.2</t>
  </si>
  <si>
    <t>A.n[89.01]FSSVGSVITK[156.13]K[156.13]LE.D</t>
  </si>
  <si>
    <t>MegaP_hMMP2_GluC-2_OS_QStar-XL_20111027.03299.03299.2</t>
  </si>
  <si>
    <t>MegaP_hMMP2_GluC-2_OS_QStar-XL_20111027.03300.03300.2</t>
  </si>
  <si>
    <t>13/34</t>
  </si>
  <si>
    <t>A.n[89.01]MVSMVTK[156.13]DNPGVVTC[160.03]LDE.A</t>
  </si>
  <si>
    <t>sp|P22314|UBA1_HUMAN</t>
  </si>
  <si>
    <t>Ubiquitin-like modifier-activating enzyme 1 OS=Homo sapiens GN=UBA1 PE=1 SV=3</t>
  </si>
  <si>
    <t>MegaP_hMMP2_GluC-2_OS_QStar-XL_20111027.03308.03308.2</t>
  </si>
  <si>
    <t>C.n[89.01]LVVEDPVHGIHLE.T</t>
  </si>
  <si>
    <t>sp|Q96M27|PRRC1_HUMAN</t>
  </si>
  <si>
    <t>Protein PRRC1 OS=Homo sapiens GN=PRRC1 PE=1 SV=1</t>
  </si>
  <si>
    <t>MegaP_hMMP2_GluC-2_OS_QStar-XL_20111027.03312.03312.2</t>
  </si>
  <si>
    <t>M.n[89.01]PM[147.04]FIVNTNVPRASVPD.G</t>
  </si>
  <si>
    <t>MegaP_hMMP2_GluC-2_OS_QStar-XL_20111027.03321.03321.2</t>
  </si>
  <si>
    <t>K.n[89.01]LLAVAATAPPDAPNREE.V</t>
  </si>
  <si>
    <t>MegaP_hMMP2_GluC-2_OS_QStar-XL_20111027.03323.03323.2</t>
  </si>
  <si>
    <t>17/24</t>
  </si>
  <si>
    <t>Q.n[89.01]LK[156.13]GFSLLATEDK[156.13]E.A</t>
  </si>
  <si>
    <t>sp|P09874|PARP1_HUMAN</t>
  </si>
  <si>
    <t>Poly [ADP-ribose] polymerase 1 OS=Homo sapiens GN=PARP1 PE=1 SV=4</t>
  </si>
  <si>
    <t>MegaP_hMMP2_GluC-2_OS_QStar-XL_20111027.03327.03327.2</t>
  </si>
  <si>
    <t>H.n[89.01]LVSATMSGVTTC[160.03]LR.F</t>
  </si>
  <si>
    <t>MegaP_hMMP2_GluC-2_OS_QStar-XL_20111027.03336.03336.2</t>
  </si>
  <si>
    <t>9/38</t>
  </si>
  <si>
    <t>R.n[89.01]LIGDAAK[156.13]NQVALNPQNTVFD.A</t>
  </si>
  <si>
    <t>MegaP_hMMP2_GluC-2_OS_QStar-XL_20111027.03342.03342.2</t>
  </si>
  <si>
    <t>G.n[89.01]LINFIK[156.13]QQRE.A</t>
  </si>
  <si>
    <t>sp|P06744|G6PI_HUMAN,sp|P06744-2|G6PI_HUMAN</t>
  </si>
  <si>
    <t>Glucose-6-phosphate isomerase OS=Homo sapiens GN=GPI PE=1 SV=4</t>
  </si>
  <si>
    <t>MegaP_hMMP2_GluC-2_OS_QStar-XL_20111027.03345.03345.2</t>
  </si>
  <si>
    <t>G.n[89.01]LFRAAVPSGASTGIYE.A</t>
  </si>
  <si>
    <t>sp|P06733|ENOA_HUMAN,sp|P09104|ENOG_HUMAN</t>
  </si>
  <si>
    <t>MegaP_hMMP2_GluC-2_OS_QStar-XL_20111027.03356.03356.2</t>
  </si>
  <si>
    <t>22/22</t>
  </si>
  <si>
    <t>F.n[89.01]FLGASLK[156.13]DEVLK[156.13].L</t>
  </si>
  <si>
    <t>sp|P15880|RS2_HUMAN</t>
  </si>
  <si>
    <t>40S ribosomal protein S2 OS=Homo sapiens GN=RPS2 PE=1 SV=2</t>
  </si>
  <si>
    <t>MegaP_hMMP2_GluC-2_OS_QStar-XL_20111027.03357.03357.2</t>
  </si>
  <si>
    <t>20/34</t>
  </si>
  <si>
    <t>MegaP_hMMP2_GluC-2_OS_QStar-XL_20111027.03371.03371.2</t>
  </si>
  <si>
    <t>N.n[89.01]LLLSK[156.13]GAK[156.13]NILD.V</t>
  </si>
  <si>
    <t>sp|P08397|HEM3_HUMAN,sp|P08397-2|HEM3_HUMAN,sp|P08397-3|HEM3_HUMAN,sp|P08397-4|HEM3_HUMAN</t>
  </si>
  <si>
    <t>Porphobilinogen deaminase OS=Homo sapiens GN=HMBS PE=1 SV=2</t>
  </si>
  <si>
    <t>MegaP_hMMP2_GluC-2_OS_QStar-XL_20111027.03374.03374.2</t>
  </si>
  <si>
    <t>G.n[89.01]FTAQVIILNHPGQ.L</t>
  </si>
  <si>
    <t>MegaP_hMMP2_GluC-2_OS_QStar-XL_20111027.03383.03383.2</t>
  </si>
  <si>
    <t>S.n[89.01]LIALVNDPQPEHPLR.A</t>
  </si>
  <si>
    <t>MegaP_hMMP2_GluC-2_OS_QStar-XL_20111027.03386.03386.2</t>
  </si>
  <si>
    <t>S.n[89.01]LFLQTPK[156.13]IVADK[156.13]D.Y</t>
  </si>
  <si>
    <t>MegaP_hMMP2_GluC-2_OS_QStar-XL_20111027.03398.03398.2</t>
  </si>
  <si>
    <t>T.n[89.01]LFSTTPGGTRIIYD.R</t>
  </si>
  <si>
    <t>sp|Q13541|4EBP1_HUMAN,sp|Q13542|4EBP2_HUMAN</t>
  </si>
  <si>
    <t>Eukaryotic translation initiation factor 4E-binding protein 1 OS=Homo sapiens GN=EIF4EBP1 PE=1 SV=3</t>
  </si>
  <si>
    <t>MegaP_hMMP2_GluC-2_OS_QStar-XL_20111027.03410.03410.2</t>
  </si>
  <si>
    <t>T.n[89.01]LK[156.13]MSVQPTVSLGGFE.L</t>
  </si>
  <si>
    <t>MegaP_hMMP2_GluC-2_OS_QStar-XL_20111027.03422.03422.2</t>
  </si>
  <si>
    <t>D.n[89.01]PFAHLPK[156.13]STFVLDE.F</t>
  </si>
  <si>
    <t>sp|P26641|EF1G_HUMAN</t>
  </si>
  <si>
    <t>Elongation factor 1-gamma OS=Homo sapiens GN=EEF1G PE=1 SV=3</t>
  </si>
  <si>
    <t>MegaP_hMMP2_GluC-2_OS_QStar-XL_20111027.03428.03428.2</t>
  </si>
  <si>
    <t>15/30</t>
  </si>
  <si>
    <t>V.n[89.01]WAAVPGK[156.13]TFVNITPAE.V</t>
  </si>
  <si>
    <t>sp|P07737|PROF1_HUMAN,CON_P02584|P02584</t>
  </si>
  <si>
    <t>MegaP_hMMP2_GluC-2_OS_QStar-XL_20111027.03434.03434.2</t>
  </si>
  <si>
    <t>G.n[89.01]LLDSPALK[156.13]AC[160.03]LD.T</t>
  </si>
  <si>
    <t>sp|P49327|FAS_HUMAN</t>
  </si>
  <si>
    <t>Fatty acid synthase OS=Homo sapiens GN=FASN PE=1 SV=3</t>
  </si>
  <si>
    <t>MegaP_hMMP2_GluC-2_OS_QStar-XL_20111027.03446.03446.2</t>
  </si>
  <si>
    <t>G.n[89.01]FTAQVIILNHPGQIS.A</t>
  </si>
  <si>
    <t>MegaP_hMMP2_GluC-2_OS_QStar-XL_20111027.03455.03455.2</t>
  </si>
  <si>
    <t>MegaP_hMMP2_GluC-2_OS_QStar-XL_20111027.03466.03466.2</t>
  </si>
  <si>
    <t>S.n[89.01]LLARVEPPLK[156.13]AVME.Q</t>
  </si>
  <si>
    <t>sp|O95757|HS74L_HUMAN</t>
  </si>
  <si>
    <t>Heat shock 70 kDa protein 4L OS=Homo sapiens GN=HSPA4L PE=1 SV=3</t>
  </si>
  <si>
    <t>MegaP_hMMP2_GluC-2_OS_QStar-XL_20111027.03469.03469.2</t>
  </si>
  <si>
    <t>18/28</t>
  </si>
  <si>
    <t>D.n[89.01]PPSAK[156.13]AAIDWFDGK[156.13]E.F</t>
  </si>
  <si>
    <t>sp|P35637|FUS_HUMAN</t>
  </si>
  <si>
    <t>RNA-binding protein FUS OS=Homo sapiens GN=FUS PE=1 SV=1</t>
  </si>
  <si>
    <t>MegaP_hMMP2_GluC-2_OS_QStar-XL_20111027.03472.03472.3</t>
  </si>
  <si>
    <t>16/96</t>
  </si>
  <si>
    <t>A.n[89.01]LIDQLK[156.13]PGGRLILPVGPAGGNQM[147.04]LE.Q</t>
  </si>
  <si>
    <t>MegaP_hMMP2_GluC-2_OS_QStar-XL_20111027.03481.03481.2</t>
  </si>
  <si>
    <t>S.n[89.01]LIALVNDPQPEHPLRADLAEE.Y</t>
  </si>
  <si>
    <t>MegaP_hMMP2_GluC-2_OS_QStar-XL_20111027.03485.03485.2</t>
  </si>
  <si>
    <t>sp|P35637|FUS_HUMAN,sp|P35637-2|FUS_HUMAN,sp|Q92804|RBP56_HUMAN,sp|Q92804-2|RBP56_HUMAN</t>
  </si>
  <si>
    <t>MegaP_hMMP2_GluC-2_OS_QStar-XL_20111027.03501.03501.2</t>
  </si>
  <si>
    <t>D.n[29.04]INLLDNVVNC[160.03]LYHGE.G</t>
  </si>
  <si>
    <t>sp|O14980|XPO1_HUMAN</t>
  </si>
  <si>
    <t>Exportin-1 OS=Homo sapiens GN=XPO1 PE=1 SV=1</t>
  </si>
  <si>
    <t>MegaP_hMMP2_GluC-2_OS_QStar-XL_20111027.03508.03508.2</t>
  </si>
  <si>
    <t>C.n[89.01]LVAGRLVQTAAQQVAE.D</t>
  </si>
  <si>
    <t>sp|Q53FT3|HIKES_HUMAN</t>
  </si>
  <si>
    <t>Protein Hikeshi OS=Homo sapiens GN=C11orf73 PE=1 SV=2</t>
  </si>
  <si>
    <t>MegaP_hMMP2_GluC-2_OS_QStar-XL_20111027.03513.03513.2</t>
  </si>
  <si>
    <t>A.n[89.01]LIDQLK[156.13]PGGRLILPVGPAG.G</t>
  </si>
  <si>
    <t>sp|P22061|PIMT_HUMAN</t>
  </si>
  <si>
    <t>MegaP_hMMP2_GluC-2_OS_QStar-XL_20111027.03516.03516.2</t>
  </si>
  <si>
    <t>16/36</t>
  </si>
  <si>
    <t>MegaP_hMMP2_GluC-2_OS_QStar-XL_20111027.03529.03529.2</t>
  </si>
  <si>
    <t>P.n[89.01]LVK[156.13]FIQQTYPSGGEE.Q</t>
  </si>
  <si>
    <t>sp|Q8WUM4|PDC6I_HUMAN,sp|Q8WUM4-2|PDC6I_HUMAN</t>
  </si>
  <si>
    <t>Programmed cell death 6-interacting protein OS=Homo sapiens GN=PDCD6IP PE=1 SV=1</t>
  </si>
  <si>
    <t>MegaP_hMMP2_GluC-2_OS_QStar-XL_20111027.03533.03533.2</t>
  </si>
  <si>
    <t>N.n[89.01]LSLVVHGPGDLRLE.N</t>
  </si>
  <si>
    <t>sp|Q00796|DHSO_HUMAN</t>
  </si>
  <si>
    <t>Sorbitol dehydrogenase OS=Homo sapiens GN=SORD PE=1 SV=4</t>
  </si>
  <si>
    <t>MegaP_hMMP2_GluC-2_OS_QStar-XL_20111027.03543.03543.2</t>
  </si>
  <si>
    <t>MegaP_hMMP2_GluC-2_OS_QStar-XL_20111027.03554.03554.2</t>
  </si>
  <si>
    <t>T.n[89.01]VVSGLVQFVPK[156.13]EE.L</t>
  </si>
  <si>
    <t>sp|P54577|SYYC_HUMAN</t>
  </si>
  <si>
    <t>Tyrosine--tRNA ligase, cytoplasmic OS=Homo sapiens GN=YARS PE=1 SV=4</t>
  </si>
  <si>
    <t>MegaP_hMMP2_GluC-2_OS_QStar-XL_20111027.03557.03557.2</t>
  </si>
  <si>
    <t>MegaP_hMMP2_GluC-2_OS_QStar-XL_20111027.03566.03566.2</t>
  </si>
  <si>
    <t>16/34</t>
  </si>
  <si>
    <t>D.n[89.01]LINNLGTIAK[156.13]SGTK[156.13]AFME.A</t>
  </si>
  <si>
    <t>MegaP_hMMP2_GluC-2_OS_QStar-XL_20111027.03587.03587.2</t>
  </si>
  <si>
    <t>D.n[89.01]LIGTFQTTMTK[156.13]LK[156.13]E.A</t>
  </si>
  <si>
    <t>sp|O75131|CPNE3_HUMAN</t>
  </si>
  <si>
    <t>Copine-3 OS=Homo sapiens GN=CPNE3 PE=1 SV=1</t>
  </si>
  <si>
    <t>MegaP_hMMP2_GluC-2_OS_QStar-XL_20111027.03588.03588.2</t>
  </si>
  <si>
    <t>G.n[89.01]LNVMRIINEPTA.A</t>
  </si>
  <si>
    <t>MegaP_hMMP2_GluC-2_OS_QStar-XL_20111027.03591.03591.2</t>
  </si>
  <si>
    <t>15/34</t>
  </si>
  <si>
    <t>MegaP_hMMP2_GluC-2_OS_QStar-XL_20111027.03593.03593.2</t>
  </si>
  <si>
    <t>9/26</t>
  </si>
  <si>
    <t>G.n[89.01]LNVMRIINEPTAAA.L</t>
  </si>
  <si>
    <t>MegaP_hMMP2_GluC-2_OS_QStar-XL_20111027.03600.03600.2</t>
  </si>
  <si>
    <t>12/38</t>
  </si>
  <si>
    <t>G.n[89.01]LFNVVQGGAATGQFLC[160.03]QHPD.V</t>
  </si>
  <si>
    <t>sp|P49189|AL9A1_HUMAN</t>
  </si>
  <si>
    <t>4-trimethylaminobutyraldehyde dehydrogenase OS=Homo sapiens GN=ALDH9A1 PE=1 SV=3</t>
  </si>
  <si>
    <t>MegaP_hMMP2_GluC-2_OS_QStar-XL_20111027.03602.03602.2</t>
  </si>
  <si>
    <t>11/34</t>
  </si>
  <si>
    <t>G.n[89.01]IHWGGVPNEFNGAVFINE.N</t>
  </si>
  <si>
    <t>MegaP_hMMP2_GluC-2_OS_QStar-XL_20111027.03606.03606.2</t>
  </si>
  <si>
    <t>MegaP_hMMP2_GluC-2_OS_QStar-XL_20111027.03630.03630.2</t>
  </si>
  <si>
    <t>M.n[89.01]PMFIVNTNVPRASVPD.G</t>
  </si>
  <si>
    <t>MegaP_hMMP2_GluC-2_OS_QStar-XL_20111027.03636.03636.3</t>
  </si>
  <si>
    <t>14/100</t>
  </si>
  <si>
    <t>S.n[89.01]LIAK[156.13]VATAQDDITGDGTTSNVLIIGE.L</t>
  </si>
  <si>
    <t>sp|P40227|TCPZ_HUMAN</t>
  </si>
  <si>
    <t>T-complex protein 1 subunit zeta OS=Homo sapiens GN=CCT6A PE=1 SV=3</t>
  </si>
  <si>
    <t>MegaP_hMMP2_GluC-2_OS_QStar-XL_20111027.03638.03638.2</t>
  </si>
  <si>
    <t>MegaP_hMMP2_GluC-2_OS_QStar-XL_20111027.03639.03639.2</t>
  </si>
  <si>
    <t>G.n[89.01]LNVLRVINEPTAAA.L</t>
  </si>
  <si>
    <t>MegaP_hMMP2_GluC-2_OS_QStar-XL_20111027.03641.03641.2</t>
  </si>
  <si>
    <t>MegaP_hMMP2_GluC-2_OS_QStar-XL_20111027.03642.03642.3</t>
  </si>
  <si>
    <t>13/100</t>
  </si>
  <si>
    <t>MegaP_hMMP2_GluC-2_OS_QStar-XL_20111027.03644.03644.2</t>
  </si>
  <si>
    <t>18/24</t>
  </si>
  <si>
    <t>S.n[89.01]IISIIHSSLAEPR.V</t>
  </si>
  <si>
    <t>MegaP_hMMP2_GluC-2_OS_QStar-XL_20111027.03645.03645.2</t>
  </si>
  <si>
    <t>10/34</t>
  </si>
  <si>
    <t>MegaP_hMMP2_GluC-2_OS_QStar-XL_20111027.03652.03652.2</t>
  </si>
  <si>
    <t>MegaP_hMMP2_GluC-2_OS_QStar-XL_20111027.03653.03653.2</t>
  </si>
  <si>
    <t>MegaP_hMMP2_GluC-2_OS_QStar-XL_20111027.03660.03660.2</t>
  </si>
  <si>
    <t>MegaP_hMMP2_GluC-2_OS_QStar-XL_20111027.03665.03665.2</t>
  </si>
  <si>
    <t>MegaP_hMMP2_GluC-2_OS_QStar-XL_20111027.03667.03667.2</t>
  </si>
  <si>
    <t>MegaP_hMMP2_GluC-2_OS_QStar-XL_20111027.03671.03671.2</t>
  </si>
  <si>
    <t>MegaP_hMMP2_GluC-2_OS_QStar-XL_20111027.03674.03674.2</t>
  </si>
  <si>
    <t>N.n[89.01]FFSPLNPIRVHID.L</t>
  </si>
  <si>
    <t>sp|P31942|HNRH3_HUMAN,sp|P31942-2|HNRH3_HUMAN,sp|P31942-3|HNRH3_HUMAN,sp|P31942-4|HNRH3_HUMAN,sp|P31942-5|HNRH3_HUMAN,sp|P31942-6|HNRH3_HUMAN</t>
  </si>
  <si>
    <t>Heterogeneous nuclear ribonucleoprotein H3 OS=Homo sapiens GN=HNRNPH3 PE=1 SV=2</t>
  </si>
  <si>
    <t>MegaP_hMMP2_GluC-2_OS_QStar-XL_20111027.03676.03676.2</t>
  </si>
  <si>
    <t>MegaP_hMMP2_GluC-2_OS_QStar-XL_20111027.03690.03690.2</t>
  </si>
  <si>
    <t>MegaP_hMMP2_GluC-2_OS_QStar-XL_20111027.03692.03692.2</t>
  </si>
  <si>
    <t>S.n[89.01]VINLLRNVC[160.03]SE.A</t>
  </si>
  <si>
    <t>sp|Q96AT9|RPE_HUMAN,sp|Q96AT9-2|RPE_HUMAN,sp|Q96AT9-3|RPE_HUMAN</t>
  </si>
  <si>
    <t>Ribulose-phosphate 3-epimerase OS=Homo sapiens GN=RPE PE=1 SV=1</t>
  </si>
  <si>
    <t>MegaP_hMMP2_GluC-2_OS_QStar-XL_20111027.03695.03695.2</t>
  </si>
  <si>
    <t>G.n[89.01]MLAQFIDK[156.13]PVC[160.03].F</t>
  </si>
  <si>
    <t>sp|P35244|RFA3_HUMAN</t>
  </si>
  <si>
    <t>Replication protein A 14 kDa subunit OS=Homo sapiens GN=RPA3 PE=1 SV=1</t>
  </si>
  <si>
    <t>MegaP_hMMP2_GluC-2_OS_QStar-XL_20111027.03853.03853.2</t>
  </si>
  <si>
    <t>G.n[89.01]LNVLRIINEPTAAA.L</t>
  </si>
  <si>
    <t>MegaP_hMMP2_GluC-2_OS_QStar-XL_20111027.03863.03863.2</t>
  </si>
  <si>
    <t>G.n[89.01]LNVLRIINEPTAA.A</t>
  </si>
  <si>
    <t>MegaP_hMMP2_GluC-2_OS_QStar-XL_20111027.03868.03868.2</t>
  </si>
  <si>
    <t>G.n[89.01]LNVLRIINEPTA.A</t>
  </si>
  <si>
    <t>MegaP_hMMP2_GluC-2_OS_QStar-XL_20111027.03871.03871.2</t>
  </si>
  <si>
    <t>MegaP_hMMP2_GluC-2_OS_QStar-XL_20111027.03873.03873.2</t>
  </si>
  <si>
    <t>MegaP_hMMP2_GluC-2_OS_QStar-XL_20111027.03913.03913.2</t>
  </si>
  <si>
    <t>MegaP_hMMP2_GluC-2_OS_QStar-XL_20111027.03917.03917.2</t>
  </si>
  <si>
    <t>A.n[89.01]LRMLPTIIADNAGYD.S</t>
  </si>
  <si>
    <t>sp|P78371|TCPB_HUMAN,sp|P78371-2|TCPB_HUMAN</t>
  </si>
  <si>
    <t>MegaP_hMMP2_GluC-2_OS_QStar-XL_20111027.03921.03921.2</t>
  </si>
  <si>
    <t>N.n[89.01]LSYSATEETLQEVFEK[156.13].A</t>
  </si>
  <si>
    <t>MegaP_hMMP2_GluC-2_OS_QStar-XL_20111027.03935.03935.2</t>
  </si>
  <si>
    <t>MegaP_hMMP2_GluC-2_OS_QStar-XL_20111027.03949.03949.2</t>
  </si>
  <si>
    <t>Q.n[89.01]IMSDPAMRLILE.Q</t>
  </si>
  <si>
    <t>MegaP_hMMP2_GluC-2_OS_QStar-XL_20111027.03950.03950.3</t>
  </si>
  <si>
    <t>21/100</t>
  </si>
  <si>
    <t>G.n[89.01]LNVLRIINEPTAAAIAYGLDRTGK[156.13]GE.R</t>
  </si>
  <si>
    <t>MegaP_hMMP2_GluC-2_OS_QStar-XL_20111027.03953.03953.3</t>
  </si>
  <si>
    <t>MegaP_hMMP2_GluC-2_OS_QStar-XL_20111027.03958.03958.3</t>
  </si>
  <si>
    <t>MegaP_hMMP2_GluC-2_OS_QStar-XL_20111027.03984.03984.2</t>
  </si>
  <si>
    <t>P.n[89.01]LMGVIYVPLTDK[156.13]E.K</t>
  </si>
  <si>
    <t>MegaP_hMMP2_GluC-2_OS_QStar-XL_20111027.04064.04064.2</t>
  </si>
  <si>
    <t>M.n[89.01]LVVLLQANRDPDAGIDE.A</t>
  </si>
  <si>
    <t>MegaP_hMMP2_GluC-2_OS_QStar-XL_20111027.04262.04262.2</t>
  </si>
  <si>
    <t>G.n[89.01]LNVLRIINEPTAAAIAYG.L</t>
  </si>
  <si>
    <t>MegaP_hMMP2_GluC-2_OS_QStar-XL_20111027.04274.04274.2</t>
  </si>
  <si>
    <t>G.n[89.01]LQVLNDYLADK[156.13]SYIE.G</t>
  </si>
  <si>
    <t>sp|P24534|EF1B_HUMAN</t>
  </si>
  <si>
    <t>Elongation factor 1-beta OS=Homo sapiens GN=EEF1B2 PE=1 SV=3</t>
  </si>
  <si>
    <t>MegaP_hMMP2_GluC-2_OS_QStar-XL_20111027.04277.04277.2</t>
  </si>
  <si>
    <t>MegaP_hMMP2_GluC-2_OS_QStar-XL_20111027.04280.04280.2</t>
  </si>
  <si>
    <t>MegaP_hMMP2_GluC-2_OS_QStar-XL_20111027.04286.04286.2</t>
  </si>
  <si>
    <t>Q.n[89.01]LM[147.04]SLIINTFYSNK[156.13]E.L</t>
  </si>
  <si>
    <t>MegaP_hMMP2_GluC-2_OS_QStar-XL_20111027.04290.04290.2</t>
  </si>
  <si>
    <t>MegaP_hMMP2_GluC-2_OS_QStar-XL_20111027.04551.04551.2</t>
  </si>
  <si>
    <t>P.n[89.01]AC[160.03]ALLLLFPLTAQHE.N</t>
  </si>
  <si>
    <t>MegaP_hMMP2_GluC-2_OS_QStar-XL_20111027.04553.04553.2</t>
  </si>
  <si>
    <t>MegaP_hMMP2_GluC-2_OS_QStar-XL_20111027.04560.04560.2</t>
  </si>
  <si>
    <t>MegaP_hMMP2_GluC-2_OS_QStar-XL_20111027.04604.04604.2</t>
  </si>
  <si>
    <t>C.n[89.01]ALLLLFPLTAQHE.N</t>
  </si>
  <si>
    <t>MegaP_hMMP2_GluC-2_OS_QStar-XL_20111027.04611.04611.2</t>
  </si>
  <si>
    <t>A.n[89.01]LLLLFPLTAQHE.N</t>
  </si>
  <si>
    <t>MegaP_hMMP2_GluC-2_OS_QStar-XL_20111027.05435.05435.2</t>
  </si>
  <si>
    <t>MegaP_hMMP2_GluC-2_OS_QStar-XL_20111027.05443.05443.2</t>
  </si>
  <si>
    <t>sp|P15927|RFA2_HUMAN,sp|P15927-2|RFA2_HUMAN,sp|P15927-3|RFA2_HUMAN</t>
  </si>
  <si>
    <t>MegaP_hMMP2_GluC-2_OS_QStar-XL_20111027.05443.05443.3</t>
  </si>
  <si>
    <t>MegaP_hMMP2_GluC-2_OS_QStar-XL_20111027.05459.05459.2</t>
  </si>
  <si>
    <t>A.n[89.01]VVARTPPEPRPSPE.G</t>
  </si>
  <si>
    <t>sp|Q3KQU3|MA7D1_HUMAN</t>
  </si>
  <si>
    <t>MAP7 domain-containing protein 1 OS=Homo sapiens GN=MAP7D1 PE=1 SV=1</t>
  </si>
  <si>
    <t>MegaP_hMMP2_GluC-2_OS_QStar-XL_20111027.05485.05485.2</t>
  </si>
  <si>
    <t>MegaP_hMMP2_GluC-2_OS_QStar-XL_20111027.05486.05486.3</t>
  </si>
  <si>
    <t>MegaP_hMMP2_GluC-2_OS_QStar-XL_20111027.05504.05504.2</t>
  </si>
  <si>
    <t>MegaP_hMMP2_GluC-2_OS_QStar-XL_20111027.05507.05507.2</t>
  </si>
  <si>
    <t>MegaP_hMMP2_GluC-2_OS_QStar-XL_20111027.05508.05508.2</t>
  </si>
  <si>
    <t>MegaP_hMMP2_GluC-2_OS_QStar-XL_20111027.05530.05530.2</t>
  </si>
  <si>
    <t>MegaP_hMMP2_GluC-2_OS_QStar-XL_20111027.05536.05536.2</t>
  </si>
  <si>
    <t>MegaP_hMMP2_GluC-2_OS_QStar-XL_20111027.05541.05541.2</t>
  </si>
  <si>
    <t>MegaP_hMMP2_GluC-2_OS_QStar-XL_20111027.05546.05546.2</t>
  </si>
  <si>
    <t>Q.n[89.01]VVNFGPGPAK[156.13]LPHSVLLE.L</t>
  </si>
  <si>
    <t>sp|Q9Y617|SERC_HUMAN,sp|Q9Y617-2|SERC_HUMAN</t>
  </si>
  <si>
    <t>Phosphoserine aminotransferase OS=Homo sapiens GN=PSAT1 PE=1 SV=2</t>
  </si>
  <si>
    <t>MegaP_hMMP2_GluC-2_OS_QStar-XL_20111027.05553.05553.2</t>
  </si>
  <si>
    <t>16/30</t>
  </si>
  <si>
    <t>MegaP_hMMP2_GluC-2_OS_QStar-XL_20111027.05559.05559.2</t>
  </si>
  <si>
    <t>MegaP_hMMP2_GluC-2_OS_QStar-XL_20111027.05561.05561.2</t>
  </si>
  <si>
    <t>MegaP_hMMP2_GluC-2_OS_QStar-XL_20111027.05566.05566.2</t>
  </si>
  <si>
    <t>17/34</t>
  </si>
  <si>
    <t>MegaP_hMMP2_GluC-2_OS_QStar-XL_20111027.05567.05567.2</t>
  </si>
  <si>
    <t>G.n[89.01]LK[156.13]VSQLLLSTDE.S</t>
  </si>
  <si>
    <t>MegaP_hMMP2_GluC-2_OS_QStar-XL_20111027.05570.05570.2</t>
  </si>
  <si>
    <t>MegaP_hMMP2_GluC-2_OS_QStar-XL_20111027.05571.05571.2</t>
  </si>
  <si>
    <t>MegaP_hMMP2_GluC-2_OS_QStar-XL_20111027.05573.05573.2</t>
  </si>
  <si>
    <t>MegaP_hMMP2_GluC-2_OS_QStar-XL_20111027.05574.05574.2</t>
  </si>
  <si>
    <t>MegaP_hMMP2_GluC-2_OS_QStar-XL_20111027.05576.05576.2</t>
  </si>
  <si>
    <t>MegaP_hMMP2_GluC-2_OS_QStar-XL_20111027.05578.05578.2</t>
  </si>
  <si>
    <t>MegaP_hMMP2_GluC-2_OS_QStar-XL_20111027.05579.05579.3</t>
  </si>
  <si>
    <t>19/100</t>
  </si>
  <si>
    <t>MegaP_hMMP2_GluC-2_OS_QStar-XL_20111027.05581.05581.2</t>
  </si>
  <si>
    <t>MegaP_hMMP2_GluC-2_OS_QStar-XL_20111027.05582.05582.2</t>
  </si>
  <si>
    <t>MegaP_hMMP2_GluC-2_OS_QStar-XL_20111027.05583.05583.2</t>
  </si>
  <si>
    <t>MegaP_hMMP3_GluC_AS_QStar-XL_20080308.01336.01336.4</t>
  </si>
  <si>
    <t>19/138</t>
  </si>
  <si>
    <t>K.n[89.01]NAQK[156.13]SNQNGK[156.13]DSK[156.13]PSSTPRSK[156.13]GQE.S</t>
  </si>
  <si>
    <t>sp|P06748|NPM_HUMAN,sp|P06748-3|NPM_HUMAN</t>
  </si>
  <si>
    <t>MegaP_hMMP3_GluC_AS_QStar-XL_20080308.01359.01359.3</t>
  </si>
  <si>
    <t>MegaP_hMMP3_GluC_AS_QStar-XL_20080308.01360.01360.3</t>
  </si>
  <si>
    <t>MegaP_hMMP3_GluC_AS_QStar-XL_20080308.01367.01367.4</t>
  </si>
  <si>
    <t>18/102</t>
  </si>
  <si>
    <t>Y.n[89.01]NC[160.03]GRGGHIAK[156.13]DC[160.03]K[156.13]EPK[156.13]RE.R</t>
  </si>
  <si>
    <t>sp|P62633|CNBP_HUMAN,sp|P62633-2|CNBP_HUMAN,sp|P62633-3|CNBP_HUMAN,sp|P62633-4|CNBP_HUMAN,sp|P62633-5|CNBP_HUMAN,sp|P62633-6|CNBP_HUMAN</t>
  </si>
  <si>
    <t>MegaP_hMMP3_GluC_AS_QStar-XL_20080308.01371.01371.4</t>
  </si>
  <si>
    <t>22/84</t>
  </si>
  <si>
    <t>A.n[89.01]QK[156.13]GQK[156.13]APAQK[156.13]APAPK[156.13].A</t>
  </si>
  <si>
    <t>sp|P50914|RL14_HUMAN</t>
  </si>
  <si>
    <t>60S ribosomal protein L14 OS=Homo sapiens GN=RPL14 PE=1 SV=4</t>
  </si>
  <si>
    <t>MegaP_hMMP3_GluC_AS_QStar-XL_20080308.01375.01375.3</t>
  </si>
  <si>
    <t>E.n[29.04]YRHPGASDRPQPT.A</t>
  </si>
  <si>
    <t>MegaP_hMMP3_GluC_AS_QStar-XL_20080308.01383.01383.4</t>
  </si>
  <si>
    <t>25/102</t>
  </si>
  <si>
    <t>A.n[89.01]QK[156.13]GQK[156.13]APAQK[156.13]APAPK[156.13]ASG.K</t>
  </si>
  <si>
    <t>MegaP_hMMP3_GluC_AS_QStar-XL_20080308.01419.01419.3</t>
  </si>
  <si>
    <t>E.n[29.04]HSVNYK[156.13]PPAQK[156.13].S</t>
  </si>
  <si>
    <t>MegaP_hMMP3_GluC_AS_QStar-XL_20080308.01427.01427.3</t>
  </si>
  <si>
    <t>E.n[29.04]K[156.13]K[156.13]YHNVGLSK[156.13]C[160.03]E.L</t>
  </si>
  <si>
    <t>MegaP_hMMP3_GluC_AS_QStar-XL_20080308.01428.01428.2</t>
  </si>
  <si>
    <t>T.n[89.01]QQQQPQQQRGAAK[156.13]E.A</t>
  </si>
  <si>
    <t>sp|Q00839|HNRPU_HUMAN,sp|Q00839-2|HNRPU_HUMAN</t>
  </si>
  <si>
    <t>Heterogeneous nuclear ribonucleoprotein U OS=Homo sapiens GN=HNRNPU PE=1 SV=6</t>
  </si>
  <si>
    <t>MegaP_hMMP3_GluC_AS_QStar-XL_20080308.01444.01444.2</t>
  </si>
  <si>
    <t>E.n[89.01]GAAGQQPTAPDK[156.13].S</t>
  </si>
  <si>
    <t>sp|O95436|NPT2B_HUMAN,sp|O95436-2|NPT2B_HUMAN</t>
  </si>
  <si>
    <t>Sodium-dependent phosphate transport protein 2B OS=Homo sapiens GN=SLC34A2 PE=1 SV=3</t>
  </si>
  <si>
    <t>MegaP_hMMP3_GluC_AS_QStar-XL_20080308.01463.01463.3</t>
  </si>
  <si>
    <t>E.n[29.04]TSHNYHK[156.13]FDSE.Y</t>
  </si>
  <si>
    <t>sp|P43243|MATR3_HUMAN</t>
  </si>
  <si>
    <t>Matrin-3 OS=Homo sapiens GN=MATR3 PE=1 SV=2</t>
  </si>
  <si>
    <t>MegaP_hMMP3_GluC_AS_QStar-XL_20080308.01465.01465.3</t>
  </si>
  <si>
    <t>F.n[29.04]RALQHSYLHK[156.13]DE.G</t>
  </si>
  <si>
    <t>sp|P11802|CDK4_HUMAN</t>
  </si>
  <si>
    <t>Cyclin-dependent kinase 4 OS=Homo sapiens GN=CDK4 PE=1 SV=2</t>
  </si>
  <si>
    <t>MegaP_hMMP3_GluC_AS_QStar-XL_20080308.01467.01467.3</t>
  </si>
  <si>
    <t>F.n[89.01]ARRNSC[160.03]NQC[160.03]NEPRPE.D</t>
  </si>
  <si>
    <t>sp|Q92804|RBP56_HUMAN,sp|Q92804-2|RBP56_HUMAN</t>
  </si>
  <si>
    <t>TATA-binding protein-associated factor 2N OS=Homo sapiens GN=TAF15 PE=1 SV=1</t>
  </si>
  <si>
    <t>MegaP_hMMP3_GluC_AS_QStar-XL_20080308.01472.01472.3</t>
  </si>
  <si>
    <t>Y.n[89.01]NK[156.13]RSTITSRE.L</t>
  </si>
  <si>
    <t>sp|P33778|H2B1B_HUMAN,sp|P62807|H2B1C_HUMAN,sp|P58876|H2B1D_HUMAN,sp|Q93079|H2B1H_HUMAN,sp|P06899|H2B1J_HUMAN,sp|O60814|H2B1K_HUMAN,sp|Q99880|H2B1L_HUMAN,sp|Q99879|H2B1M_HUMAN,sp|Q99877|H2B1N_HUMAN,sp|P23527|H2B1O_HUMAN,sp|Q16778|H2B2E_HUMAN,sp|Q5QNW6|H2B2F_HUMAN,sp|Q5QNW6-2|H2B2F_HUMAN,sp|Q8N257|H2B3B_HUMAN,sp|P57053|H2BFS_HUMAN</t>
  </si>
  <si>
    <t>MegaP_hMMP3_GluC_AS_QStar-XL_20080308.01481.01481.3</t>
  </si>
  <si>
    <t>E.n[29.04]K[156.13]TAVIDHHNYD.L</t>
  </si>
  <si>
    <t>sp|P39656|OST48_HUMAN</t>
  </si>
  <si>
    <t>Dolichyl-diphosphooligosaccharide--protein glycosyltransferase 48 kDa subunit OS=Homo sapiens GN=DDOST PE=1 SV=4</t>
  </si>
  <si>
    <t>MegaP_hMMP3_GluC_AS_QStar-XL_20080308.01515.01515.2</t>
  </si>
  <si>
    <t>S.n[89.01]QTK[156.13]AGK[156.13]PEEDSE.S</t>
  </si>
  <si>
    <t>sp|Q13428|TCOF_HUMAN</t>
  </si>
  <si>
    <t>Treacle protein OS=Homo sapiens GN=TCOF1 PE=1 SV=3</t>
  </si>
  <si>
    <t>MegaP_hMMP3_GluC_AS_QStar-XL_20080308.01527.01527.3</t>
  </si>
  <si>
    <t>19/80</t>
  </si>
  <si>
    <t>K.n[29.04]APK[156.13]PDGPGGGPGGSHM[147.04]GGNYG.D</t>
  </si>
  <si>
    <t>MegaP_hMMP3_GluC_AS_QStar-XL_20080308.01539.01539.3</t>
  </si>
  <si>
    <t>13/40</t>
  </si>
  <si>
    <t>E.n[29.04]C[160.03]C[160.03]AK[156.13]DDPHAC[160.03]Y.S</t>
  </si>
  <si>
    <t>CON_P02769|P02769</t>
  </si>
  <si>
    <t>(Bos taurus) Bovine serum albumin precursor</t>
  </si>
  <si>
    <t>MegaP_hMMP3_GluC_AS_QStar-XL_20080308.01567.01567.3</t>
  </si>
  <si>
    <t>20/48</t>
  </si>
  <si>
    <t>N.n[89.01]VTATDK[156.13]STGK[156.13]ANK[156.13].L</t>
  </si>
  <si>
    <t>MegaP_hMMP3_GluC_AS_QStar-XL_20080308.01568.01568.3</t>
  </si>
  <si>
    <t>20/84</t>
  </si>
  <si>
    <t>K.n[89.01]RLK[156.13]TDNAGDQHGGGGGGGGGAG.A</t>
  </si>
  <si>
    <t>MegaP_hMMP3_GluC_AS_QStar-XL_20080308.01569.01569.3</t>
  </si>
  <si>
    <t>L.n[29.04]ALK[156.13]YHPDK[156.13]NPNEGE.K</t>
  </si>
  <si>
    <t>sp|P31689|DNJA1_HUMAN,sp|P31689-2|DNJA1_HUMAN</t>
  </si>
  <si>
    <t>DnaJ homolog subfamily A member 1 OS=Homo sapiens GN=DNAJA1 PE=1 SV=2</t>
  </si>
  <si>
    <t>MegaP_hMMP3_GluC_AS_QStar-XL_20080308.01581.01581.2</t>
  </si>
  <si>
    <t>L.n[89.01]STNTTK[156.13]VK[156.13]E.F</t>
  </si>
  <si>
    <t>sp|P06744|G6PI_HUMAN</t>
  </si>
  <si>
    <t>MegaP_hMMP3_GluC_AS_QStar-XL_20080308.01591.01591.4</t>
  </si>
  <si>
    <t>E.n[29.04]YHPDK[156.13]NPNAGDK[156.13]FK[156.13]E.L</t>
  </si>
  <si>
    <t>sp|O60884|DNJA2_HUMAN</t>
  </si>
  <si>
    <t>DnaJ homolog subfamily A member 2 OS=Homo sapiens GN=DNAJA2 PE=1 SV=1</t>
  </si>
  <si>
    <t>MegaP_hMMP3_GluC_AS_QStar-XL_20080308.01595.01595.2</t>
  </si>
  <si>
    <t>D.n[89.01]SRSAGVPSR.V</t>
  </si>
  <si>
    <t>sp|P26599|PTBP1_HUMAN,sp|P26599-2|PTBP1_HUMAN,sp|P26599-3|PTBP1_HUMAN</t>
  </si>
  <si>
    <t>MegaP_hMMP3_GluC_AS_QStar-XL_20080308.01621.01621.3</t>
  </si>
  <si>
    <t>20/52</t>
  </si>
  <si>
    <t>MegaP_hMMP3_GluC_AS_QStar-XL_20080308.01627.01627.4</t>
  </si>
  <si>
    <t>16/72</t>
  </si>
  <si>
    <t>G.n[29.04]QGYPHDPPK[156.13]VK[156.13]C[160.03]E.T</t>
  </si>
  <si>
    <t>MegaP_hMMP3_GluC_AS_QStar-XL_20080308.01639.01639.3</t>
  </si>
  <si>
    <t>11/44</t>
  </si>
  <si>
    <t>MegaP_hMMP3_GluC_AS_QStar-XL_20080308.01648.01648.3</t>
  </si>
  <si>
    <t>9/40</t>
  </si>
  <si>
    <t>MegaP_hMMP3_GluC_AS_QStar-XL_20080308.01655.01655.3</t>
  </si>
  <si>
    <t>MegaP_hMMP3_GluC_AS_QStar-XL_20080308.01672.01672.3</t>
  </si>
  <si>
    <t>E.n[29.04]HSVNYK[156.13]PPAQK[156.13]SI.Q</t>
  </si>
  <si>
    <t>MegaP_hMMP3_GluC_AS_QStar-XL_20080308.01695.01695.3</t>
  </si>
  <si>
    <t>21/80</t>
  </si>
  <si>
    <t>K.n[29.04]APK[156.13]PDGPGGGPGGSHMGGNYG.D</t>
  </si>
  <si>
    <t>MegaP_hMMP3_GluC_AS_QStar-XL_20080308.01699.01699.2</t>
  </si>
  <si>
    <t>T.n[29.04]GVDNPGHPY.L</t>
  </si>
  <si>
    <t>MegaP_hMMP3_GluC_AS_QStar-XL_20080308.01703.01703.2</t>
  </si>
  <si>
    <t>18/18</t>
  </si>
  <si>
    <t>N.n[89.01]VTATDK[156.13]STGK[156.13].A</t>
  </si>
  <si>
    <t>MegaP_hMMP3_GluC_AS_QStar-XL_20080308.01705.01705.3</t>
  </si>
  <si>
    <t>MegaP_hMMP3_GluC_AS_QStar-XL_20080308.01728.01728.3</t>
  </si>
  <si>
    <t>H.n[89.01]YNK[156.13]RSTITSRE.L</t>
  </si>
  <si>
    <t>MegaP_hMMP3_GluC_AS_QStar-XL_20080308.01740.01740.2</t>
  </si>
  <si>
    <t>9/12</t>
  </si>
  <si>
    <t>E.n[29.04]NYIHRIG.R</t>
  </si>
  <si>
    <t>sp|P60842|IF4A1_HUMAN,sp|Q14240|IF4A2_HUMAN,sp|Q14240-2|IF4A2_HUMAN</t>
  </si>
  <si>
    <t>Eukaryotic initiation factor 4A-I OS=Homo sapiens GN=EIF4A1 PE=1 SV=1</t>
  </si>
  <si>
    <t>MegaP_hMMP3_GluC_AS_QStar-XL_20080308.01743.01743.3</t>
  </si>
  <si>
    <t>MegaP_hMMP3_GluC_AS_QStar-XL_20080308.01744.01744.2</t>
  </si>
  <si>
    <t>N.n[89.01]QIAPK[156.13]GQK[156.13]E.G</t>
  </si>
  <si>
    <t>sp|P13797|PLST_HUMAN</t>
  </si>
  <si>
    <t>Plastin-3 OS=Homo sapiens GN=PLS3 PE=1 SV=4</t>
  </si>
  <si>
    <t>MegaP_hMMP3_GluC_AS_QStar-XL_20080308.01764.01764.3</t>
  </si>
  <si>
    <t>18/56</t>
  </si>
  <si>
    <t>MegaP_hMMP3_GluC_AS_QStar-XL_20080308.01777.01777.2</t>
  </si>
  <si>
    <t>V.n[89.01]LQAHQAK[156.13]E.A</t>
  </si>
  <si>
    <t>sp|P11940|PABP1_HUMAN,sp|P11940-2|PABP1_HUMAN,sp|Q9H361|PABP3_HUMAN</t>
  </si>
  <si>
    <t>Polyadenylate-binding protein 1 OS=Homo sapiens GN=PABPC1 PE=1 SV=2</t>
  </si>
  <si>
    <t>MegaP_hMMP3_GluC_AS_QStar-XL_20080308.01785.01785.3</t>
  </si>
  <si>
    <t>20/80</t>
  </si>
  <si>
    <t>G.n[89.01]C[160.03]AK[156.13]C[160.03]AQGC[160.03]IC[160.03]K[156.13]GTSDK[156.13]C[160.03]SC[160.03]C[160.03]A.-</t>
  </si>
  <si>
    <t>sp|P80297|MT1X_HUMAN</t>
  </si>
  <si>
    <t>Metallothionein-1X OS=Homo sapiens GN=MT1X PE=1 SV=1</t>
  </si>
  <si>
    <t>MegaP_hMMP3_GluC_AS_QStar-XL_20080308.01787.01787.2</t>
  </si>
  <si>
    <t>S.n[89.01]LRASTSK[156.13]SE.S</t>
  </si>
  <si>
    <t>sp|P62753|RS6_HUMAN</t>
  </si>
  <si>
    <t>40S ribosomal protein S6 OS=Homo sapiens GN=RPS6 PE=1 SV=1</t>
  </si>
  <si>
    <t>MegaP_hMMP3_GluC_AS_QStar-XL_20080308.01793.01793.3</t>
  </si>
  <si>
    <t>G.n[89.01]C[160.03]AK[156.13]C[160.03]AQGC[160.03]IC[160.03]K[156.13]GASDK[156.13]C[160.03]SC[160.03]C[160.03]A.-</t>
  </si>
  <si>
    <t>sp|P02795|MT2_HUMAN</t>
  </si>
  <si>
    <t>Metallothionein-2 OS=Homo sapiens GN=MT2A PE=1 SV=1</t>
  </si>
  <si>
    <t>MegaP_hMMP3_GluC_AS_QStar-XL_20080308.01803.01803.3</t>
  </si>
  <si>
    <t>MegaP_hMMP3_GluC_AS_QStar-XL_20080308.01819.01819.3</t>
  </si>
  <si>
    <t>E.n[29.04]LK[156.13]ADK[156.13]DYHFK[156.13]VDNDENE.H</t>
  </si>
  <si>
    <t>sp|P06748|NPM_HUMAN</t>
  </si>
  <si>
    <t>MegaP_hMMP3_GluC_AS_QStar-XL_20080308.01823.01823.3</t>
  </si>
  <si>
    <t>MegaP_hMMP3_GluC_AS_QStar-XL_20080308.01836.01836.3</t>
  </si>
  <si>
    <t>P.n[89.01]SK[156.13]MPK[156.13]K[156.13]PK[156.13]NENPVDY.T</t>
  </si>
  <si>
    <t>MegaP_hMMP3_GluC_AS_QStar-XL_20080308.01879.01879.3</t>
  </si>
  <si>
    <t>8/52</t>
  </si>
  <si>
    <t>E.n[29.04]HAK[156.13]RK[156.13]TVTAMDVVY.A</t>
  </si>
  <si>
    <t>sp|P62805|H4_HUMAN</t>
  </si>
  <si>
    <t>Histone H4 OS=Homo sapiens GN=HIST1H4A PE=1 SV=2</t>
  </si>
  <si>
    <t>MegaP_hMMP3_GluC_AS_QStar-XL_20080308.01884.01884.3</t>
  </si>
  <si>
    <t>E.n[29.04]NVK[156.13]YLPGHK[156.13]LPE.N</t>
  </si>
  <si>
    <t>sp|Q8N335|GPD1L_HUMAN</t>
  </si>
  <si>
    <t>Glycerol-3-phosphate dehydrogenase 1-like protein OS=Homo sapiens GN=GPD1L PE=1 SV=1</t>
  </si>
  <si>
    <t>MegaP_hMMP3_GluC_AS_QStar-XL_20080308.01893.01893.2</t>
  </si>
  <si>
    <t>MegaP_hMMP3_GluC_AS_QStar-XL_20080308.01905.01905.2</t>
  </si>
  <si>
    <t>E.n[29.04]LLGDGHSY.S</t>
  </si>
  <si>
    <t>sp|P28070|PSB4_HUMAN</t>
  </si>
  <si>
    <t>Proteasome subunit beta type-4 OS=Homo sapiens GN=PSMB4 PE=1 SV=4</t>
  </si>
  <si>
    <t>MegaP_hMMP3_GluC_AS_QStar-XL_20080308.01911.01911.2</t>
  </si>
  <si>
    <t>MegaP_hMMP3_GluC_AS_QStar-XL_20080308.01912.01912.2</t>
  </si>
  <si>
    <t>E.n[29.04]HGIDPTGTY.H</t>
  </si>
  <si>
    <t>MegaP_hMMP3_GluC_AS_QStar-XL_20080308.01915.01915.2</t>
  </si>
  <si>
    <t>N.n[89.01]SQASK[156.13]ATPK[156.13]LD.S</t>
  </si>
  <si>
    <t>sp|Q13428|TCOF_HUMAN,sp|Q13428-2|TCOF_HUMAN,sp|Q13428-3|TCOF_HUMAN,sp|Q13428-4|TCOF_HUMAN,sp|Q13428-6|TCOF_HUMAN,sp|Q13428-7|TCOF_HUMAN,sp|Q13428-8|TCOF_HUMAN</t>
  </si>
  <si>
    <t>MegaP_hMMP3_GluC_AS_QStar-XL_20080308.01920.01920.3</t>
  </si>
  <si>
    <t>21/48</t>
  </si>
  <si>
    <t>F.n[29.04]SLEDPQTHSNRIY.R</t>
  </si>
  <si>
    <t>MegaP_hMMP3_GluC_AS_QStar-XL_20080308.01940.01940.2</t>
  </si>
  <si>
    <t>Y.n[29.04]HYVVSEPLGR.N</t>
  </si>
  <si>
    <t>sp|P24855|DNAS1_HUMAN</t>
  </si>
  <si>
    <t>Deoxyribonuclease-1 OS=Homo sapiens GN=DNASE1 PE=1 SV=1</t>
  </si>
  <si>
    <t>MegaP_hMMP3_GluC_AS_QStar-XL_20080308.01953.01953.3</t>
  </si>
  <si>
    <t>F.n[29.04]SLEDPQTHANRIY.R</t>
  </si>
  <si>
    <t>sp|P07900|HS90A_HUMAN</t>
  </si>
  <si>
    <t>Heat shock protein HSP 90-alpha OS=Homo sapiens GN=HSP90AA1 PE=1 SV=5</t>
  </si>
  <si>
    <t>MegaP_hMMP3_GluC_AS_QStar-XL_20080308.01965.01965.2</t>
  </si>
  <si>
    <t>M.n[89.01]C[160.03]K[156.13]AGFAGDDAPR.A</t>
  </si>
  <si>
    <t>sp|P63261|ACTG_HUMAN</t>
  </si>
  <si>
    <t>Actin, cytoplasmic 2 OS=Homo sapiens GN=ACTG1 PE=1 SV=1</t>
  </si>
  <si>
    <t>MegaP_hMMP3_GluC_AS_QStar-XL_20080308.01971.01971.3</t>
  </si>
  <si>
    <t>MegaP_hMMP3_GluC_AS_QStar-XL_20080308.01999.01999.2</t>
  </si>
  <si>
    <t>D.n[29.04]VIQTGVDNPGHPY.L</t>
  </si>
  <si>
    <t>MegaP_hMMP3_GluC_AS_QStar-XL_20080308.02039.02039.3</t>
  </si>
  <si>
    <t>V.n[89.01]IHAK[156.13]RVTIMPK[156.13].D</t>
  </si>
  <si>
    <t>sp|Q16695|H31T_HUMAN</t>
  </si>
  <si>
    <t>Histone H3.1t OS=Homo sapiens GN=HIST3H3 PE=1 SV=3</t>
  </si>
  <si>
    <t>MegaP_hMMP3_GluC_AS_QStar-XL_20080308.02055.02055.3</t>
  </si>
  <si>
    <t>V.n[89.01]IHAK[156.13]RVTIMPK[156.13]D.L</t>
  </si>
  <si>
    <t>sp|Q16695|H31T_HUMAN,sp|P68431|H31_HUMAN,sp|Q71DI3|H32_HUMAN,sp|P84243|H33_HUMAN,sp|Q6NXT2|H3C_HUMAN</t>
  </si>
  <si>
    <t>MegaP_hMMP3_GluC_AS_QStar-XL_20080308.02059.02059.3</t>
  </si>
  <si>
    <t>W.n[89.01]K[156.13]VTRK[156.13]DGNASGTTLLE.A</t>
  </si>
  <si>
    <t>MegaP_hMMP3_GluC_AS_QStar-XL_20080308.02067.02067.2</t>
  </si>
  <si>
    <t>MegaP_hMMP3_GluC_AS_QStar-XL_20080308.02087.02087.3</t>
  </si>
  <si>
    <t>14/72</t>
  </si>
  <si>
    <t>N.n[89.01]VTATDK[156.13]STGK[156.13]ANK[156.13]ITITND.K</t>
  </si>
  <si>
    <t>MegaP_hMMP3_GluC_AS_QStar-XL_20080308.02193.02193.2</t>
  </si>
  <si>
    <t>MegaP_hMMP3_GluC_AS_QStar-XL_20080308.02200.02200.3</t>
  </si>
  <si>
    <t>22/60</t>
  </si>
  <si>
    <t>MegaP_hMMP3_GluC_AS_QStar-XL_20080308.02205.02205.3</t>
  </si>
  <si>
    <t>24/64</t>
  </si>
  <si>
    <t>MegaP_hMMP3_GluC_AS_QStar-XL_20080308.02216.02216.2</t>
  </si>
  <si>
    <t>7/14</t>
  </si>
  <si>
    <t>V.n[29.04]PGQVQVYE.L</t>
  </si>
  <si>
    <t>sp|O95817|BAG3_HUMAN</t>
  </si>
  <si>
    <t>BAG family molecular chaperone regulator 3 OS=Homo sapiens GN=BAG3 PE=1 SV=3</t>
  </si>
  <si>
    <t>MegaP_hMMP3_GluC_AS_QStar-XL_20080308.02228.02228.3</t>
  </si>
  <si>
    <t>L.n[89.01]VK[156.13]FSPNEQNK[156.13]HIGE.V</t>
  </si>
  <si>
    <t>MegaP_hMMP3_GluC_AS_QStar-XL_20080308.02237.02237.2</t>
  </si>
  <si>
    <t>MegaP_hMMP3_GluC_AS_QStar-XL_20080308.02251.02251.3</t>
  </si>
  <si>
    <t>E.n[29.04]AIK[156.13]LDPHNHVLY.S</t>
  </si>
  <si>
    <t>MegaP_hMMP3_GluC_AS_QStar-XL_20080308.02260.02260.2</t>
  </si>
  <si>
    <t>16/32</t>
  </si>
  <si>
    <t>D.n[89.01]SSK[156.13]PVVAQGPGPAPGVG.S</t>
  </si>
  <si>
    <t>sp|P23246|SFPQ_HUMAN,sp|P23246-2|SFPQ_HUMAN</t>
  </si>
  <si>
    <t>Splicing factor, proline- and glutamine-rich OS=Homo sapiens GN=SFPQ PE=1 SV=2</t>
  </si>
  <si>
    <t>MegaP_hMMP3_GluC_AS_QStar-XL_20080308.02272.02272.2</t>
  </si>
  <si>
    <t>Q.n[89.01]LQK[156.13]QLAAK[156.13]E.A</t>
  </si>
  <si>
    <t>sp|P02545|LMNA_HUMAN,sp|P02545-2|LMNA_HUMAN,sp|P02545-3|LMNA_HUMAN,sp|P02545-4|LMNA_HUMAN</t>
  </si>
  <si>
    <t>Prelamin-A\C OS=Homo sapiens GN=LMNA PE=1 SV=1</t>
  </si>
  <si>
    <t>MegaP_hMMP3_GluC_AS_QStar-XL_20080308.02299.02299.3</t>
  </si>
  <si>
    <t>G.n[29.04]K[156.13]PPQYIAVHVVPDQ.L</t>
  </si>
  <si>
    <t>MegaP_hMMP3_GluC_AS_QStar-XL_20080308.02352.02352.3</t>
  </si>
  <si>
    <t>MegaP_hMMP3_GluC_AS_QStar-XL_20080308.02353.02353.3</t>
  </si>
  <si>
    <t>E.n[29.04]HGIDPTGTYHGDSDLQLE.R</t>
  </si>
  <si>
    <t>sp|P68371|TBB4B_HUMAN,sp|P04350|TBB4A_HUMAN</t>
  </si>
  <si>
    <t>MegaP_hMMP3_GluC_AS_QStar-XL_20080308.02359.02359.2</t>
  </si>
  <si>
    <t>E.n[29.04]TYVPK[156.13]AFDE.K</t>
  </si>
  <si>
    <t>MegaP_hMMP3_GluC_AS_QStar-XL_20080308.02367.02367.3</t>
  </si>
  <si>
    <t>19/64</t>
  </si>
  <si>
    <t>Q.n[89.01]VINDGDK[156.13]PK[156.13]VQVSYK[156.13]GE.T</t>
  </si>
  <si>
    <t>MegaP_hMMP3_GluC_AS_QStar-XL_20080308.02380.02380.3</t>
  </si>
  <si>
    <t>E.n[29.04]IRHWILPQDYDHAQAE.A</t>
  </si>
  <si>
    <t>sp|Q15293|RCN1_HUMAN</t>
  </si>
  <si>
    <t>Reticulocalbin-1 OS=Homo sapiens GN=RCN1 PE=1 SV=1</t>
  </si>
  <si>
    <t>MegaP_hMMP3_GluC_AS_QStar-XL_20080308.02403.02403.2</t>
  </si>
  <si>
    <t>R.n[89.01]YRPGTVALRE.L</t>
  </si>
  <si>
    <t>MegaP_hMMP3_GluC_AS_QStar-XL_20080308.02407.02407.2</t>
  </si>
  <si>
    <t>MegaP_hMMP3_GluC_AS_QStar-XL_20080308.02427.02427.3</t>
  </si>
  <si>
    <t>R.n[29.04]QIDNPDYK[156.13]GTWIHPE.L</t>
  </si>
  <si>
    <t>MegaP_hMMP3_GluC_AS_QStar-XL_20080308.02429.02429.3</t>
  </si>
  <si>
    <t>MegaP_hMMP3_GluC_AS_QStar-XL_20080308.02451.02451.2</t>
  </si>
  <si>
    <t>21/32</t>
  </si>
  <si>
    <t>F.n[89.01]NVINGGSHAGNK[156.13]LAMQE.F</t>
  </si>
  <si>
    <t>MegaP_hMMP3_GluC_AS_QStar-XL_20080308.02468.02468.2</t>
  </si>
  <si>
    <t>MegaP_hMMP3_GluC_AS_QStar-XL_20080308.02489.02489.3</t>
  </si>
  <si>
    <t>N.n[89.01]LRK[156.13]NGIIK[156.13]TDK[156.13]VFE.V</t>
  </si>
  <si>
    <t>MegaP_hMMP3_GluC_AS_QStar-XL_20080308.02504.02504.4</t>
  </si>
  <si>
    <t>26/156</t>
  </si>
  <si>
    <t>E.n[29.04]QITK[156.13]YSGEGDLAIVK[156.13]FSPNEQNK[156.13]HIGE.V</t>
  </si>
  <si>
    <t>MegaP_hMMP3_GluC_AS_QStar-XL_20080308.02505.02505.2</t>
  </si>
  <si>
    <t>E.n[29.04]LQLPPPPPPGHYG.A</t>
  </si>
  <si>
    <t>sp|Q13435|SF3B2_HUMAN</t>
  </si>
  <si>
    <t>Splicing factor 3B subunit 2 OS=Homo sapiens GN=SF3B2 PE=1 SV=2</t>
  </si>
  <si>
    <t>MegaP_hMMP3_GluC_AS_QStar-XL_20080308.02512.02512.4</t>
  </si>
  <si>
    <t>16/120</t>
  </si>
  <si>
    <t>D.n[29.04]IK[156.13]K[156.13]VVK[156.13]QASEGPLK[156.13]GILGYTE.H</t>
  </si>
  <si>
    <t>MegaP_hMMP3_GluC_AS_QStar-XL_20080308.02524.02524.3</t>
  </si>
  <si>
    <t>A.n[89.01]VLLPK[156.13]K[156.13]TSATVGPK[156.13]APSG.G</t>
  </si>
  <si>
    <t>sp|P16104|H2AX_HUMAN</t>
  </si>
  <si>
    <t>Histone H2AX OS=Homo sapiens GN=H2AFX PE=1 SV=2</t>
  </si>
  <si>
    <t>MegaP_hMMP3_GluC_AS_QStar-XL_20080308.02548.02548.2</t>
  </si>
  <si>
    <t>16/22</t>
  </si>
  <si>
    <t>Y.n[89.01]SC[160.03]VGVFQHGK[156.13]VE.L</t>
  </si>
  <si>
    <t>MegaP_hMMP3_GluC_AS_QStar-XL_20080308.02556.02556.3</t>
  </si>
  <si>
    <t>21/76</t>
  </si>
  <si>
    <t>E.n[29.04]HGIDPTGTYHGDSDLQLDRI.S</t>
  </si>
  <si>
    <t>MegaP_hMMP3_GluC_AS_QStar-XL_20080308.02561.02561.2</t>
  </si>
  <si>
    <t>M.n[29.04]LHVEMLTLVFL.V</t>
  </si>
  <si>
    <t>sp|P52803|EFNA5_HUMAN</t>
  </si>
  <si>
    <t>Ephrin-A5 OS=Homo sapiens GN=EFNA5 PE=1 SV=1</t>
  </si>
  <si>
    <t>MegaP_hMMP3_GluC_AS_QStar-XL_20080308.02579.02579.3</t>
  </si>
  <si>
    <t>E.n[29.04]LNLDQFHDK[156.13]TPY.T</t>
  </si>
  <si>
    <t>sp|P27824|CALX_HUMAN</t>
  </si>
  <si>
    <t>MegaP_hMMP3_GluC_AS_QStar-XL_20080308.02615.02615.3</t>
  </si>
  <si>
    <t>MegaP_hMMP3_GluC_AS_QStar-XL_20080308.02635.02635.3</t>
  </si>
  <si>
    <t>MegaP_hMMP3_GluC_AS_QStar-XL_20080308.02644.02644.4</t>
  </si>
  <si>
    <t>19/96</t>
  </si>
  <si>
    <t>G.n[89.01]VSLK[156.13]TLHPDLGTDK[156.13]DK[156.13]E.Q</t>
  </si>
  <si>
    <t>sp|P00338|LDHA_HUMAN</t>
  </si>
  <si>
    <t>L-lactate dehydrogenase A chain OS=Homo sapiens GN=LDHA PE=1 SV=2</t>
  </si>
  <si>
    <t>MegaP_hMMP3_GluC_AS_QStar-XL_20080308.02648.02648.2</t>
  </si>
  <si>
    <t>MegaP_hMMP3_GluC_AS_QStar-XL_20080308.02655.02655.3</t>
  </si>
  <si>
    <t>MegaP_hMMP3_GluC_AS_QStar-XL_20080308.02659.02659.2</t>
  </si>
  <si>
    <t>MegaP_hMMP3_GluC_AS_QStar-XL_20080308.02660.02660.2</t>
  </si>
  <si>
    <t>MegaP_hMMP3_GluC_AS_QStar-XL_20080308.02664.02664.3</t>
  </si>
  <si>
    <t>17/52</t>
  </si>
  <si>
    <t>E.n[29.04]TK[156.13]DWILPSDYDHAE.A</t>
  </si>
  <si>
    <t>sp|O43852|CALU_HUMAN</t>
  </si>
  <si>
    <t>Calumenin OS=Homo sapiens GN=CALU PE=1 SV=2</t>
  </si>
  <si>
    <t>MegaP_hMMP3_GluC_AS_QStar-XL_20080308.02667.02667.2</t>
  </si>
  <si>
    <t>MegaP_hMMP3_GluC_AS_QStar-XL_20080308.02679.02679.2</t>
  </si>
  <si>
    <t>MegaP_hMMP3_GluC_AS_QStar-XL_20080308.02683.02683.2</t>
  </si>
  <si>
    <t>S.n[89.01]LRTVSLGAGAK[156.13]DE.L</t>
  </si>
  <si>
    <t>MegaP_hMMP3_GluC_AS_QStar-XL_20080308.02687.02687.2</t>
  </si>
  <si>
    <t>MegaP_hMMP3_GluC_AS_QStar-XL_20080308.02688.02688.2</t>
  </si>
  <si>
    <t>MegaP_hMMP3_GluC_AS_QStar-XL_20080308.02700.02700.2</t>
  </si>
  <si>
    <t>S.n[89.01]VVC[160.03]K[156.13]PQEPGHFY.S</t>
  </si>
  <si>
    <t>sp|Q4VCS5|AMOT_HUMAN</t>
  </si>
  <si>
    <t>Angiomotin OS=Homo sapiens GN=AMOT PE=1 SV=1</t>
  </si>
  <si>
    <t>MegaP_hMMP3_GluC_AS_QStar-XL_20080308.02715.02715.4</t>
  </si>
  <si>
    <t>MegaP_hMMP3_GluC_AS_QStar-XL_20080308.02716.02716.2</t>
  </si>
  <si>
    <t>Q.n[89.01]VINDGDK[156.13]PK[156.13]VQVSY.K</t>
  </si>
  <si>
    <t>MegaP_hMMP3_GluC_AS_QStar-XL_20080308.02728.02728.3</t>
  </si>
  <si>
    <t>MegaP_hMMP3_GluC_AS_QStar-XL_20080308.02753.02753.3</t>
  </si>
  <si>
    <t>D.n[89.01]WSK[156.13]VNK[156.13]PPYPK[156.13]LG.A</t>
  </si>
  <si>
    <t>MegaP_hMMP3_GluC_AS_QStar-XL_20080308.02788.02788.4</t>
  </si>
  <si>
    <t>MegaP_hMMP3_GluC_AS_QStar-XL_20080308.02789.02789.2</t>
  </si>
  <si>
    <t>C.n[89.01]VIMVK[156.13]PHEE.Y</t>
  </si>
  <si>
    <t>sp|Q9NX24|NHP2_HUMAN</t>
  </si>
  <si>
    <t>H\ACA ribonucleoprotein complex subunit 2 OS=Homo sapiens GN=NHP2 PE=1 SV=1</t>
  </si>
  <si>
    <t>MegaP_hMMP3_GluC_AS_QStar-XL_20080308.02827.02827.2</t>
  </si>
  <si>
    <t>MegaP_hMMP3_GluC_AS_QStar-XL_20080308.02840.02840.3</t>
  </si>
  <si>
    <t>K.n[89.01]RVTIMPK[156.13]DIQLAR.R</t>
  </si>
  <si>
    <t>MegaP_hMMP3_GluC_AS_QStar-XL_20080308.02848.02848.2</t>
  </si>
  <si>
    <t>MegaP_hMMP3_GluC_AS_QStar-XL_20080308.02849.02849.3</t>
  </si>
  <si>
    <t>V.n[89.01]IHAK[156.13]RVTIMPK[156.13]DIQL.A</t>
  </si>
  <si>
    <t>MegaP_hMMP3_GluC_AS_QStar-XL_20080308.02852.02852.4</t>
  </si>
  <si>
    <t>25/156</t>
  </si>
  <si>
    <t>P.n[89.01]QVIK[156.13]SK[156.13]GGVVGIK[156.13]VDK[156.13]GVVPLAGTNGE.T</t>
  </si>
  <si>
    <t>MegaP_hMMP3_GluC_AS_QStar-XL_20080308.02853.02853.3</t>
  </si>
  <si>
    <t>12/36</t>
  </si>
  <si>
    <t>D.n[89.01]LK[156.13]IVPLGRK[156.13]E.A</t>
  </si>
  <si>
    <t>sp|Q8N1G4|LRC47_HUMAN</t>
  </si>
  <si>
    <t>Leucine-rich repeat-containing protein 47 OS=Homo sapiens GN=LRRC47 PE=1 SV=1</t>
  </si>
  <si>
    <t>MegaP_hMMP3_GluC_AS_QStar-XL_20080308.02859.02859.2</t>
  </si>
  <si>
    <t>N.n[89.01]FRNPLAK[156.13].-</t>
  </si>
  <si>
    <t>MegaP_hMMP3_GluC_AS_QStar-XL_20080308.02865.02865.2</t>
  </si>
  <si>
    <t>E.n[29.04]TLGFLNHY.Q</t>
  </si>
  <si>
    <t>MegaP_hMMP3_GluC_AS_QStar-XL_20080308.02877.02877.2</t>
  </si>
  <si>
    <t>MegaP_hMMP3_GluC_AS_QStar-XL_20080308.02881.02881.2</t>
  </si>
  <si>
    <t>A.n[89.01]IRGGGAFVQNSQPVA.V</t>
  </si>
  <si>
    <t>sp|P33176|KINH_HUMAN</t>
  </si>
  <si>
    <t>Kinesin-1 heavy chain OS=Homo sapiens GN=KIF5B PE=1 SV=1</t>
  </si>
  <si>
    <t>MegaP_hMMP3_GluC_AS_QStar-XL_20080308.02916.02916.2</t>
  </si>
  <si>
    <t>13/14</t>
  </si>
  <si>
    <t>A.n[89.01]VVLMK[156.13]K[156.13]SE.A</t>
  </si>
  <si>
    <t>sp|Q9BWD1|THIC_HUMAN</t>
  </si>
  <si>
    <t>Acetyl-CoA acetyltransferase, cytosolic OS=Homo sapiens GN=ACAT2 PE=1 SV=2</t>
  </si>
  <si>
    <t>MegaP_hMMP3_GluC_AS_QStar-XL_20080308.02935.02935.2</t>
  </si>
  <si>
    <t>MegaP_hMMP3_GluC_AS_QStar-XL_20080308.02952.02952.2</t>
  </si>
  <si>
    <t>MegaP_hMMP3_GluC_AS_QStar-XL_20080308.02972.02972.3</t>
  </si>
  <si>
    <t>E.n[29.04]DFHGLLPK[156.13]GYPHLC[160.03].S</t>
  </si>
  <si>
    <t>MegaP_hMMP3_GluC_AS_QStar-XL_20080308.02975.02975.2</t>
  </si>
  <si>
    <t>E.n[29.04]GYALPHAIL.R</t>
  </si>
  <si>
    <t>MegaP_hMMP3_GluC_AS_QStar-XL_20080308.02988.02988.4</t>
  </si>
  <si>
    <t>23/156</t>
  </si>
  <si>
    <t>E.n[89.01]QITK[156.13]YSGEGDLAIVK[156.13]FSPNEQNK[156.13]HIGE.V</t>
  </si>
  <si>
    <t>MegaP_hMMP3_GluC_AS_QStar-XL_20080308.03008.03008.3</t>
  </si>
  <si>
    <t>MegaP_hMMP3_GluC_AS_QStar-XL_20080308.03023.03023.2</t>
  </si>
  <si>
    <t>N.n[89.01]LNFNK[156.13]SAPE.L</t>
  </si>
  <si>
    <t>MegaP_hMMP3_GluC_AS_QStar-XL_20080308.03027.03027.3</t>
  </si>
  <si>
    <t>MegaP_hMMP3_GluC_AS_QStar-XL_20080308.03035.03035.2</t>
  </si>
  <si>
    <t>K.n[89.01]ILGPQGNTIK[156.13]RLQE.E</t>
  </si>
  <si>
    <t>sp|Q07666|KHDR1_HUMAN,sp|Q07666-2|KHDR1_HUMAN</t>
  </si>
  <si>
    <t>KH domain-containing, RNA-binding, signal transduction-associated protein 1 OS=Homo sapiens GN=KHDRBS1 PE=1 SV=1</t>
  </si>
  <si>
    <t>MegaP_hMMP3_GluC_AS_QStar-XL_20080308.03047.03047.3</t>
  </si>
  <si>
    <t>MegaP_hMMP3_GluC_AS_QStar-XL_20080308.03051.03051.3</t>
  </si>
  <si>
    <t>N.n[89.01]ARGLTSVINQK[156.13]LK[156.13]DDE.V</t>
  </si>
  <si>
    <t>MegaP_hMMP3_GluC_AS_QStar-XL_20080308.03063.03063.2</t>
  </si>
  <si>
    <t>N.n[89.01]LIK[156.13]QNC[160.03]DQFE.K</t>
  </si>
  <si>
    <t>MegaP_hMMP3_GluC_AS_QStar-XL_20080308.03067.03067.3</t>
  </si>
  <si>
    <t>MegaP_hMMP3_GluC_AS_QStar-XL_20080308.03072.03072.4</t>
  </si>
  <si>
    <t>27/150</t>
  </si>
  <si>
    <t>Q.n[89.01]ITK[156.13]YSGEGDLAIVK[156.13]FSPNEQNK[156.13]HIGE.V</t>
  </si>
  <si>
    <t>MegaP_hMMP3_GluC_AS_QStar-XL_20080308.03081.03081.2</t>
  </si>
  <si>
    <t>MegaP_hMMP3_GluC_AS_QStar-XL_20080308.03083.03083.2</t>
  </si>
  <si>
    <t>MegaP_hMMP3_GluC_AS_QStar-XL_20080308.03085.03085.3</t>
  </si>
  <si>
    <t>21/68</t>
  </si>
  <si>
    <t>F.n[29.04]AGVDVTK[156.13]EPIPVLPTVHY.N</t>
  </si>
  <si>
    <t>sp|P31040|DHSA_HUMAN</t>
  </si>
  <si>
    <t>Succinate dehydrogenase [ubiquinone] flavoprotein subunit, mitochondrial OS=Homo sapiens GN=SDHA PE=1 SV=2</t>
  </si>
  <si>
    <t>MegaP_hMMP3_GluC_AS_QStar-XL_20080308.03088.03088.3</t>
  </si>
  <si>
    <t>MegaP_hMMP3_GluC_AS_QStar-XL_20080308.03105.03105.2</t>
  </si>
  <si>
    <t>MegaP_hMMP3_GluC_AS_QStar-XL_20080308.03113.03113.3</t>
  </si>
  <si>
    <t>17/80</t>
  </si>
  <si>
    <t>E.n[29.04]LNK[156.13]LLGRVTIAQGGVLPNIQA.V</t>
  </si>
  <si>
    <t>sp|P04908|H2A1B_HUMAN</t>
  </si>
  <si>
    <t>Histone H2A type 1-B\E OS=Homo sapiens GN=HIST1H2AB PE=1 SV=2</t>
  </si>
  <si>
    <t>MegaP_hMMP3_GluC_AS_QStar-XL_20080308.03115.03115.2</t>
  </si>
  <si>
    <t>sp|P08107|HSP71_HUMAN,sp|P11021|GRP78_HUMAN,sp|P54652|HSP72_HUMAN,sp|P11142|HSP7C_HUMAN,sp|P11142-2|HSP7C_HUMAN</t>
  </si>
  <si>
    <t>MegaP_hMMP3_GluC_AS_QStar-XL_20080308.03136.03136.2</t>
  </si>
  <si>
    <t>MegaP_hMMP3_GluC_AS_QStar-XL_20080308.03139.03139.2</t>
  </si>
  <si>
    <t>K.n[89.01]ILGPQGNTIK[156.13]RLQEE.T</t>
  </si>
  <si>
    <t>MegaP_hMMP3_GluC_AS_QStar-XL_20080308.03147.03147.2</t>
  </si>
  <si>
    <t>D.n[89.01]FK[156.13]TDLRFQ.S</t>
  </si>
  <si>
    <t>sp|Q16695|H31T_HUMAN,sp|P68431|H31_HUMAN,sp|Q71DI3|H32_HUMAN,sp|P84243|H33_HUMAN</t>
  </si>
  <si>
    <t>MegaP_hMMP3_GluC_AS_QStar-XL_20080308.03156.03156.2</t>
  </si>
  <si>
    <t>MegaP_hMMP3_GluC_AS_QStar-XL_20080308.03157.03157.2</t>
  </si>
  <si>
    <t>MegaP_hMMP3_GluC_AS_QStar-XL_20080308.03161.03161.3</t>
  </si>
  <si>
    <t>F.n[89.01]IASGVVVGK[156.13]DTLLTNK[156.13]HVVD.A</t>
  </si>
  <si>
    <t>MegaP_hMMP3_GluC_AS_QStar-XL_20080308.03167.03167.2</t>
  </si>
  <si>
    <t>MegaP_hMMP3_GluC_AS_QStar-XL_20080308.03172.03172.2</t>
  </si>
  <si>
    <t>A.n[89.01]ITATQK[156.13]TVDGPSGK[156.13]LW.R</t>
  </si>
  <si>
    <t>MegaP_hMMP3_GluC_AS_QStar-XL_20080308.03181.03181.2</t>
  </si>
  <si>
    <t>MegaP_hMMP3_GluC_AS_QStar-XL_20080308.03191.03191.2</t>
  </si>
  <si>
    <t>MegaP_hMMP3_GluC_AS_QStar-XL_20080308.03196.03196.2</t>
  </si>
  <si>
    <t>MegaP_hMMP3_GluC_AS_QStar-XL_20080308.03197.03197.2</t>
  </si>
  <si>
    <t>Q.n[89.01]QRLIFAGK[156.13]QLE.D</t>
  </si>
  <si>
    <t>MegaP_hMMP3_GluC_AS_QStar-XL_20080308.03223.03223.2</t>
  </si>
  <si>
    <t>MegaP_hMMP3_GluC_AS_QStar-XL_20080308.03235.03235.2</t>
  </si>
  <si>
    <t>A.n[89.01]LVIDNGSGMC[160.03]K[156.13].A</t>
  </si>
  <si>
    <t>MegaP_hMMP3_GluC_AS_QStar-XL_20080308.03239.03239.4</t>
  </si>
  <si>
    <t>14/126</t>
  </si>
  <si>
    <t>D.n[89.01]C[160.03]ILPPTRPTDK[156.13]PLRLPLQDVYK[156.13].L</t>
  </si>
  <si>
    <t>MegaP_hMMP3_GluC_AS_QStar-XL_20080308.03260.03260.4</t>
  </si>
  <si>
    <t>13/126</t>
  </si>
  <si>
    <t>MegaP_hMMP3_GluC_AS_QStar-XL_20080308.03267.03267.2</t>
  </si>
  <si>
    <t>sp|P04908|H2A1B_HUMAN,sp|Q96QV6|H2A1A_HUMAN,sp|Q93077|H2A1C_HUMAN,sp|P20671|H2A1D_HUMAN,sp|Q96KK5|H2A1H_HUMAN,sp|Q99878|H2A1J_HUMAN,sp|P0C0S8|H2A1_HUMAN,sp|Q6FI13|H2A2A_HUMAN,sp|Q8IUE6|H2A2B_HUMAN,sp|Q16777|H2A2C_HUMAN,sp|Q7L7L0|H2A3_HUMAN,sp|Q9BTM1|H2AJ_HUMAN</t>
  </si>
  <si>
    <t>MegaP_hMMP3_GluC_AS_QStar-XL_20080308.03272.03272.3</t>
  </si>
  <si>
    <t>MegaP_hMMP3_GluC_AS_QStar-XL_20080308.03273.03273.3</t>
  </si>
  <si>
    <t>17/60</t>
  </si>
  <si>
    <t>Y.n[29.04]STVFDK[156.13]LK[156.13]HLVDEPQN.L</t>
  </si>
  <si>
    <t>MegaP_hMMP3_GluC_AS_QStar-XL_20080308.03275.03275.3</t>
  </si>
  <si>
    <t>D.n[89.01]C[160.03]ILPPTRPTDK[156.13]PLRLPLQD.V</t>
  </si>
  <si>
    <t>MegaP_hMMP3_GluC_AS_QStar-XL_20080308.03287.03287.2</t>
  </si>
  <si>
    <t>MegaP_hMMP3_GluC_AS_QStar-XL_20080308.03291.03291.3</t>
  </si>
  <si>
    <t>MegaP_hMMP3_GluC_AS_QStar-XL_20080308.03295.03295.3</t>
  </si>
  <si>
    <t>17/72</t>
  </si>
  <si>
    <t>MegaP_hMMP3_GluC_AS_QStar-XL_20080308.03307.03307.2</t>
  </si>
  <si>
    <t>MegaP_hMMP3_GluC_AS_QStar-XL_20080308.03325.03325.2</t>
  </si>
  <si>
    <t>L.n[29.04]PLAAALAALVLV.L</t>
  </si>
  <si>
    <t>sp|A6NGB7|TM221_HUMAN</t>
  </si>
  <si>
    <t>Transmembrane protein 221 OS=Homo sapiens GN=TMEM221 PE=2 SV=3</t>
  </si>
  <si>
    <t>MegaP_hMMP3_GluC_AS_QStar-XL_20080308.03328.03328.2</t>
  </si>
  <si>
    <t>S.n[89.01]IK[156.13]IDEPLEGSE.D</t>
  </si>
  <si>
    <t>MegaP_hMMP3_GluC_AS_QStar-XL_20080308.03333.03333.2</t>
  </si>
  <si>
    <t>Q.n[89.01]LSQLQK[156.13]QLAAK[156.13]E.A</t>
  </si>
  <si>
    <t>MegaP_hMMP3_GluC_AS_QStar-XL_20080308.03351.03351.2</t>
  </si>
  <si>
    <t>N.n[89.01]LFNK[156.13]YPALTK[156.13]PE.N</t>
  </si>
  <si>
    <t>MegaP_hMMP3_GluC_AS_QStar-XL_20080308.03356.03356.2</t>
  </si>
  <si>
    <t>A.n[89.01]ILMGDK[156.13]SENVQD.L</t>
  </si>
  <si>
    <t>MegaP_hMMP3_GluC_AS_QStar-XL_20080308.03371.03371.3</t>
  </si>
  <si>
    <t>15/112</t>
  </si>
  <si>
    <t>M.n[89.01]C[160.03]K[156.13]AGFAGDDAPRAVFPSIVGRPRQQGM[147.04]M[147.04]G.G</t>
  </si>
  <si>
    <t>MegaP_hMMP3_GluC_AS_QStar-XL_20080308.03375.03375.2</t>
  </si>
  <si>
    <t>MegaP_hMMP3_GluC_AS_QStar-XL_20080308.03376.03376.2</t>
  </si>
  <si>
    <t>19/26</t>
  </si>
  <si>
    <t>D.n[89.01]LINNLGTIAK[156.13]SGTK[156.13].A</t>
  </si>
  <si>
    <t>MegaP_hMMP3_GluC_AS_QStar-XL_20080308.03379.03379.3</t>
  </si>
  <si>
    <t>D.n[89.01]VK[156.13]WQSLK[156.13]DLVK[156.13]E.K</t>
  </si>
  <si>
    <t>sp|P52272|HNRPM_HUMAN,sp|P52272-2|HNRPM_HUMAN</t>
  </si>
  <si>
    <t>Heterogeneous nuclear ribonucleoprotein M OS=Homo sapiens GN=HNRNPM PE=1 SV=3</t>
  </si>
  <si>
    <t>MegaP_hMMP3_GluC_AS_QStar-XL_20080308.03381.03381.2</t>
  </si>
  <si>
    <t>N.n[89.01]LQLQPGNAK[156.13]L.-</t>
  </si>
  <si>
    <t>sp|P22307|NLTP_HUMAN,sp|P22307-2|NLTP_HUMAN,sp|P22307-4|NLTP_HUMAN,sp|P22307-6|NLTP_HUMAN,sp|P22307-7|NLTP_HUMAN,sp|P22307-8|NLTP_HUMAN</t>
  </si>
  <si>
    <t>Non-specific lipid-transfer protein OS=Homo sapiens GN=SCP2 PE=1 SV=2</t>
  </si>
  <si>
    <t>MegaP_hMMP3_GluC_AS_QStar-XL_20080308.03383.03383.2</t>
  </si>
  <si>
    <t>MegaP_hMMP3_GluC_AS_QStar-XL_20080308.03385.03385.2</t>
  </si>
  <si>
    <t>L.n[29.04]HLGYLPNQLF.R</t>
  </si>
  <si>
    <t>sp|Q92499|DDX1_HUMAN</t>
  </si>
  <si>
    <t>ATP-dependent RNA helicase DDX1 OS=Homo sapiens GN=DDX1 PE=1 SV=2</t>
  </si>
  <si>
    <t>MegaP_hMMP3_GluC_AS_QStar-XL_20080308.03393.03393.2</t>
  </si>
  <si>
    <t>MegaP_hMMP3_GluC_AS_QStar-XL_20080308.03401.03401.2</t>
  </si>
  <si>
    <t>MegaP_hMMP3_GluC_AS_QStar-XL_20080308.03418.03418.2</t>
  </si>
  <si>
    <t>MegaP_hMMP3_GluC_AS_QStar-XL_20080308.03422.03422.2</t>
  </si>
  <si>
    <t>Q.n[89.01]C[160.03]AILSPAFK[156.13]VRE.F</t>
  </si>
  <si>
    <t>sp|Q92598|HS105_HUMAN,sp|Q92598-2|HS105_HUMAN,sp|Q92598-3|HS105_HUMAN,sp|O95757|HS74L_HUMAN,sp|P34932|HSP74_HUMAN</t>
  </si>
  <si>
    <t>Heat shock protein 105 kDa OS=Homo sapiens GN=HSPH1 PE=1 SV=1</t>
  </si>
  <si>
    <t>MegaP_hMMP3_GluC_AS_QStar-XL_20080308.03423.03423.2</t>
  </si>
  <si>
    <t>D.n[89.01]YVK[156.13]ALPGQLK[156.13]PFE.T</t>
  </si>
  <si>
    <t>MegaP_hMMP3_GluC_AS_QStar-XL_20080308.03426.03426.2</t>
  </si>
  <si>
    <t>S.n[89.01]RLAC[160.03]GVIGIAQ.-</t>
  </si>
  <si>
    <t>MegaP_hMMP3_GluC_AS_QStar-XL_20080308.03435.03435.3</t>
  </si>
  <si>
    <t>19/56</t>
  </si>
  <si>
    <t>N.n[89.01]LAVK[156.13]C[160.03]LGPLVSK[156.13]VK[156.13]E.Y</t>
  </si>
  <si>
    <t>sp|Q86VP6|CAND1_HUMAN,sp|Q86VP6-2|CAND1_HUMAN</t>
  </si>
  <si>
    <t>Cullin-associated NEDD8-dissociated protein 1 OS=Homo sapiens GN=CAND1 PE=1 SV=2</t>
  </si>
  <si>
    <t>MegaP_hMMP3_GluC_AS_QStar-XL_20080308.03442.03442.2</t>
  </si>
  <si>
    <t>A.n[89.01]LK[156.13]K[156.13]ALAAAGYDVE.K</t>
  </si>
  <si>
    <t>sp|Q02539|H11_HUMAN,sp|P16403|H12_HUMAN,sp|P16402|H13_HUMAN,sp|P10412|H14_HUMAN,sp|P22492|H1T_HUMAN</t>
  </si>
  <si>
    <t>MegaP_hMMP3_GluC_AS_QStar-XL_20080308.03447.03447.2</t>
  </si>
  <si>
    <t>N.n[89.01]LGTIAK[156.13]SGTK[156.13]AFME.A</t>
  </si>
  <si>
    <t>MegaP_hMMP3_GluC_AS_QStar-XL_20080308.03450.03450.2</t>
  </si>
  <si>
    <t>E.n[89.01]ARAAVHGLSMQ.Q</t>
  </si>
  <si>
    <t>sp|Q07864|DPOE1_HUMAN</t>
  </si>
  <si>
    <t>DNA polymerase epsilon catalytic subunit A OS=Homo sapiens GN=POLE PE=1 SV=5</t>
  </si>
  <si>
    <t>MegaP_hMMP3_GluC_AS_QStar-XL_20080308.03459.03459.2</t>
  </si>
  <si>
    <t>MegaP_hMMP3_GluC_AS_QStar-XL_20080308.03485.03485.2</t>
  </si>
  <si>
    <t>S.n[89.01]ILGK[156.13]SLADE.L</t>
  </si>
  <si>
    <t>MegaP_hMMP3_GluC_AS_QStar-XL_20080308.03488.03488.2</t>
  </si>
  <si>
    <t>sp|P40925|MDHC_HUMAN</t>
  </si>
  <si>
    <t>MegaP_hMMP3_GluC_AS_QStar-XL_20080308.03493.03493.2</t>
  </si>
  <si>
    <t>H.n[89.01]LQLAIRNDEE.L</t>
  </si>
  <si>
    <t>MegaP_hMMP3_GluC_AS_QStar-XL_20080308.03495.03495.2</t>
  </si>
  <si>
    <t>F.n[89.01]VVK[156.13]AYLPVNE.S</t>
  </si>
  <si>
    <t>MegaP_hMMP3_GluC_AS_QStar-XL_20080308.03496.03496.2</t>
  </si>
  <si>
    <t>MegaP_hMMP3_GluC_AS_QStar-XL_20080308.03507.03507.2</t>
  </si>
  <si>
    <t>MegaP_hMMP3_GluC_AS_QStar-XL_20080308.03513.03513.2</t>
  </si>
  <si>
    <t>MegaP_hMMP3_GluC_AS_QStar-XL_20080308.03535.03535.2</t>
  </si>
  <si>
    <t>8/16</t>
  </si>
  <si>
    <t>D.n[89.01]FVTADK[156.13]FDE.N</t>
  </si>
  <si>
    <t>MegaP_hMMP3_GluC_AS_QStar-XL_20080308.03537.03537.2</t>
  </si>
  <si>
    <t>MegaP_hMMP3_GluC_AS_QStar-XL_20080308.03541.03541.3</t>
  </si>
  <si>
    <t>MegaP_hMMP3_GluC_AS_QStar-XL_20080308.03549.03549.2</t>
  </si>
  <si>
    <t>MegaP_hMMP3_GluC_AS_QStar-XL_20080308.03553.03553.2</t>
  </si>
  <si>
    <t>S.n[89.01]VIAPMPPIIHAPR.L</t>
  </si>
  <si>
    <t>sp|Q15459|SF3A1_HUMAN</t>
  </si>
  <si>
    <t>Splicing factor 3A subunit 1 OS=Homo sapiens GN=SF3A1 PE=1 SV=1</t>
  </si>
  <si>
    <t>MegaP_hMMP3_GluC_AS_QStar-XL_20080308.03561.03561.3</t>
  </si>
  <si>
    <t>MegaP_hMMP3_GluC_AS_QStar-XL_20080308.03569.03569.2</t>
  </si>
  <si>
    <t>E.n[29.04]VTFDIDANGILN.V</t>
  </si>
  <si>
    <t>sp|P08107|HSP71_HUMAN,sp|P34931|HS71L_HUMAN,sp|P08107-2|HSP71_HUMAN,sp|P54652|HSP72_HUMAN,sp|P11142|HSP7C_HUMAN</t>
  </si>
  <si>
    <t>MegaP_hMMP3_GluC_AS_QStar-XL_20080308.03574.03574.2</t>
  </si>
  <si>
    <t>S.n[89.01]LSK[156.13]LGDVYVND.A</t>
  </si>
  <si>
    <t>sp|P00558|PGK1_HUMAN,sp|P07205|PGK2_HUMAN</t>
  </si>
  <si>
    <t>MegaP_hMMP3_GluC_AS_QStar-XL_20080308.03583.03583.2</t>
  </si>
  <si>
    <t>MegaP_hMMP3_GluC_AS_QStar-XL_20080308.03587.03587.2</t>
  </si>
  <si>
    <t>D.n[89.01]LGTK[156.13]LQDPRIMTTL.S</t>
  </si>
  <si>
    <t>MegaP_hMMP3_GluC_AS_QStar-XL_20080308.03588.03588.3</t>
  </si>
  <si>
    <t>26/72</t>
  </si>
  <si>
    <t>K.n[29.04]GHYTEGAELVDSVLDVVRK[156.13].E</t>
  </si>
  <si>
    <t>MegaP_hMMP3_GluC_AS_QStar-XL_20080308.03589.03589.2</t>
  </si>
  <si>
    <t>Q.n[89.01]YIAVHVVPD.Q</t>
  </si>
  <si>
    <t>MegaP_hMMP3_GluC_AS_QStar-XL_20080308.03591.03591.3</t>
  </si>
  <si>
    <t>D.n[89.01]C[160.03]ILPPTRPTDK[156.13]PLRLPLQDVY.K</t>
  </si>
  <si>
    <t>MegaP_hMMP3_GluC_AS_QStar-XL_20080308.03593.03593.2</t>
  </si>
  <si>
    <t>E.n[89.01]QITK[156.13]YSGEGDLAIVK[156.13]F.S</t>
  </si>
  <si>
    <t>MegaP_hMMP3_GluC_AS_QStar-XL_20080308.03602.03602.2</t>
  </si>
  <si>
    <t>MegaP_hMMP3_GluC_AS_QStar-XL_20080308.03604.03604.3</t>
  </si>
  <si>
    <t>13/72</t>
  </si>
  <si>
    <t>E.n[29.04]DTHHLVNYIPQGSIDSLFE.G</t>
  </si>
  <si>
    <t>sp|Q01581|HMCS1_HUMAN</t>
  </si>
  <si>
    <t>Hydroxymethylglutaryl-CoA synthase, cytoplasmic OS=Homo sapiens GN=HMGCS1 PE=1 SV=2</t>
  </si>
  <si>
    <t>MegaP_hMMP3_GluC_AS_QStar-XL_20080308.03608.03608.2</t>
  </si>
  <si>
    <t>H.n[89.01]LQLAIRGDEE.L</t>
  </si>
  <si>
    <t>sp|Q71UI9|H2AV_HUMAN,sp|Q71UI9-2|H2AV_HUMAN,sp|Q71UI9-3|H2AV_HUMAN,sp|Q71UI9-4|H2AV_HUMAN,sp|P0C0S5|H2AZ_HUMAN</t>
  </si>
  <si>
    <t>Histone H2A.V OS=Homo sapiens GN=H2AFV PE=1 SV=3</t>
  </si>
  <si>
    <t>MegaP_hMMP3_GluC_AS_QStar-XL_20080308.03619.03619.3</t>
  </si>
  <si>
    <t>E.n[29.04]FQTNLVPYPRIHFPL.A</t>
  </si>
  <si>
    <t>sp|Q71U36|TBA1A_HUMAN,sp|Q71U36-2|TBA1A_HUMAN,sp|P68363|TBA1B_HUMAN,sp|Q9BQE3|TBA1C_HUMAN,sp|Q13748|TBA3C_HUMAN,sp|Q13748-2|TBA3C_HUMAN,sp|Q6PEY2|TBA3E_HUMAN,sp|P68366|TBA4A_HUMAN,sp|Q9NY65|TBA8_HUMAN,sp|Q9NY65-2|TBA8_HUMAN,CON_ENSBTAP00000016242|ENSBTAP00000016242</t>
  </si>
  <si>
    <t>MegaP_hMMP3_GluC_AS_QStar-XL_20080308.03622.03622.2</t>
  </si>
  <si>
    <t>MegaP_hMMP3_GluC_AS_QStar-XL_20080308.03625.03625.3</t>
  </si>
  <si>
    <t>T.n[89.01]FIASGVVVGK[156.13]DTLLTNK[156.13]HVVD.A</t>
  </si>
  <si>
    <t>MegaP_hMMP3_GluC_AS_QStar-XL_20080308.03632.03632.3</t>
  </si>
  <si>
    <t>G.n[89.01]LRK[156.13]VIDDTNITRLQLE.T</t>
  </si>
  <si>
    <t>sp|P05783|K1C18_HUMAN</t>
  </si>
  <si>
    <t>Keratin, type I cytoskeletal 18 OS=Homo sapiens GN=KRT18 PE=1 SV=2</t>
  </si>
  <si>
    <t>MegaP_hMMP3_GluC_AS_QStar-XL_20080308.03640.03640.2</t>
  </si>
  <si>
    <t>N.n[89.01]LK[156.13]VAGQDGSVVQF.K</t>
  </si>
  <si>
    <t>sp|P61956|SUMO2_HUMAN</t>
  </si>
  <si>
    <t>Small ubiquitin-related modifier 2 OS=Homo sapiens GN=SUMO2 PE=1 SV=3</t>
  </si>
  <si>
    <t>MegaP_hMMP3_GluC_AS_QStar-XL_20080308.03660.03660.2</t>
  </si>
  <si>
    <t>MegaP_hMMP3_GluC_AS_QStar-XL_20080308.03662.03662.2</t>
  </si>
  <si>
    <t>L.n[89.01]ILNRLC[160.03]VLHE.K</t>
  </si>
  <si>
    <t>MegaP_hMMP3_GluC_AS_QStar-XL_20080308.03684.03684.2</t>
  </si>
  <si>
    <t>MegaP_hMMP3_GluC_AS_QStar-XL_20080308.03686.03686.2</t>
  </si>
  <si>
    <t>MegaP_hMMP3_GluC_AS_QStar-XL_20080308.03687.03687.2</t>
  </si>
  <si>
    <t>N.n[89.01]YK[156.13]LITPAVVSE.R</t>
  </si>
  <si>
    <t>sp|P62851|RS25_HUMAN</t>
  </si>
  <si>
    <t>40S ribosomal protein S25 OS=Homo sapiens GN=RPS25 PE=1 SV=1</t>
  </si>
  <si>
    <t>MegaP_hMMP3_GluC_AS_QStar-XL_20080308.03700.03700.2</t>
  </si>
  <si>
    <t>S.n[89.01]LLLK[156.13]NSPLVSR.L</t>
  </si>
  <si>
    <t>MegaP_hMMP3_GluC_AS_QStar-XL_20080308.03741.03741.3</t>
  </si>
  <si>
    <t>15/84</t>
  </si>
  <si>
    <t>G.n[89.01]TFIASGVVVGK[156.13]DTLLTNK[156.13]HVVD.A</t>
  </si>
  <si>
    <t>MegaP_hMMP3_GluC_AS_QStar-XL_20080308.03748.03748.2</t>
  </si>
  <si>
    <t>MegaP_hMMP3_GluC_AS_QStar-XL_20080308.03753.03753.2</t>
  </si>
  <si>
    <t>19/28</t>
  </si>
  <si>
    <t>Q.n[89.01]ITK[156.13]YSGEGDLAIVK[156.13]F.S</t>
  </si>
  <si>
    <t>MegaP_hMMP3_GluC_AS_QStar-XL_20080308.03759.03759.3</t>
  </si>
  <si>
    <t>24/68</t>
  </si>
  <si>
    <t>C.n[89.01]VLK[156.13]GDGPVQGIINFEQK[156.13]E.S</t>
  </si>
  <si>
    <t>MegaP_hMMP3_GluC_AS_QStar-XL_20080308.03769.03769.2</t>
  </si>
  <si>
    <t>MegaP_hMMP3_GluC_AS_QStar-XL_20080308.03781.03781.3</t>
  </si>
  <si>
    <t>Q.n[89.01]LK[156.13]SLSDTVEK[156.13]LK[156.13]DE.V</t>
  </si>
  <si>
    <t>sp|Q14203|DCTN1_HUMAN</t>
  </si>
  <si>
    <t>Dynactin subunit 1 OS=Homo sapiens GN=DCTN1 PE=1 SV=3</t>
  </si>
  <si>
    <t>MegaP_hMMP3_GluC_AS_QStar-XL_20080308.03783.03783.3</t>
  </si>
  <si>
    <t>S.n[89.01]QRLQLLEPFDK[156.13]WDGK[156.13]DLE.D</t>
  </si>
  <si>
    <t>sp|Q99798|ACON_HUMAN</t>
  </si>
  <si>
    <t>Aconitate hydratase, mitochondrial OS=Homo sapiens GN=ACO2 PE=1 SV=2</t>
  </si>
  <si>
    <t>MegaP_hMMP3_GluC_AS_QStar-XL_20080308.03811.03811.3</t>
  </si>
  <si>
    <t>22/68</t>
  </si>
  <si>
    <t>MegaP_hMMP3_GluC_AS_QStar-XL_20080308.03825.03825.2</t>
  </si>
  <si>
    <t>Y.n[89.01]IAVHVVPDQL.M</t>
  </si>
  <si>
    <t>MegaP_hMMP3_GluC_AS_QStar-XL_20080308.03850.03850.2</t>
  </si>
  <si>
    <t>N.n[89.01]FFPK[156.13]K[156.13]LLE.L</t>
  </si>
  <si>
    <t>sp|P61289|PSME3_HUMAN,sp|P61289-2|PSME3_HUMAN</t>
  </si>
  <si>
    <t>Proteasome activator complex subunit 3 OS=Homo sapiens GN=PSME3 PE=1 SV=1</t>
  </si>
  <si>
    <t>MegaP_hMMP3_GluC_AS_QStar-XL_20080308.03857.03857.2</t>
  </si>
  <si>
    <t>F.n[89.01]IVNTNVPRASVPDGFLSE.L</t>
  </si>
  <si>
    <t>MegaP_hMMP3_GluC_AS_QStar-XL_20080308.03859.03859.2</t>
  </si>
  <si>
    <t>MegaP_hMMP3_GluC_AS_QStar-XL_20080308.03879.03879.2</t>
  </si>
  <si>
    <t>MegaP_hMMP3_GluC_AS_QStar-XL_20080308.03888.03888.2</t>
  </si>
  <si>
    <t>A.n[89.01]LIQK[156.13]LNSDPQF.V</t>
  </si>
  <si>
    <t>sp|Q13867|BLMH_HUMAN</t>
  </si>
  <si>
    <t>Bleomycin hydrolase OS=Homo sapiens GN=BLMH PE=1 SV=1</t>
  </si>
  <si>
    <t>MegaP_hMMP3_GluC_AS_QStar-XL_20080308.03911.03911.2</t>
  </si>
  <si>
    <t>MegaP_hMMP3_GluC_AS_QStar-XL_20080308.03914.03914.2</t>
  </si>
  <si>
    <t>MegaP_hMMP3_GluC_AS_QStar-XL_20080308.03940.03940.2</t>
  </si>
  <si>
    <t>T.n[29.04]HDPILGSGK[156.13]GD.S</t>
  </si>
  <si>
    <t>sp|Q12888|TP53B_HUMAN,sp|Q12888-2|TP53B_HUMAN</t>
  </si>
  <si>
    <t>Tumor suppressor p53-binding protein 1 OS=Homo sapiens GN=TP53BP1 PE=1 SV=2</t>
  </si>
  <si>
    <t>MegaP_hMMP3_GluC_AS_QStar-XL_20080308.03958.03958.2</t>
  </si>
  <si>
    <t>Q.n[89.01]VIILNHPGQIS.A</t>
  </si>
  <si>
    <t>MegaP_hMMP3_GluC_AS_QStar-XL_20080308.03979.03979.2</t>
  </si>
  <si>
    <t>G.n[89.01]LVQFVPK[156.13]EE.L</t>
  </si>
  <si>
    <t>MegaP_hMMP3_GluC_AS_QStar-XL_20080308.03982.03982.2</t>
  </si>
  <si>
    <t>D.n[89.01]LFRSTLEPVE.K</t>
  </si>
  <si>
    <t>sp|P08107|HSP71_HUMAN,sp|P08107-2|HSP71_HUMAN,sp|P17066|HSP76_HUMAN,sp|P48741|HSP77_HUMAN</t>
  </si>
  <si>
    <t>MegaP_hMMP3_GluC_AS_QStar-XL_20080308.03983.03983.2</t>
  </si>
  <si>
    <t>G.n[89.01]ILK[156.13]VPAINVND.S</t>
  </si>
  <si>
    <t>MegaP_hMMP3_GluC_AS_QStar-XL_20080308.04004.04004.2</t>
  </si>
  <si>
    <t>MegaP_hMMP3_GluC_AS_QStar-XL_20080308.04007.04007.2</t>
  </si>
  <si>
    <t>MegaP_hMMP3_GluC_AS_QStar-XL_20080308.04108.04108.2</t>
  </si>
  <si>
    <t>MegaP_hMMP3_GluC_AS_QStar-XL_20080308.04132.04132.2</t>
  </si>
  <si>
    <t>MegaP_hMMP3_GluC_AS_QStar-XL_20080308.04173.04173.3</t>
  </si>
  <si>
    <t>F.n[89.01]RK[156.13]FLPLFDRVLVE.R</t>
  </si>
  <si>
    <t>sp|P61604|CH10_HUMAN</t>
  </si>
  <si>
    <t>10 kDa heat shock protein, mitochondrial OS=Homo sapiens GN=HSPE1 PE=1 SV=2</t>
  </si>
  <si>
    <t>MegaP_hMMP3_GluC_AS_QStar-XL_20080308.04199.04199.3</t>
  </si>
  <si>
    <t>MegaP_hMMP3_GluC_AS_QStar-XL_20080308.04265.04265.2</t>
  </si>
  <si>
    <t>Y.n[89.01]IAVHVVPDQLM.A</t>
  </si>
  <si>
    <t>MegaP_hMMP3_GluC_AS_QStar-XL_20080308.04285.04285.2</t>
  </si>
  <si>
    <t>MegaP_hMMP3_GluC_AS_QStar-XL_20080308.04320.04320.3</t>
  </si>
  <si>
    <t>16/112</t>
  </si>
  <si>
    <t>A.n[89.01]LVIDNGSGMC[160.03]K[156.13]AGFAGDDAPRAVFPSIVG.R</t>
  </si>
  <si>
    <t>MegaP_hMMP3_GluC_AS_QStar-XL_20080308.04338.04338.2</t>
  </si>
  <si>
    <t>MegaP_hMMP3_GluC_AS_QStar-XL_20080308.04357.04357.2</t>
  </si>
  <si>
    <t>C.n[89.01]VLK[156.13]GDGPVQGIINFE.Q</t>
  </si>
  <si>
    <t>MegaP_hMMP3_GluC_AS_QStar-XL_20080308.04363.04363.2</t>
  </si>
  <si>
    <t>K.n[89.01]TLFVK[156.13]GLSE.D</t>
  </si>
  <si>
    <t>MegaP_hMMP3_GluC_AS_QStar-XL_20080308.04373.04373.2</t>
  </si>
  <si>
    <t>D.n[29.04]AGVIAGLNVLRII.N</t>
  </si>
  <si>
    <t>sp|P08107|HSP71_HUMAN,sp|P34931|HS71L_HUMAN,sp|P08107-2|HSP71_HUMAN</t>
  </si>
  <si>
    <t>MegaP_hMMP3_GluC_AS_QStar-XL_20080308.04378.04378.2</t>
  </si>
  <si>
    <t>Q.n[89.01]LQLSPLK[156.13]GLSLVDK[156.13]E.N</t>
  </si>
  <si>
    <t>MegaP_hMMP3_GluC_AS_QStar-XL_20080308.04396.04396.2</t>
  </si>
  <si>
    <t>D.n[89.01]LAIVK[156.13]FSPNE.Q</t>
  </si>
  <si>
    <t>MegaP_hMMP3_GluC_AS_QStar-XL_20080308.04437.04437.2</t>
  </si>
  <si>
    <t>MegaP_hMMP3_GluC_AS_QStar-XL_20080308.04439.04439.2</t>
  </si>
  <si>
    <t>E.n[29.04]LIAK[156.13]IPNFWVTTF.V</t>
  </si>
  <si>
    <t>MegaP_hMMP3_GluC_AS_QStar-XL_20080308.04442.04442.2</t>
  </si>
  <si>
    <t>E.n[89.01]LVDSVLDVVRK[156.13].E</t>
  </si>
  <si>
    <t>sp|P07437|TBB5_HUMAN,sp|Q13885|TBB2A_HUMAN,sp|Q9BVA1|TBB2B_HUMAN,sp|Q13509|TBB3_HUMAN,sp|P68371|TBB4B_HUMAN</t>
  </si>
  <si>
    <t>MegaP_hMMP3_GluC_AS_QStar-XL_20080308.04454.04454.2</t>
  </si>
  <si>
    <t>N.n[89.01]C[160.03]LLLK[156.13]VNQIGSVTE.S</t>
  </si>
  <si>
    <t>MegaP_hMMP3_GluC_AS_QStar-XL_20080308.04456.04456.2</t>
  </si>
  <si>
    <t>N.n[89.01]LK[156.13]APLDIPVPDPV.K</t>
  </si>
  <si>
    <t>MegaP_hMMP3_GluC_AS_QStar-XL_20080308.04460.04460.2</t>
  </si>
  <si>
    <t>P.n[89.01]LLSPLLPSIK[156.13]PTVR.K</t>
  </si>
  <si>
    <t>sp|Q14676|MDC1_HUMAN</t>
  </si>
  <si>
    <t>Mediator of DNA damage checkpoint protein 1 OS=Homo sapiens GN=MDC1 PE=1 SV=3</t>
  </si>
  <si>
    <t>MegaP_hMMP3_GluC_AS_QStar-XL_20080308.04469.04469.4</t>
  </si>
  <si>
    <t>20/186</t>
  </si>
  <si>
    <t>W.n[29.04]AK[156.13]GHYTEGAELVDSVLDVVRK[156.13]EAESC[160.03]DC[160.03]LQGF.Q</t>
  </si>
  <si>
    <t>MegaP_hMMP3_GluC_AS_QStar-XL_20080308.04507.04507.3</t>
  </si>
  <si>
    <t>R.n[89.01]VTIAQGGVLPNIQAVLLPK[156.13]K[156.13]TE.S</t>
  </si>
  <si>
    <t>MegaP_hMMP3_GluC_AS_QStar-XL_20080308.04523.04523.2</t>
  </si>
  <si>
    <t>K.n[89.01]LLGRVTIAQGGVLPNIQA.V</t>
  </si>
  <si>
    <t>MegaP_hMMP3_GluC_AS_QStar-XL_20080308.04550.04550.2</t>
  </si>
  <si>
    <t>A.n[89.01]ISILGK[156.13]SLADE.L</t>
  </si>
  <si>
    <t>MegaP_hMMP3_GluC_AS_QStar-XL_20080308.04556.04556.2</t>
  </si>
  <si>
    <t>S.n[89.01]ILMK[156.13]DLADE.L</t>
  </si>
  <si>
    <t>sp|P00338|LDHA_HUMAN,sp|P00338-2|LDHA_HUMAN,sp|P00338-3|LDHA_HUMAN,sp|P00338-4|LDHA_HUMAN,sp|P00338-5|LDHA_HUMAN</t>
  </si>
  <si>
    <t>MegaP_hMMP3_GluC_AS_QStar-XL_20080308.04619.04619.3</t>
  </si>
  <si>
    <t>A.n[89.01]FRK[156.13]FLPLFDRVLVE.R</t>
  </si>
  <si>
    <t>MegaP_hMMP3_GluC_AS_QStar-XL_20080308.04622.04622.2</t>
  </si>
  <si>
    <t>Y.n[89.01]SK[156.13]LLC[160.03]GLLAE.R</t>
  </si>
  <si>
    <t>MegaP_hMMP3_GluC_AS_QStar-XL_20080308.04713.04713.2</t>
  </si>
  <si>
    <t>MegaP_hMMP3_GluC_AS_QStar-XL_20080308.04755.04755.2</t>
  </si>
  <si>
    <t>G.n[89.01]LQVLNDYLADK[156.13]S.Y</t>
  </si>
  <si>
    <t>MegaP_hMMP7_GluC_OS_QStar-Pulsar_20080108.01171.01171.3</t>
  </si>
  <si>
    <t>P.n[29.04]EVK[156.13]HGYK[156.13]LNK[156.13]TH.S</t>
  </si>
  <si>
    <t>sp|P20023|CR2_HUMAN</t>
  </si>
  <si>
    <t>Complement receptor type 2 OS=Homo sapiens GN=CR2 PE=1 SV=2</t>
  </si>
  <si>
    <t>MegaP_hMMP7_GluC_OS_QStar-Pulsar_20080108.01284.01284.3</t>
  </si>
  <si>
    <t>MegaP_hMMP7_GluC_OS_QStar-Pulsar_20080108.01341.01341.3</t>
  </si>
  <si>
    <t>15/72</t>
  </si>
  <si>
    <t>Q.n[89.01]LK[156.13]GQSQTSPDHRSDTSSPE.V</t>
  </si>
  <si>
    <t>sp|Q9UQ35|SRRM2_HUMAN</t>
  </si>
  <si>
    <t>Serine\arginine repetitive matrix protein 2 OS=Homo sapiens GN=SRRM2 PE=1 SV=2</t>
  </si>
  <si>
    <t>MegaP_hMMP7_GluC_OS_QStar-Pulsar_20080108.01391.01391.2</t>
  </si>
  <si>
    <t>L.n[89.01]QTVAK[156.13]NK[156.13]DQGTYE.D</t>
  </si>
  <si>
    <t>sp|P60660|MYL6_HUMAN,sp|P60660-2|MYL6_HUMAN</t>
  </si>
  <si>
    <t>Myosin light polypeptide 6 OS=Homo sapiens GN=MYL6 PE=1 SV=2</t>
  </si>
  <si>
    <t>MegaP_hMMP7_GluC_OS_QStar-Pulsar_20080108.01416.01416.3</t>
  </si>
  <si>
    <t>D.n[89.01]K[156.13]PK[156.13]VQVSYK[156.13]GE.T</t>
  </si>
  <si>
    <t>MegaP_hMMP7_GluC_OS_QStar-Pulsar_20080108.01442.01442.3</t>
  </si>
  <si>
    <t>12/64</t>
  </si>
  <si>
    <t>D.n[89.01]VRRGNVAGDSK[156.13]NDPPME.A</t>
  </si>
  <si>
    <t>MegaP_hMMP7_GluC_OS_QStar-Pulsar_20080108.01471.01471.3</t>
  </si>
  <si>
    <t>MegaP_hMMP7_GluC_OS_QStar-Pulsar_20080108.01480.01480.2</t>
  </si>
  <si>
    <t>9/20</t>
  </si>
  <si>
    <t>T.n[89.01]SQHSNTQTLGK[156.13].-</t>
  </si>
  <si>
    <t>sp|Q6PKG0|LARP1_HUMAN</t>
  </si>
  <si>
    <t>La-related protein 1 OS=Homo sapiens GN=LARP1 PE=1 SV=2</t>
  </si>
  <si>
    <t>MegaP_hMMP7_GluC_OS_QStar-Pulsar_20080108.01484.01484.3</t>
  </si>
  <si>
    <t>12/84</t>
  </si>
  <si>
    <t>H.n[89.01]MVANC[160.03]PHK[156.13]NVAQPPASSQGRQE.A</t>
  </si>
  <si>
    <t>sp|Q6ZN17|LN28B_HUMAN,sp|Q6ZN17-2|LN28B_HUMAN</t>
  </si>
  <si>
    <t>Protein lin-28 homolog B OS=Homo sapiens GN=LIN28B PE=1 SV=1</t>
  </si>
  <si>
    <t>MegaP_hMMP7_GluC_OS_QStar-Pulsar_20080108.01498.01498.2</t>
  </si>
  <si>
    <t>MegaP_hMMP7_GluC_OS_QStar-Pulsar_20080108.01504.01504.3</t>
  </si>
  <si>
    <t>MegaP_hMMP7_GluC_OS_QStar-Pulsar_20080108.01512.01512.2</t>
  </si>
  <si>
    <t>Q.n[89.01]LHAHQPQPATTPTG.S</t>
  </si>
  <si>
    <t>MegaP_hMMP7_GluC_OS_QStar-Pulsar_20080108.01516.01516.2</t>
  </si>
  <si>
    <t>MegaP_hMMP7_GluC_OS_QStar-Pulsar_20080108.01522.01522.2</t>
  </si>
  <si>
    <t>K.n[89.01]MK[156.13]QEPVK[156.13]PEE.G</t>
  </si>
  <si>
    <t>sp|P61586|RHOA_HUMAN</t>
  </si>
  <si>
    <t>Transforming protein RhoA OS=Homo sapiens GN=RHOA PE=1 SV=1</t>
  </si>
  <si>
    <t>MegaP_hMMP7_GluC_OS_QStar-Pulsar_20080108.01523.01523.2</t>
  </si>
  <si>
    <t>MegaP_hMMP7_GluC_OS_QStar-Pulsar_20080108.01544.01544.2</t>
  </si>
  <si>
    <t>Q.n[89.01]LTNDK[156.13]ARVE.V</t>
  </si>
  <si>
    <t>sp|P08670|VIME_HUMAN</t>
  </si>
  <si>
    <t>Vimentin OS=Homo sapiens GN=VIM PE=1 SV=4</t>
  </si>
  <si>
    <t>MegaP_hMMP7_GluC_OS_QStar-Pulsar_20080108.01558.01558.2</t>
  </si>
  <si>
    <t>MegaP_hMMP7_GluC_OS_QStar-Pulsar_20080108.01566.01566.3</t>
  </si>
  <si>
    <t>17/40</t>
  </si>
  <si>
    <t>D.n[89.01]IK[156.13]LDSEDK[156.13]DK[156.13]E.G</t>
  </si>
  <si>
    <t>MegaP_hMMP7_GluC_OS_QStar-Pulsar_20080108.01568.01568.3</t>
  </si>
  <si>
    <t>D.n[89.01]LTTK[156.13]K[156.13]VVDNTTAK[156.13]E.F</t>
  </si>
  <si>
    <t>sp|Q9H0U4|RAB1B_HUMAN,sp|Q92928|RAB1C_HUMAN</t>
  </si>
  <si>
    <t>Ras-related protein Rab-1B OS=Homo sapiens GN=RAB1B PE=1 SV=1</t>
  </si>
  <si>
    <t>MegaP_hMMP7_GluC_OS_QStar-Pulsar_20080108.01583.01583.2</t>
  </si>
  <si>
    <t>13/32</t>
  </si>
  <si>
    <t>Q.n[89.01]LQK[156.13]QK[156.13]GDTPASATAPTE.A</t>
  </si>
  <si>
    <t>sp|Q16891|IMMT_HUMAN</t>
  </si>
  <si>
    <t>Mitochondrial inner membrane protein OS=Homo sapiens GN=IMMT PE=1 SV=1</t>
  </si>
  <si>
    <t>MegaP_hMMP7_GluC_OS_QStar-Pulsar_20080108.01587.01587.2</t>
  </si>
  <si>
    <t>L.n[89.01]LVQPTK[156.13]RPE.G</t>
  </si>
  <si>
    <t>sp|P84090|ERH_HUMAN</t>
  </si>
  <si>
    <t>Enhancer of rudimentary homolog OS=Homo sapiens GN=ERH PE=1 SV=1</t>
  </si>
  <si>
    <t>MegaP_hMMP7_GluC_OS_QStar-Pulsar_20080108.01588.01588.3</t>
  </si>
  <si>
    <t>R.n[89.01]LK[156.13]C[160.03]GSGPVHISGQH.L</t>
  </si>
  <si>
    <t>MegaP_hMMP7_GluC_OS_QStar-Pulsar_20080108.01590.01590.2</t>
  </si>
  <si>
    <t>H.n[89.01]MK[156.13]AVQADQERE.R</t>
  </si>
  <si>
    <t>sp|Q96AG4|LRC59_HUMAN</t>
  </si>
  <si>
    <t>Leucine-rich repeat-containing protein 59 OS=Homo sapiens GN=LRRC59 PE=1 SV=1</t>
  </si>
  <si>
    <t>MegaP_hMMP7_GluC_OS_QStar-Pulsar_20080108.01606.01606.3</t>
  </si>
  <si>
    <t>D.n[89.01]LRADAMAK[156.13]DRSEEE.R</t>
  </si>
  <si>
    <t>MegaP_hMMP7_GluC_OS_QStar-Pulsar_20080108.01612.01612.3</t>
  </si>
  <si>
    <t>A.n[89.01]GRNFRNPLAK[156.13].-</t>
  </si>
  <si>
    <t>MegaP_hMMP7_GluC_OS_QStar-Pulsar_20080108.01634.01634.2</t>
  </si>
  <si>
    <t>20/26</t>
  </si>
  <si>
    <t>MegaP_hMMP7_GluC_OS_QStar-Pulsar_20080108.01638.01638.2</t>
  </si>
  <si>
    <t>G.n[89.01]C[160.03]VVRGSGIPE.L</t>
  </si>
  <si>
    <t>sp|P51800-2|CLCKA_HUMAN</t>
  </si>
  <si>
    <t>Isoform 2 of Chloride channel protein ClC-Ka OS=Homo sapiens GN=CLCNKA</t>
  </si>
  <si>
    <t>MegaP_hMMP7_GluC_OS_QStar-Pulsar_20080108.01639.01639.3</t>
  </si>
  <si>
    <t>S.n[89.01]IIRNVK[156.13]GPVRE.G</t>
  </si>
  <si>
    <t>sp|P62857|RS28_HUMAN</t>
  </si>
  <si>
    <t>40S ribosomal protein S28 OS=Homo sapiens GN=RPS28 PE=1 SV=1</t>
  </si>
  <si>
    <t>MegaP_hMMP7_GluC_OS_QStar-Pulsar_20080108.01644.01644.2</t>
  </si>
  <si>
    <t>MegaP_hMMP7_GluC_OS_QStar-Pulsar_20080108.01658.01658.2</t>
  </si>
  <si>
    <t>MegaP_hMMP7_GluC_OS_QStar-Pulsar_20080108.01666.01666.3</t>
  </si>
  <si>
    <t>MegaP_hMMP7_GluC_OS_QStar-Pulsar_20080108.01668.01668.3</t>
  </si>
  <si>
    <t>MegaP_hMMP7_GluC_OS_QStar-Pulsar_20080108.01670.01670.3</t>
  </si>
  <si>
    <t>A.n[89.01]IRQRSLGPSLATDK[156.13]S.-</t>
  </si>
  <si>
    <t>sp|Q9H3N1|TMX1_HUMAN</t>
  </si>
  <si>
    <t>Thioredoxin-related transmembrane protein 1 OS=Homo sapiens GN=TMX1 PE=1 SV=1</t>
  </si>
  <si>
    <t>MegaP_hMMP7_GluC_OS_QStar-Pulsar_20080108.01671.01671.2</t>
  </si>
  <si>
    <t>N.n[89.01]MSK[156.13]YQSNPK[156.13]VMN.L</t>
  </si>
  <si>
    <t>sp|P50502|F10A1_HUMAN</t>
  </si>
  <si>
    <t>Hsc70-interacting protein OS=Homo sapiens GN=ST13 PE=1 SV=2</t>
  </si>
  <si>
    <t>MegaP_hMMP7_GluC_OS_QStar-Pulsar_20080108.01672.01672.2</t>
  </si>
  <si>
    <t>MegaP_hMMP7_GluC_OS_QStar-Pulsar_20080108.01674.01674.3</t>
  </si>
  <si>
    <t>S.n[89.01]LLAK[156.13]QPATPTRASESPARGPSG.S</t>
  </si>
  <si>
    <t>sp|O43237|DC1L2_HUMAN</t>
  </si>
  <si>
    <t>Cytoplasmic dynein 1 light intermediate chain 2 OS=Homo sapiens GN=DYNC1LI2 PE=1 SV=1</t>
  </si>
  <si>
    <t>MegaP_hMMP7_GluC_OS_QStar-Pulsar_20080108.01690.01690.2</t>
  </si>
  <si>
    <t>H.n[89.01]LSASQK[156.13]ALK[156.13]E.K</t>
  </si>
  <si>
    <t>sp|P13073|COX41_HUMAN</t>
  </si>
  <si>
    <t>Cytochrome c oxidase subunit 4 isoform 1, mitochondrial OS=Homo sapiens GN=COX4I1 PE=1 SV=1</t>
  </si>
  <si>
    <t>MegaP_hMMP7_GluC_OS_QStar-Pulsar_20080108.01696.01696.3</t>
  </si>
  <si>
    <t>G.n[89.01]ILNVTATDK[156.13]STGK[156.13]ANK[156.13].L</t>
  </si>
  <si>
    <t>MegaP_hMMP7_GluC_OS_QStar-Pulsar_20080108.01698.01698.2</t>
  </si>
  <si>
    <t>W.n[89.01]LNSK[156.13]MNAQNK[156.13]LS.L</t>
  </si>
  <si>
    <t>MegaP_hMMP7_GluC_OS_QStar-Pulsar_20080108.01703.01703.2</t>
  </si>
  <si>
    <t>MegaP_hMMP7_GluC_OS_QStar-Pulsar_20080108.01704.01704.2</t>
  </si>
  <si>
    <t>A.n[89.01]LVK[156.13]AASAAQRE.L</t>
  </si>
  <si>
    <t>sp|Q9Y490|TLN1_HUMAN</t>
  </si>
  <si>
    <t>Talin-1 OS=Homo sapiens GN=TLN1 PE=1 SV=3</t>
  </si>
  <si>
    <t>MegaP_hMMP7_GluC_OS_QStar-Pulsar_20080108.01736.01736.2</t>
  </si>
  <si>
    <t>MegaP_hMMP7_GluC_OS_QStar-Pulsar_20080108.01747.01747.3</t>
  </si>
  <si>
    <t>14/64</t>
  </si>
  <si>
    <t>N.n[89.01]IK[156.13]NVAK[156.13]TANK[156.13]DHLVTAY.N</t>
  </si>
  <si>
    <t>sp|Q00688|FKBP3_HUMAN</t>
  </si>
  <si>
    <t>Peptidyl-prolyl cis-trans isomerase FKBP3 OS=Homo sapiens GN=FKBP3 PE=1 SV=1</t>
  </si>
  <si>
    <t>MegaP_hMMP7_GluC_OS_QStar-Pulsar_20080108.01758.01758.2</t>
  </si>
  <si>
    <t>A.n[89.01]LTRDPQFQK[156.13].L</t>
  </si>
  <si>
    <t>MegaP_hMMP7_GluC_OS_QStar-Pulsar_20080108.01770.01770.2</t>
  </si>
  <si>
    <t>L.n[89.01]LK[156.13]QGQDNLSSVK[156.13]E.T</t>
  </si>
  <si>
    <t>MegaP_hMMP7_GluC_OS_QStar-Pulsar_20080108.01784.01784.3</t>
  </si>
  <si>
    <t>R.n[89.01]IK[156.13]MIASDSHRPE.V</t>
  </si>
  <si>
    <t>sp|Q9NYF8|BCLF1_HUMAN,sp|Q9NYF8-2|BCLF1_HUMAN,sp|Q9NYF8-3|BCLF1_HUMAN,sp|Q9NYF8-4|BCLF1_HUMAN</t>
  </si>
  <si>
    <t>Bcl-2-associated transcription factor 1 OS=Homo sapiens GN=BCLAF1 PE=1 SV=2</t>
  </si>
  <si>
    <t>MegaP_hMMP7_GluC_OS_QStar-Pulsar_20080108.01795.01795.3</t>
  </si>
  <si>
    <t>14/76</t>
  </si>
  <si>
    <t>F.n[89.01]MC[160.03]QGGDFTRHNGTGGK[156.13]SIYG.E</t>
  </si>
  <si>
    <t>MegaP_hMMP7_GluC_OS_QStar-Pulsar_20080108.01796.01796.3</t>
  </si>
  <si>
    <t>MegaP_hMMP7_GluC_OS_QStar-Pulsar_20080108.01807.01807.3</t>
  </si>
  <si>
    <t>K.n[89.01]LTVNPGTK[156.13]SK[156.13]LPK[156.13]PVQD.L</t>
  </si>
  <si>
    <t>MegaP_hMMP7_GluC_OS_QStar-Pulsar_20080108.01814.01814.3</t>
  </si>
  <si>
    <t>MegaP_hMMP7_GluC_OS_QStar-Pulsar_20080108.01818.01818.3</t>
  </si>
  <si>
    <t>K.n[89.01]LRQPFFQK[156.13]RSE.L</t>
  </si>
  <si>
    <t>MegaP_hMMP7_GluC_OS_QStar-Pulsar_20080108.01830.01830.2</t>
  </si>
  <si>
    <t>MegaP_hMMP7_GluC_OS_QStar-Pulsar_20080108.01838.01838.3</t>
  </si>
  <si>
    <t>K.n[89.01]ITITNDK[156.13]GRLSK[156.13]EE.L</t>
  </si>
  <si>
    <t>sp|P08107|HSP71_HUMAN,sp|P34931|HS71L_HUMAN,sp|P08107-2|HSP71_HUMAN,sp|P17066|HSP76_HUMAN</t>
  </si>
  <si>
    <t>MegaP_hMMP7_GluC_OS_QStar-Pulsar_20080108.01842.01842.2</t>
  </si>
  <si>
    <t>sp|P16403|H12_HUMAN</t>
  </si>
  <si>
    <t>Histone H1.2 OS=Homo sapiens GN=HIST1H1C PE=1 SV=2</t>
  </si>
  <si>
    <t>MegaP_hMMP7_GluC_OS_QStar-Pulsar_20080108.01858.01858.3</t>
  </si>
  <si>
    <t>MegaP_hMMP7_GluC_OS_QStar-Pulsar_20080108.01872.01872.2</t>
  </si>
  <si>
    <t>MegaP_hMMP7_GluC_OS_QStar-Pulsar_20080108.01884.01884.3</t>
  </si>
  <si>
    <t>A.n[89.01]MK[156.13]K[156.13]DPVK[156.13]K[156.13]IFVGGLNPE.S</t>
  </si>
  <si>
    <t>sp|Q99729|ROAA_HUMAN</t>
  </si>
  <si>
    <t>Heterogeneous nuclear ribonucleoprotein A\B OS=Homo sapiens GN=HNRNPAB PE=1 SV=2</t>
  </si>
  <si>
    <t>MegaP_hMMP7_GluC_OS_QStar-Pulsar_20080108.01891.01891.3</t>
  </si>
  <si>
    <t>K.n[89.01]IVLQK[156.13]YHTINGHNAE.V</t>
  </si>
  <si>
    <t>sp|P22626|ROA2_HUMAN,sp|P22626-2|ROA2_HUMAN</t>
  </si>
  <si>
    <t>Heterogeneous nuclear ribonucleoproteins A2\B1 OS=Homo sapiens GN=HNRNPA2B1 PE=1 SV=2</t>
  </si>
  <si>
    <t>MegaP_hMMP7_GluC_OS_QStar-Pulsar_20080108.01900.01900.2</t>
  </si>
  <si>
    <t>sp|P62736|ACTA_HUMAN,sp|Q9BYX7|ACTBM_HUMAN,sp|P60709|ACTB_HUMAN,sp|P68032|ACTC_HUMAN,sp|P63261|ACTG_HUMAN,sp|P63267|ACTH_HUMAN,sp|P63267-2|ACTH_HUMAN,sp|P68133|ACTS_HUMAN,sp|Q6S8J3|POTEE_HUMAN,sp|P0CG38|POTEI_HUMAN,sp|P0CG39|POTEJ_HUMAN,CON_P60712|P60712</t>
  </si>
  <si>
    <t>Actin, aortic smooth muscle OS=Homo sapiens GN=ACTA2 PE=1 SV=1</t>
  </si>
  <si>
    <t>MegaP_hMMP7_GluC_OS_QStar-Pulsar_20080108.01910.01910.3</t>
  </si>
  <si>
    <t>14/60</t>
  </si>
  <si>
    <t>P.n[89.01]LVDTHSK[156.13]RTLLIK[156.13]TVE.T</t>
  </si>
  <si>
    <t>MegaP_hMMP7_GluC_OS_QStar-Pulsar_20080108.01919.01919.2</t>
  </si>
  <si>
    <t>D.n[89.01]LQK[156.13]MPLGK[156.13].L</t>
  </si>
  <si>
    <t>MegaP_hMMP7_GluC_OS_QStar-Pulsar_20080108.01928.01928.3</t>
  </si>
  <si>
    <t>MegaP_hMMP7_GluC_OS_QStar-Pulsar_20080108.01935.01935.3</t>
  </si>
  <si>
    <t>16/92</t>
  </si>
  <si>
    <t>G.n[89.01]VVVGK[156.13]DTLLTNK[156.13]HVVDATHGDPHA.L</t>
  </si>
  <si>
    <t>MegaP_hMMP7_GluC_OS_QStar-Pulsar_20080108.01950.01950.2</t>
  </si>
  <si>
    <t>MegaP_hMMP7_GluC_OS_QStar-Pulsar_20080108.01962.01962.2</t>
  </si>
  <si>
    <t>A.n[89.01]LRASFNNPDRAVE.Y</t>
  </si>
  <si>
    <t>sp|P54727|RD23B_HUMAN,sp|P54727-2|RD23B_HUMAN</t>
  </si>
  <si>
    <t>UV excision repair protein RAD23 homolog B OS=Homo sapiens GN=RAD23B PE=1 SV=1</t>
  </si>
  <si>
    <t>MegaP_hMMP7_GluC_OS_QStar-Pulsar_20080108.01964.01964.2</t>
  </si>
  <si>
    <t>MegaP_hMMP7_GluC_OS_QStar-Pulsar_20080108.01968.01968.3</t>
  </si>
  <si>
    <t>P.n[89.01]LAK[156.13]AAPK[156.13]SGPSVPVSVQTK[156.13]DDVYE.A</t>
  </si>
  <si>
    <t>sp|Q9Y2W2|WBP11_HUMAN</t>
  </si>
  <si>
    <t>WW domain-binding protein 11 OS=Homo sapiens GN=WBP11 PE=1 SV=1</t>
  </si>
  <si>
    <t>MegaP_hMMP7_GluC_OS_QStar-Pulsar_20080108.01971.01971.3</t>
  </si>
  <si>
    <t>L.n[89.01]IK[156.13]RNSTIPTK[156.13]QTQIFTTY.S</t>
  </si>
  <si>
    <t>MegaP_hMMP7_GluC_OS_QStar-Pulsar_20080108.01974.01974.2</t>
  </si>
  <si>
    <t>MegaP_hMMP7_GluC_OS_QStar-Pulsar_20080108.01984.01984.2</t>
  </si>
  <si>
    <t>S.n[89.01]VVC[160.03]K[156.13]PQEPGHFYSE.H</t>
  </si>
  <si>
    <t>MegaP_hMMP7_GluC_OS_QStar-Pulsar_20080108.01987.01987.2</t>
  </si>
  <si>
    <t>P.n[89.01]MLQTVAK[156.13]NK[156.13]DQGTYE.D</t>
  </si>
  <si>
    <t>MegaP_hMMP7_GluC_OS_QStar-Pulsar_20080108.01996.01996.4</t>
  </si>
  <si>
    <t>14/144</t>
  </si>
  <si>
    <t>MegaP_hMMP7_GluC_OS_QStar-Pulsar_20080108.02000.02000.4</t>
  </si>
  <si>
    <t>16/90</t>
  </si>
  <si>
    <t>N.n[89.01]LRK[156.13]VLISDSLDPC[160.03]C[160.03]RK[156.13].L</t>
  </si>
  <si>
    <t>sp|O43175|SERA_HUMAN</t>
  </si>
  <si>
    <t>D-3-phosphoglycerate dehydrogenase OS=Homo sapiens GN=PHGDH PE=1 SV=4</t>
  </si>
  <si>
    <t>MegaP_hMMP7_GluC_OS_QStar-Pulsar_20080108.02008.02008.2</t>
  </si>
  <si>
    <t>K.n[89.01]IVK[156.13]PNGEK[156.13]PDEFE.S</t>
  </si>
  <si>
    <t>sp|P62081|RS7_HUMAN</t>
  </si>
  <si>
    <t>40S ribosomal protein S7 OS=Homo sapiens GN=RPS7 PE=1 SV=1</t>
  </si>
  <si>
    <t>MegaP_hMMP7_GluC_OS_QStar-Pulsar_20080108.02016.02016.2</t>
  </si>
  <si>
    <t>E.n[89.01]LITK[156.13]AVAASK[156.13]E.R</t>
  </si>
  <si>
    <t>sp|P16403|H12_HUMAN,sp|P16402|H13_HUMAN,sp|P10412|H14_HUMAN,sp|P16401|H15_HUMAN</t>
  </si>
  <si>
    <t>MegaP_hMMP7_GluC_OS_QStar-Pulsar_20080108.02026.02026.2</t>
  </si>
  <si>
    <t>P.n[89.01]IVGTTRK[156.13]LYE.K</t>
  </si>
  <si>
    <t>sp|P42166|LAP2A_HUMAN,sp|P42167|LAP2B_HUMAN,sp|P42167-2|LAP2B_HUMAN</t>
  </si>
  <si>
    <t>Lamina-associated polypeptide 2, isoform alpha OS=Homo sapiens GN=TMPO PE=1 SV=2</t>
  </si>
  <si>
    <t>MegaP_hMMP7_GluC_OS_QStar-Pulsar_20080108.02050.02050.3</t>
  </si>
  <si>
    <t>G.n[89.01]LRK[156.13]VIDDTNITR.L</t>
  </si>
  <si>
    <t>MegaP_hMMP7_GluC_OS_QStar-Pulsar_20080108.02056.02056.2</t>
  </si>
  <si>
    <t>Y.n[89.01]LGQVTTIK[156.13]K[156.13]GVTE.C</t>
  </si>
  <si>
    <t>MegaP_hMMP7_GluC_OS_QStar-Pulsar_20080108.02058.02058.2</t>
  </si>
  <si>
    <t>MegaP_hMMP7_GluC_OS_QStar-Pulsar_20080108.02066.02066.2</t>
  </si>
  <si>
    <t>S.n[89.01]LTMDPVVK[156.13]SK[156.13]E.L</t>
  </si>
  <si>
    <t>MegaP_hMMP7_GluC_OS_QStar-Pulsar_20080108.02067.02067.3</t>
  </si>
  <si>
    <t>18/96</t>
  </si>
  <si>
    <t>L.n[89.01]IK[156.13]RNSTIPTK[156.13]QTQIFTTYSDNQPGV.L</t>
  </si>
  <si>
    <t>MegaP_hMMP7_GluC_OS_QStar-Pulsar_20080108.02076.02076.3</t>
  </si>
  <si>
    <t>14/96</t>
  </si>
  <si>
    <t>MegaP_hMMP7_GluC_OS_QStar-Pulsar_20080108.02079.02079.2</t>
  </si>
  <si>
    <t>19/24</t>
  </si>
  <si>
    <t>G.n[89.01]LTLGGQK[156.13]C[160.03]SVIRD.S</t>
  </si>
  <si>
    <t>MegaP_hMMP7_GluC_OS_QStar-Pulsar_20080108.02087.02087.2</t>
  </si>
  <si>
    <t>A.n[89.01]VTMGPK[156.13]GRTVIIE.Q</t>
  </si>
  <si>
    <t>MegaP_hMMP7_GluC_OS_QStar-Pulsar_20080108.02088.02088.2</t>
  </si>
  <si>
    <t>18/26</t>
  </si>
  <si>
    <t>K.n[89.01]LQAAVDGPMDK[156.13]K[156.13]EE.-</t>
  </si>
  <si>
    <t>sp|P51572|BAP31_HUMAN,sp|P51572-2|BAP31_HUMAN</t>
  </si>
  <si>
    <t>B-cell receptor-associated protein 31 OS=Homo sapiens GN=BCAP31 PE=1 SV=3</t>
  </si>
  <si>
    <t>MegaP_hMMP7_GluC_OS_QStar-Pulsar_20080108.02092.02092.2</t>
  </si>
  <si>
    <t>K.n[89.01]IK[156.13]DPDASK[156.13]PEDWDE.R</t>
  </si>
  <si>
    <t>MegaP_hMMP7_GluC_OS_QStar-Pulsar_20080108.02110.02110.3</t>
  </si>
  <si>
    <t>R.n[89.01]LK[156.13]K[156.13]SADTLWGIQK[156.13]E.L</t>
  </si>
  <si>
    <t>sp|P00338|LDHA_HUMAN,sp|P00338-3|LDHA_HUMAN,sp|P00338-4|LDHA_HUMAN</t>
  </si>
  <si>
    <t>MegaP_hMMP7_GluC_OS_QStar-Pulsar_20080108.02115.02115.3</t>
  </si>
  <si>
    <t>A.n[89.01]LK[156.13]AMK[156.13]QYNGVPLDGRPMN.L</t>
  </si>
  <si>
    <t>sp|Q86V81|THOC4_HUMAN</t>
  </si>
  <si>
    <t>THO complex subunit 4 OS=Homo sapiens GN=ALYREF PE=1 SV=3</t>
  </si>
  <si>
    <t>MegaP_hMMP7_GluC_OS_QStar-Pulsar_20080108.02144.02144.3</t>
  </si>
  <si>
    <t>MegaP_hMMP7_GluC_OS_QStar-Pulsar_20080108.02158.02158.2</t>
  </si>
  <si>
    <t>S.n[89.01]LVSK[156.13]GTLVQTK[156.13]GTGASGSF.K</t>
  </si>
  <si>
    <t>MegaP_hMMP7_GluC_OS_QStar-Pulsar_20080108.02160.02160.2</t>
  </si>
  <si>
    <t>MegaP_hMMP7_GluC_OS_QStar-Pulsar_20080108.02167.02167.2</t>
  </si>
  <si>
    <t>MegaP_hMMP7_GluC_OS_QStar-Pulsar_20080108.02170.02170.2</t>
  </si>
  <si>
    <t>MegaP_hMMP7_GluC_OS_QStar-Pulsar_20080108.02176.02176.2</t>
  </si>
  <si>
    <t>Q.n[89.01]FVEPSRQFVK[156.13]D.S</t>
  </si>
  <si>
    <t>sp|P60059|SC61G_HUMAN</t>
  </si>
  <si>
    <t>Protein transport protein Sec61 subunit gamma OS=Homo sapiens GN=SEC61G PE=2 SV=1</t>
  </si>
  <si>
    <t>MegaP_hMMP7_GluC_OS_QStar-Pulsar_20080108.02178.02178.2</t>
  </si>
  <si>
    <t>F.n[89.01]LYAATHELGHS.L</t>
  </si>
  <si>
    <t>sp|P09237|MMP7_HUMAN</t>
  </si>
  <si>
    <t>Matrilysin OS=Homo sapiens GN=MMP7 PE=1 SV=1</t>
  </si>
  <si>
    <t>MegaP_hMMP7_GluC_OS_QStar-Pulsar_20080108.02184.02184.2</t>
  </si>
  <si>
    <t>MegaP_hMMP7_GluC_OS_QStar-Pulsar_20080108.02186.02186.3</t>
  </si>
  <si>
    <t>MegaP_hMMP7_GluC_OS_QStar-Pulsar_20080108.02192.02192.3</t>
  </si>
  <si>
    <t>21/104</t>
  </si>
  <si>
    <t>E.n[29.04]LRAK[156.13]STPSGFTLDDVIQTGVDNPGHPY.L</t>
  </si>
  <si>
    <t>MegaP_hMMP7_GluC_OS_QStar-Pulsar_20080108.02195.02195.2</t>
  </si>
  <si>
    <t>17/16</t>
  </si>
  <si>
    <t>MegaP_hMMP7_GluC_OS_QStar-Pulsar_20080108.02196.02196.2</t>
  </si>
  <si>
    <t>MegaP_hMMP7_GluC_OS_QStar-Pulsar_20080108.02198.02198.2</t>
  </si>
  <si>
    <t>MegaP_hMMP7_GluC_OS_QStar-Pulsar_20080108.02203.02203.3</t>
  </si>
  <si>
    <t>15/88</t>
  </si>
  <si>
    <t>R.n[89.01]LK[156.13]GIVPLAK[156.13]VDC[160.03]TANTNTC[160.03]NK[156.13]YG.V</t>
  </si>
  <si>
    <t>MegaP_hMMP7_GluC_OS_QStar-Pulsar_20080108.02204.02204.3</t>
  </si>
  <si>
    <t>MegaP_hMMP7_GluC_OS_QStar-Pulsar_20080108.02210.02210.3</t>
  </si>
  <si>
    <t>MegaP_hMMP7_GluC_OS_QStar-Pulsar_20080108.02212.02212.2</t>
  </si>
  <si>
    <t>MegaP_hMMP7_GluC_OS_QStar-Pulsar_20080108.02214.02214.2</t>
  </si>
  <si>
    <t>MegaP_hMMP7_GluC_OS_QStar-Pulsar_20080108.02215.02215.2</t>
  </si>
  <si>
    <t>MegaP_hMMP7_GluC_OS_QStar-Pulsar_20080108.02218.02218.2</t>
  </si>
  <si>
    <t>MegaP_hMMP7_GluC_OS_QStar-Pulsar_20080108.02220.02220.2</t>
  </si>
  <si>
    <t>9/14</t>
  </si>
  <si>
    <t>MegaP_hMMP7_GluC_OS_QStar-Pulsar_20080108.02238.02238.3</t>
  </si>
  <si>
    <t>MegaP_hMMP7_GluC_OS_QStar-Pulsar_20080108.02244.02244.2</t>
  </si>
  <si>
    <t>MegaP_hMMP7_GluC_OS_QStar-Pulsar_20080108.02260.02260.2</t>
  </si>
  <si>
    <t>H.n[89.01]LYTK[156.13]DIDIHE.V</t>
  </si>
  <si>
    <t>MegaP_hMMP7_GluC_OS_QStar-Pulsar_20080108.02262.02262.3</t>
  </si>
  <si>
    <t>MegaP_hMMP7_GluC_OS_QStar-Pulsar_20080108.02275.02275.3</t>
  </si>
  <si>
    <t>17/84</t>
  </si>
  <si>
    <t>MegaP_hMMP7_GluC_OS_QStar-Pulsar_20080108.02278.02278.2</t>
  </si>
  <si>
    <t>MegaP_hMMP7_GluC_OS_QStar-Pulsar_20080108.02279.02279.3</t>
  </si>
  <si>
    <t>sp|P54819|KAD2_HUMAN,sp|P54819-2|KAD2_HUMAN,sp|P54819-3|KAD2_HUMAN,sp|P54819-5|KAD2_HUMAN</t>
  </si>
  <si>
    <t>MegaP_hMMP7_GluC_OS_QStar-Pulsar_20080108.02286.02286.3</t>
  </si>
  <si>
    <t>MegaP_hMMP7_GluC_OS_QStar-Pulsar_20080108.02287.02287.2</t>
  </si>
  <si>
    <t>A.n[89.01]LK[156.13]GAVDGGLSIPHS.T</t>
  </si>
  <si>
    <t>sp|P46777|RL5_HUMAN</t>
  </si>
  <si>
    <t>60S ribosomal protein L5 OS=Homo sapiens GN=RPL5 PE=1 SV=3</t>
  </si>
  <si>
    <t>MegaP_hMMP7_GluC_OS_QStar-Pulsar_20080108.02296.02296.2</t>
  </si>
  <si>
    <t>MegaP_hMMP7_GluC_OS_QStar-Pulsar_20080108.02300.02300.2</t>
  </si>
  <si>
    <t>MegaP_hMMP7_GluC_OS_QStar-Pulsar_20080108.02312.02312.3</t>
  </si>
  <si>
    <t>MegaP_hMMP7_GluC_OS_QStar-Pulsar_20080108.02316.02316.3</t>
  </si>
  <si>
    <t>MegaP_hMMP7_GluC_OS_QStar-Pulsar_20080108.02318.02318.2</t>
  </si>
  <si>
    <t>MegaP_hMMP7_GluC_OS_QStar-Pulsar_20080108.02323.02323.2</t>
  </si>
  <si>
    <t>MegaP_hMMP7_GluC_OS_QStar-Pulsar_20080108.02324.02324.2</t>
  </si>
  <si>
    <t>MegaP_hMMP7_GluC_OS_QStar-Pulsar_20080108.02326.02326.2</t>
  </si>
  <si>
    <t>MegaP_hMMP7_GluC_OS_QStar-Pulsar_20080108.02328.02328.2</t>
  </si>
  <si>
    <t>MegaP_hMMP7_GluC_OS_QStar-Pulsar_20080108.02330.02330.2</t>
  </si>
  <si>
    <t>MegaP_hMMP7_GluC_OS_QStar-Pulsar_20080108.02338.02338.3</t>
  </si>
  <si>
    <t>MegaP_hMMP7_GluC_OS_QStar-Pulsar_20080108.02354.02354.2</t>
  </si>
  <si>
    <t>S.n[89.01]LVTSK[156.13]LAGGQVE.-</t>
  </si>
  <si>
    <t>sp|O43768|ENSA_HUMAN</t>
  </si>
  <si>
    <t>Alpha-endosulfine OS=Homo sapiens GN=ENSA PE=1 SV=1</t>
  </si>
  <si>
    <t>MegaP_hMMP7_GluC_OS_QStar-Pulsar_20080108.02363.02363.3</t>
  </si>
  <si>
    <t>MegaP_hMMP7_GluC_OS_QStar-Pulsar_20080108.02368.02368.2</t>
  </si>
  <si>
    <t>R.n[89.01]LRSSVPGVRLLQD.S</t>
  </si>
  <si>
    <t>MegaP_hMMP7_GluC_OS_QStar-Pulsar_20080108.02383.02383.2</t>
  </si>
  <si>
    <t>R.n[89.01]LTDYISK[156.13]VK[156.13]E.-</t>
  </si>
  <si>
    <t>sp|O75915|PRAF3_HUMAN</t>
  </si>
  <si>
    <t>PRA1 family protein 3 OS=Homo sapiens GN=ARL6IP5 PE=1 SV=1</t>
  </si>
  <si>
    <t>MegaP_hMMP7_GluC_OS_QStar-Pulsar_20080108.02387.02387.3</t>
  </si>
  <si>
    <t>MegaP_hMMP7_GluC_OS_QStar-Pulsar_20080108.02392.02392.2</t>
  </si>
  <si>
    <t>R.n[89.01]LK[156.13]GLLQSGQIPGRE.R</t>
  </si>
  <si>
    <t>sp|P09661|RU2A_HUMAN</t>
  </si>
  <si>
    <t>U2 small nuclear ribonucleoprotein A' OS=Homo sapiens GN=SNRPA1 PE=1 SV=2</t>
  </si>
  <si>
    <t>MegaP_hMMP7_GluC_OS_QStar-Pulsar_20080108.02394.02394.2</t>
  </si>
  <si>
    <t>MegaP_hMMP7_GluC_OS_QStar-Pulsar_20080108.02406.02406.2</t>
  </si>
  <si>
    <t>MegaP_hMMP7_GluC_OS_QStar-Pulsar_20080108.02408.02408.3</t>
  </si>
  <si>
    <t>R.n[89.01]IVSYTRDLPHITVDR.L</t>
  </si>
  <si>
    <t>MegaP_hMMP7_GluC_OS_QStar-Pulsar_20080108.02416.02416.2</t>
  </si>
  <si>
    <t>10/42</t>
  </si>
  <si>
    <t>G.n[89.01]LAGK[156.13]DPVQC[160.03]SRDVVIC[160.03]PDASLE.D</t>
  </si>
  <si>
    <t>MegaP_hMMP7_GluC_OS_QStar-Pulsar_20080108.02418.02418.2</t>
  </si>
  <si>
    <t>MegaP_hMMP7_GluC_OS_QStar-Pulsar_20080108.02422.02422.2</t>
  </si>
  <si>
    <t>MegaP_hMMP7_GluC_OS_QStar-Pulsar_20080108.02428.02428.2</t>
  </si>
  <si>
    <t>A.n[89.01]LK[156.13]NNSNDIVNAI.M</t>
  </si>
  <si>
    <t>MegaP_hMMP7_GluC_OS_QStar-Pulsar_20080108.02431.02431.2</t>
  </si>
  <si>
    <t>MegaP_hMMP7_GluC_OS_QStar-Pulsar_20080108.02436.02436.2</t>
  </si>
  <si>
    <t>MegaP_hMMP7_GluC_OS_QStar-Pulsar_20080108.02443.02443.2</t>
  </si>
  <si>
    <t>R.n[89.01]LIGDAAK[156.13]NQVALNPQN.T</t>
  </si>
  <si>
    <t>MegaP_hMMP7_GluC_OS_QStar-Pulsar_20080108.02444.02444.3</t>
  </si>
  <si>
    <t>11/52</t>
  </si>
  <si>
    <t>MegaP_hMMP7_GluC_OS_QStar-Pulsar_20080108.02458.02458.2</t>
  </si>
  <si>
    <t>S.n[89.01]LC[160.03]HVLPDLK[156.13]EE.D</t>
  </si>
  <si>
    <t>sp|Q13263|TIF1B_HUMAN,sp|Q13263-2|TIF1B_HUMAN</t>
  </si>
  <si>
    <t>Transcription intermediary factor 1-beta OS=Homo sapiens GN=TRIM28 PE=1 SV=5</t>
  </si>
  <si>
    <t>MegaP_hMMP7_GluC_OS_QStar-Pulsar_20080108.02467.02467.2</t>
  </si>
  <si>
    <t>sp|P50991|TCPD_HUMAN</t>
  </si>
  <si>
    <t>MegaP_hMMP7_GluC_OS_QStar-Pulsar_20080108.02468.02468.2</t>
  </si>
  <si>
    <t>D.n[89.01]LVRPLLPK[156.13]DME.R</t>
  </si>
  <si>
    <t>sp|P18583|SON_HUMAN,sp|P18583-2|SON_HUMAN,sp|P18583-3|SON_HUMAN,sp|P18583-4|SON_HUMAN,sp|P18583-5|SON_HUMAN,sp|P18583-6|SON_HUMAN,sp|P18583-7|SON_HUMAN,sp|P18583-9|SON_HUMAN,sp|P18583-10|SON_HUMAN</t>
  </si>
  <si>
    <t>Protein SON OS=Homo sapiens GN=SON PE=1 SV=4</t>
  </si>
  <si>
    <t>MegaP_hMMP7_GluC_OS_QStar-Pulsar_20080108.02472.02472.3</t>
  </si>
  <si>
    <t>MegaP_hMMP7_GluC_OS_QStar-Pulsar_20080108.02475.02475.2</t>
  </si>
  <si>
    <t>G.n[89.01]LTSIANLPK[156.13]LNK[156.13].L</t>
  </si>
  <si>
    <t>sp|P39687|AN32A_HUMAN</t>
  </si>
  <si>
    <t>Acidic leucine-rich nuclear phosphoprotein 32 family member A OS=Homo sapiens GN=ANP32A PE=1 SV=1</t>
  </si>
  <si>
    <t>MegaP_hMMP7_GluC_OS_QStar-Pulsar_20080108.02492.02492.3</t>
  </si>
  <si>
    <t>P.n[89.01]LLVRVIQSADSK[156.13]TK[156.13]E.N</t>
  </si>
  <si>
    <t>sp|O00410|IPO5_HUMAN,sp|O00410-2|IPO5_HUMAN,sp|O00410-3|IPO5_HUMAN</t>
  </si>
  <si>
    <t>Importin-5 OS=Homo sapiens GN=IPO5 PE=1 SV=4</t>
  </si>
  <si>
    <t>MegaP_hMMP7_GluC_OS_QStar-Pulsar_20080108.02502.02502.2</t>
  </si>
  <si>
    <t>S.n[89.01]LK[156.13]FIPGK[156.13]PVLE.T</t>
  </si>
  <si>
    <t>sp|Q9UMS0|NFU1_HUMAN</t>
  </si>
  <si>
    <t>NFU1 iron-sulfur cluster scaffold homolog, mitochondrial OS=Homo sapiens GN=NFU1 PE=1 SV=2</t>
  </si>
  <si>
    <t>MegaP_hMMP7_GluC_OS_QStar-Pulsar_20080108.02507.02507.2</t>
  </si>
  <si>
    <t>sp|P16403|H12_HUMAN,sp|Q02539|H11_HUMAN,sp|P16402|H13_HUMAN,sp|P10412|H14_HUMAN,sp|P22492|H1T_HUMAN</t>
  </si>
  <si>
    <t>MegaP_hMMP7_GluC_OS_QStar-Pulsar_20080108.02511.02511.2</t>
  </si>
  <si>
    <t>MegaP_hMMP7_GluC_OS_QStar-Pulsar_20080108.02514.02514.2</t>
  </si>
  <si>
    <t>MegaP_hMMP7_GluC_OS_QStar-Pulsar_20080108.02528.02528.2</t>
  </si>
  <si>
    <t>P.n[89.01]LIAK[156.13]ADTLTPEE.C</t>
  </si>
  <si>
    <t>sp|Q16181|SEPT7_HUMAN</t>
  </si>
  <si>
    <t>Septin-7 OS=Homo sapiens GN=SEPT7 PE=1 SV=2</t>
  </si>
  <si>
    <t>MegaP_hMMP7_GluC_OS_QStar-Pulsar_20080108.02531.02531.2</t>
  </si>
  <si>
    <t>Q.n[89.01]LIVANAGDSRC[160.03]VVSE.A</t>
  </si>
  <si>
    <t>MegaP_hMMP7_GluC_OS_QStar-Pulsar_20080108.02534.02534.3</t>
  </si>
  <si>
    <t>20/76</t>
  </si>
  <si>
    <t>F.n[89.01]LK[156.13]SGDAAIVDMVPGK[156.13]PMC[160.03]VE.S</t>
  </si>
  <si>
    <t>MegaP_hMMP7_GluC_OS_QStar-Pulsar_20080108.02538.02538.3</t>
  </si>
  <si>
    <t>13/76</t>
  </si>
  <si>
    <t>MegaP_hMMP7_GluC_OS_QStar-Pulsar_20080108.02550.02550.2</t>
  </si>
  <si>
    <t>K.n[89.01]IVVVTAGVRQQE.G</t>
  </si>
  <si>
    <t>MegaP_hMMP7_GluC_OS_QStar-Pulsar_20080108.02562.02562.2</t>
  </si>
  <si>
    <t>MegaP_hMMP7_GluC_OS_QStar-Pulsar_20080108.02563.02563.2</t>
  </si>
  <si>
    <t>A.n[89.01]LQC[160.03]AILSPAFK[156.13]VRE.F</t>
  </si>
  <si>
    <t>sp|P34932|HSP74_HUMAN,sp|Q92598|HS105_HUMAN,sp|Q92598-2|HS105_HUMAN,sp|Q92598-3|HS105_HUMAN,sp|O95757|HS74L_HUMAN</t>
  </si>
  <si>
    <t>MegaP_hMMP7_GluC_OS_QStar-Pulsar_20080108.02566.02566.2</t>
  </si>
  <si>
    <t>MegaP_hMMP7_GluC_OS_QStar-Pulsar_20080108.02572.02572.3</t>
  </si>
  <si>
    <t>MegaP_hMMP7_GluC_OS_QStar-Pulsar_20080108.02576.02576.2</t>
  </si>
  <si>
    <t>MegaP_hMMP7_GluC_OS_QStar-Pulsar_20080108.02579.02579.2</t>
  </si>
  <si>
    <t>MegaP_hMMP7_GluC_OS_QStar-Pulsar_20080108.02583.02583.2</t>
  </si>
  <si>
    <t>D.n[89.01]LVANFFPK[156.13]K[156.13].L</t>
  </si>
  <si>
    <t>MegaP_hMMP7_GluC_OS_QStar-Pulsar_20080108.02584.02584.2</t>
  </si>
  <si>
    <t>sp|P61978-2|HNRPK_HUMAN</t>
  </si>
  <si>
    <t>MegaP_hMMP7_GluC_OS_QStar-Pulsar_20080108.02588.02588.2</t>
  </si>
  <si>
    <t>MegaP_hMMP7_GluC_OS_QStar-Pulsar_20080108.02590.02590.2</t>
  </si>
  <si>
    <t>MegaP_hMMP7_GluC_OS_QStar-Pulsar_20080108.02591.02591.2</t>
  </si>
  <si>
    <t>MegaP_hMMP7_GluC_OS_QStar-Pulsar_20080108.02596.02596.2</t>
  </si>
  <si>
    <t>MegaP_hMMP7_GluC_OS_QStar-Pulsar_20080108.02603.02603.2</t>
  </si>
  <si>
    <t>MegaP_hMMP7_GluC_OS_QStar-Pulsar_20080108.02604.02604.2</t>
  </si>
  <si>
    <t>MegaP_hMMP7_GluC_OS_QStar-Pulsar_20080108.02606.02606.2</t>
  </si>
  <si>
    <t>MegaP_hMMP7_GluC_OS_QStar-Pulsar_20080108.02612.02612.2</t>
  </si>
  <si>
    <t>MegaP_hMMP7_GluC_OS_QStar-Pulsar_20080108.02614.02614.2</t>
  </si>
  <si>
    <t>MegaP_hMMP7_GluC_OS_QStar-Pulsar_20080108.02615.02615.2</t>
  </si>
  <si>
    <t>N.n[89.01]IIFLSDQTK[156.13]EK[156.13]E.-</t>
  </si>
  <si>
    <t>sp|Q04837|SSBP_HUMAN</t>
  </si>
  <si>
    <t>Single-stranded DNA-binding protein, mitochondrial OS=Homo sapiens GN=SSBP1 PE=1 SV=1</t>
  </si>
  <si>
    <t>MegaP_hMMP7_GluC_OS_QStar-Pulsar_20080108.02620.02620.3</t>
  </si>
  <si>
    <t>MegaP_hMMP7_GluC_OS_QStar-Pulsar_20080108.02626.02626.2</t>
  </si>
  <si>
    <t>MegaP_hMMP7_GluC_OS_QStar-Pulsar_20080108.02643.02643.3</t>
  </si>
  <si>
    <t>MegaP_hMMP7_GluC_OS_QStar-Pulsar_20080108.02646.02646.2</t>
  </si>
  <si>
    <t>Q.n[89.01]LFIGNLPHEVDK[156.13]SE.L</t>
  </si>
  <si>
    <t>sp|Q13283|G3BP1_HUMAN</t>
  </si>
  <si>
    <t>Ras GTPase-activating protein-binding protein 1 OS=Homo sapiens GN=G3BP1 PE=1 SV=1</t>
  </si>
  <si>
    <t>MegaP_hMMP7_GluC_OS_QStar-Pulsar_20080108.02650.02650.2</t>
  </si>
  <si>
    <t>MegaP_hMMP7_GluC_OS_QStar-Pulsar_20080108.02656.02656.3</t>
  </si>
  <si>
    <t>MegaP_hMMP7_GluC_OS_QStar-Pulsar_20080108.02659.02659.2</t>
  </si>
  <si>
    <t>A.n[89.01]LIATGGDINAAIER.L</t>
  </si>
  <si>
    <t>sp|Q9UMX0|UBQL1_HUMAN</t>
  </si>
  <si>
    <t>Ubiquilin-1 OS=Homo sapiens GN=UBQLN1 PE=1 SV=2</t>
  </si>
  <si>
    <t>MegaP_hMMP7_GluC_OS_QStar-Pulsar_20080108.02678.02678.2</t>
  </si>
  <si>
    <t>MegaP_hMMP7_GluC_OS_QStar-Pulsar_20080108.02686.02686.3</t>
  </si>
  <si>
    <t>MegaP_hMMP7_GluC_OS_QStar-Pulsar_20080108.02694.02694.3</t>
  </si>
  <si>
    <t>A.n[89.01]LK[156.13]AFPSAINQDNYPNGGFTAEQ.L</t>
  </si>
  <si>
    <t>MegaP_hMMP7_GluC_OS_QStar-Pulsar_20080108.02703.02703.2</t>
  </si>
  <si>
    <t>MegaP_hMMP7_GluC_OS_QStar-Pulsar_20080108.02710.02710.2</t>
  </si>
  <si>
    <t>K.n[89.01]IK[156.13]WGDAGAEYVVE.S</t>
  </si>
  <si>
    <t>MegaP_hMMP7_GluC_OS_QStar-Pulsar_20080108.02722.02722.2</t>
  </si>
  <si>
    <t>F.n[89.01]LFRDGDILGK[156.13]YVD.-</t>
  </si>
  <si>
    <t>MegaP_hMMP7_GluC_OS_QStar-Pulsar_20080108.02732.02732.2</t>
  </si>
  <si>
    <t>MegaP_hMMP7_GluC_OS_QStar-Pulsar_20080108.02734.02734.2</t>
  </si>
  <si>
    <t>MegaP_hMMP7_GluC_OS_QStar-Pulsar_20080108.02735.02735.2</t>
  </si>
  <si>
    <t>K.n[89.01]LGVLHPDVITK[156.13]FE.L</t>
  </si>
  <si>
    <t>sp|Q9NSD9|SYFB_HUMAN</t>
  </si>
  <si>
    <t>Phenylalanine--tRNA ligase beta subunit OS=Homo sapiens GN=FARSB PE=1 SV=3</t>
  </si>
  <si>
    <t>MegaP_hMMP7_GluC_OS_QStar-Pulsar_20080108.02736.02736.2</t>
  </si>
  <si>
    <t>MegaP_hMMP7_GluC_OS_QStar-Pulsar_20080108.02739.02739.2</t>
  </si>
  <si>
    <t>A.n[89.01]LK[156.13]AFPSAINQDNYPNGGFTAE.Q</t>
  </si>
  <si>
    <t>MegaP_hMMP7_GluC_OS_QStar-Pulsar_20080108.02740.02740.2</t>
  </si>
  <si>
    <t>A.n[89.01]VLLPK[156.13]K[156.13]TE.S</t>
  </si>
  <si>
    <t>MegaP_hMMP7_GluC_OS_QStar-Pulsar_20080108.02754.02754.3</t>
  </si>
  <si>
    <t>10/52</t>
  </si>
  <si>
    <t>MegaP_hMMP7_GluC_OS_QStar-Pulsar_20080108.02758.02758.2</t>
  </si>
  <si>
    <t>MegaP_hMMP7_GluC_OS_QStar-Pulsar_20080108.02760.02760.2</t>
  </si>
  <si>
    <t>MegaP_hMMP7_GluC_OS_QStar-Pulsar_20080108.02762.02762.2</t>
  </si>
  <si>
    <t>MegaP_hMMP7_GluC_OS_QStar-Pulsar_20080108.02766.02766.2</t>
  </si>
  <si>
    <t>MegaP_hMMP7_GluC_OS_QStar-Pulsar_20080108.02779.02779.2</t>
  </si>
  <si>
    <t>R.n[89.01]IIALDGDTK[156.13]NSTFSE.L</t>
  </si>
  <si>
    <t>sp|P29401|TKT_HUMAN,sp|P29401-2|TKT_HUMAN</t>
  </si>
  <si>
    <t>MegaP_hMMP7_GluC_OS_QStar-Pulsar_20080108.02782.02782.2</t>
  </si>
  <si>
    <t>V.n[89.01]LK[156.13]GDGPVQGIINFE.Q</t>
  </si>
  <si>
    <t>MegaP_hMMP7_GluC_OS_QStar-Pulsar_20080108.02790.02790.2</t>
  </si>
  <si>
    <t>11/38</t>
  </si>
  <si>
    <t>MegaP_hMMP7_GluC_OS_QStar-Pulsar_20080108.02812.02812.2</t>
  </si>
  <si>
    <t>K.n[89.01]LRFPAEDEFPD.L</t>
  </si>
  <si>
    <t>MegaP_hMMP7_GluC_OS_QStar-Pulsar_20080108.02814.02814.2</t>
  </si>
  <si>
    <t>MegaP_hMMP7_GluC_OS_QStar-Pulsar_20080108.02822.02822.3</t>
  </si>
  <si>
    <t>12/76</t>
  </si>
  <si>
    <t>MegaP_hMMP7_GluC_OS_QStar-Pulsar_20080108.02830.02830.2</t>
  </si>
  <si>
    <t>9/36</t>
  </si>
  <si>
    <t>R.n[89.01]LIGDAAK[156.13]NQVALNPQNTVF.D</t>
  </si>
  <si>
    <t>MegaP_hMMP7_GluC_OS_QStar-Pulsar_20080108.02843.02843.2</t>
  </si>
  <si>
    <t>R.n[89.01]LVK[156.13]AFQYVE.T</t>
  </si>
  <si>
    <t>sp|P30048|PRDX3_HUMAN</t>
  </si>
  <si>
    <t>Thioredoxin-dependent peroxide reductase, mitochondrial OS=Homo sapiens GN=PRDX3 PE=1 SV=3</t>
  </si>
  <si>
    <t>MegaP_hMMP7_GluC_OS_QStar-Pulsar_20080108.02847.02847.2</t>
  </si>
  <si>
    <t>MegaP_hMMP7_GluC_OS_QStar-Pulsar_20080108.02854.02854.2</t>
  </si>
  <si>
    <t>R.n[89.01]LLLDIPLQTPHK[156.13].L</t>
  </si>
  <si>
    <t>sp|P49792|RBP2_HUMAN</t>
  </si>
  <si>
    <t>E3 SUMO-protein ligase RanBP2 OS=Homo sapiens GN=RANBP2 PE=1 SV=2</t>
  </si>
  <si>
    <t>MegaP_hMMP7_GluC_OS_QStar-Pulsar_20080108.02878.02878.2</t>
  </si>
  <si>
    <t>MegaP_hMMP7_GluC_OS_QStar-Pulsar_20080108.02882.02882.2</t>
  </si>
  <si>
    <t>K.n[89.01]LRQAFQGDSIPVFD.L</t>
  </si>
  <si>
    <t>sp|O95336|6PGL_HUMAN</t>
  </si>
  <si>
    <t>6-phosphogluconolactonase OS=Homo sapiens GN=PGLS PE=1 SV=2</t>
  </si>
  <si>
    <t>MegaP_hMMP7_GluC_OS_QStar-Pulsar_20080108.02884.02884.3</t>
  </si>
  <si>
    <t>MegaP_hMMP7_GluC_OS_QStar-Pulsar_20080108.02890.02890.2</t>
  </si>
  <si>
    <t>MegaP_hMMP7_GluC_OS_QStar-Pulsar_20080108.02908.02908.3</t>
  </si>
  <si>
    <t>MegaP_hMMP7_GluC_OS_QStar-Pulsar_20080108.02911.02911.2</t>
  </si>
  <si>
    <t>S.n[89.01]LSK[156.13]LGDVYVNDAFG.T</t>
  </si>
  <si>
    <t>MegaP_hMMP7_GluC_OS_QStar-Pulsar_20080108.02914.02914.3</t>
  </si>
  <si>
    <t>13/84</t>
  </si>
  <si>
    <t>G.n[89.01]VTIAQGGVLPNIQAVLLPK[156.13]K[156.13]TE.S</t>
  </si>
  <si>
    <t>MegaP_hMMP7_GluC_OS_QStar-Pulsar_20080108.02915.02915.3</t>
  </si>
  <si>
    <t>14/84</t>
  </si>
  <si>
    <t>K.n[89.01]VTIAQGGVLPNIQAVLLPK[156.13]K[156.13]TE.S</t>
  </si>
  <si>
    <t>sp|P20671|H2A1D_HUMAN</t>
  </si>
  <si>
    <t>Histone H2A type 1-D OS=Homo sapiens GN=HIST1H2AD PE=1 SV=2</t>
  </si>
  <si>
    <t>MegaP_hMMP7_GluC_OS_QStar-Pulsar_20080108.02923.02923.2</t>
  </si>
  <si>
    <t>D.n[89.01]LVANFFPK[156.13]K[156.13]LLE.L</t>
  </si>
  <si>
    <t>MegaP_hMMP7_GluC_OS_QStar-Pulsar_20080108.02935.02935.3</t>
  </si>
  <si>
    <t>MegaP_hMMP7_GluC_OS_QStar-Pulsar_20080108.02939.02939.3</t>
  </si>
  <si>
    <t>MegaP_hMMP7_GluC_OS_QStar-Pulsar_20080108.02942.02942.2</t>
  </si>
  <si>
    <t>MegaP_hMMP7_GluC_OS_QStar-Pulsar_20080108.02963.02963.2</t>
  </si>
  <si>
    <t>K.n[89.01]LLGK[156.13]VTIAQGGVLPNIQA.V</t>
  </si>
  <si>
    <t>MegaP_hMMP7_GluC_OS_QStar-Pulsar_20080108.02967.02967.2</t>
  </si>
  <si>
    <t>MegaP_hMMP7_GluC_OS_QStar-Pulsar_20080108.02978.02978.2</t>
  </si>
  <si>
    <t>MegaP_hMMP7_GluC_OS_QStar-Pulsar_20080108.02979.02979.3</t>
  </si>
  <si>
    <t>MegaP_hMMP7_GluC_OS_QStar-Pulsar_20080108.02983.02983.2</t>
  </si>
  <si>
    <t>MegaP_hMMP7_GluC_OS_QStar-Pulsar_20080108.02986.02986.2</t>
  </si>
  <si>
    <t>MegaP_hMMP7_GluC_OS_QStar-Pulsar_20080108.02991.02991.2</t>
  </si>
  <si>
    <t>MegaP_hMMP7_GluC_OS_QStar-Pulsar_20080108.03004.03004.3</t>
  </si>
  <si>
    <t>MegaP_hMMP7_GluC_OS_QStar-Pulsar_20080108.03021.03021.2</t>
  </si>
  <si>
    <t>Q.n[89.01]MVLSGVDTVLGK[156.13]SEE.W</t>
  </si>
  <si>
    <t>sp|O60664|PLIN3_HUMAN,sp|O60664-2|PLIN3_HUMAN,sp|O60664-3|PLIN3_HUMAN,sp|O60664-4|PLIN3_HUMAN</t>
  </si>
  <si>
    <t>Perilipin-3 OS=Homo sapiens GN=PLIN3 PE=1 SV=3</t>
  </si>
  <si>
    <t>MegaP_hMMP7_GluC_OS_QStar-Pulsar_20080108.03033.03033.2</t>
  </si>
  <si>
    <t>N.n[89.01]IIFLSDQTK[156.13]E.K</t>
  </si>
  <si>
    <t>MegaP_hMMP7_GluC_OS_QStar-Pulsar_20080108.03044.03044.3</t>
  </si>
  <si>
    <t>MegaP_hMMP7_GluC_OS_QStar-Pulsar_20080108.03059.03059.2</t>
  </si>
  <si>
    <t>MegaP_hMMP7_GluC_OS_QStar-Pulsar_20080108.03104.03104.2</t>
  </si>
  <si>
    <t>M.n[89.01]LAQFIDK[156.13]PVC[160.03]F.V</t>
  </si>
  <si>
    <t>MegaP_hMMP7_GluC_OS_QStar-Pulsar_20080108.03109.03109.3</t>
  </si>
  <si>
    <t>MegaP_hMMP7_GluC_OS_QStar-Pulsar_20080108.03133.03133.3</t>
  </si>
  <si>
    <t>MegaP_hMMP7_GluC_OS_QStar-Pulsar_20080108.03139.03139.2</t>
  </si>
  <si>
    <t>MegaP_hMMP7_GluC_OS_QStar-Pulsar_20080108.03148.03148.2</t>
  </si>
  <si>
    <t>MegaP_hMMP7_GluC_OS_QStar-Pulsar_20080108.03151.03151.3</t>
  </si>
  <si>
    <t>14/92</t>
  </si>
  <si>
    <t>Q.n[89.01]ILLGPNTGLSGGMPGALPSLPGK[156.13]I.-</t>
  </si>
  <si>
    <t>sp|Q9NS69|TOM22_HUMAN</t>
  </si>
  <si>
    <t>Mitochondrial import receptor subunit TOM22 homolog OS=Homo sapiens GN=TOMM22 PE=1 SV=3</t>
  </si>
  <si>
    <t>MegaP_hMMP7_GluC_OS_QStar-Pulsar_20080108.03176.03176.3</t>
  </si>
  <si>
    <t>MegaP_hMMP7_GluC_OS_QStar-Pulsar_20080108.03191.03191.2</t>
  </si>
  <si>
    <t>MegaP_hMMP7_GluC_OS_QStar-Pulsar_20080108.03205.03205.3</t>
  </si>
  <si>
    <t>MegaP_hMMP7_GluC_OS_QStar-Pulsar_20080108.03258.03258.3</t>
  </si>
  <si>
    <t>MegaP_hMMP7_GluC_OS_QStar-Pulsar_20080108.03318.03318.3</t>
  </si>
  <si>
    <t>MegaP_hMMP7_GluC_OS_QStar-Pulsar_20080108.03371.03371.3</t>
  </si>
  <si>
    <t>MegaP_hMMP7_GluC_OS_QStar-Pulsar_20080108.03406.03406.3</t>
  </si>
  <si>
    <t>MegaP_hMMP7_GluC_OS_QStar-Pulsar_20080108.03428.03428.3</t>
  </si>
  <si>
    <t>MegaP_hMMP7_GluC_OS_QStar-Pulsar_20080108.03432.03432.3</t>
  </si>
  <si>
    <t>MegaP_hMMP7_GluC_OS_QStar-Pulsar_20080108.03446.03446.2</t>
  </si>
  <si>
    <t>MegaP_hMMP7_GluC_OS_QStar-Pulsar_20080108.03458.03458.3</t>
  </si>
  <si>
    <t>MegaP_hMMP7_GluC_OS_QStar-Pulsar_20080108.03467.03467.2</t>
  </si>
  <si>
    <t>E.n[89.01]VLLLK[156.13]TK[156.13]I.R</t>
  </si>
  <si>
    <t>sp|A8MZH6|OOSP1_HUMAN</t>
  </si>
  <si>
    <t>Oocyte-secreted protein 1 homolog OS=Homo sapiens GN=OOSP1 PE=3 SV=1</t>
  </si>
  <si>
    <t>MegaP_hMMP7_GluC_OS_QStar-Pulsar_20080108.03484.03484.3</t>
  </si>
  <si>
    <t>MegaP_hMMP7_GluC_OS_QStar-Pulsar_20080108.03510.03510.3</t>
  </si>
  <si>
    <t>MegaP_hMMP7_GluC_OS_QStar-Pulsar_20080108.03535.03535.3</t>
  </si>
  <si>
    <t>MegaP_hMMP7_GluC_OS_QStar-Pulsar_20080108.03562.03562.3</t>
  </si>
  <si>
    <t>MegaP_hMMP7_GluC_OS_QStar-Pulsar_20080108.04213.04213.2</t>
  </si>
  <si>
    <t>MegaP_hMMP7_GluC_OS_QStar-Pulsar_20080108.04216.04216.3</t>
  </si>
  <si>
    <t>MegaP_hMMP7_GluC_OS_QStar-Pulsar_20080108.04412.04412.3</t>
  </si>
  <si>
    <t>E.n[29.04]TQVRTPVTGVSPK[156.13]K[156.13].A</t>
  </si>
  <si>
    <t>sp|E7ETH6|Z587B_HUMAN</t>
  </si>
  <si>
    <t>Zinc finger protein 587B OS=Homo sapiens GN=ZNF587B PE=2 SV=1</t>
  </si>
  <si>
    <t>MegaP_hMMP7_GluC_OS_QStar-Pulsar_20080108.04422.04422.2</t>
  </si>
  <si>
    <t>4/14</t>
  </si>
  <si>
    <t>F.n[89.01]MC[160.03]YEGDPE.K</t>
  </si>
  <si>
    <t>sp|Q08AH1|ACSM1_HUMAN</t>
  </si>
  <si>
    <t>Acyl-coenzyme A synthetase ACSM1, mitochondrial OS=Homo sapiens GN=ACSM1 PE=2 SV=1</t>
  </si>
  <si>
    <t>MegaP_hMMP7_GluC_OS_QStar-Pulsar_20080108.04432.04432.2</t>
  </si>
  <si>
    <t>MegaP_hMMP7_GluC_OS_QStar-Pulsar_20080108.04437.04437.4</t>
  </si>
  <si>
    <t>18/114</t>
  </si>
  <si>
    <t>E.n[89.01]NSRIVRVRVIAGIGLAK[156.13]K[156.13]DI.L</t>
  </si>
  <si>
    <t>sp|P46934-4|NEDD4_HUMAN</t>
  </si>
  <si>
    <t>Isoform 4 of E3 ubiquitin-protein ligase NEDD4 OS=Homo sapiens GN=NEDD4</t>
  </si>
  <si>
    <t>MegaP_hMMP7_GluC_OS_QStar-Pulsar_20080108.04439.04439.3</t>
  </si>
  <si>
    <t>MegaP_hMMP7_GluC_OS_QStar-Pulsar_20080108.04444.04444.3</t>
  </si>
  <si>
    <t>W.n[89.01]LK[156.13]K[156.13]RTGPAATTLPDGAAAE.S</t>
  </si>
  <si>
    <t>MegaP_hMMP7_GluC_OS_QStar-Pulsar_20080108.04445.04445.2</t>
  </si>
  <si>
    <t>MegaP_hMMP7_GluC_OS_QStar-Pulsar_20080108.04446.04446.3</t>
  </si>
  <si>
    <t>MegaP_hMMP7_GluC_OS_QStar-Pulsar_20080108.04449.04449.3</t>
  </si>
  <si>
    <t>MegaP_hMMP7_GluC_OS_QStar-Pulsar_20080108.04468.04468.2</t>
  </si>
  <si>
    <t>MegaP_hMMP7_GluC_OS_QStar-Pulsar_20080108.04477.04477.3</t>
  </si>
  <si>
    <t>15/92</t>
  </si>
  <si>
    <t>MegaP_hMMP7_GluC_OS_QStar-Pulsar_20080108.04479.04479.2</t>
  </si>
  <si>
    <t>MegaP_hMMP7_GluC_OS_QStar-Pulsar_20080108.04485.04485.4</t>
  </si>
  <si>
    <t>17/90</t>
  </si>
  <si>
    <t>MegaP_hMMP7_GluC_OS_QStar-Pulsar_20080108.04491.04491.2</t>
  </si>
  <si>
    <t>MegaP_hMMP7_GluC_OS_QStar-Pulsar_20080108.04500.04500.3</t>
  </si>
  <si>
    <t>MegaP_hMMP7_GluC_OS_QStar-Pulsar_20080108.04502.04502.2</t>
  </si>
  <si>
    <t>MegaP_hMMP7_GluC_OS_QStar-Pulsar_20080108.04511.04511.3</t>
  </si>
  <si>
    <t>24/84</t>
  </si>
  <si>
    <t>MegaP_hMMP7_GluC_OS_QStar-Pulsar_20080108.04515.04515.4</t>
  </si>
  <si>
    <t>22/120</t>
  </si>
  <si>
    <t>K.n[89.01]LRFPAEDEFPDLSAHNNHMAK[156.13].V</t>
  </si>
  <si>
    <t>MegaP_hMMP7_GluC_OS_QStar-Pulsar_20080108.04519.04519.2</t>
  </si>
  <si>
    <t>MegaP_hMMP7_GluC_OS_QStar-Pulsar_20080108.04523.04523.2</t>
  </si>
  <si>
    <t>MegaP_hMMP7_GluC_OS_QStar-Pulsar_20080108.04527.04527.2</t>
  </si>
  <si>
    <t>MegaP_hMMP7_GluC_OS_QStar-Pulsar_20080108.04541.04541.2</t>
  </si>
  <si>
    <t>MegaP_hMMP7_GluC_OS_QStar-Pulsar_20080108.04543.04543.2</t>
  </si>
  <si>
    <t>MegaP_hMMP7_GluC_OS_QStar-Pulsar_20080108.04545.04545.3</t>
  </si>
  <si>
    <t>MegaP_hMMP7_GluC_OS_QStar-Pulsar_20080108.04548.04548.3</t>
  </si>
  <si>
    <t>MegaP_hMMP7_GluC_OS_QStar-Pulsar_20080108.04549.04549.2</t>
  </si>
  <si>
    <t>MegaP_hMMP7_GluC_OS_QStar-Pulsar_20080108.04550.04550.2</t>
  </si>
  <si>
    <t>D.n[89.01]LK[156.13]DYFTK[156.13]FGE.V</t>
  </si>
  <si>
    <t>sp|Q99729|ROAA_HUMAN,sp|Q99729-2|ROAA_HUMAN,sp|Q99729-3|ROAA_HUMAN,sp|Q99729-4|ROAA_HUMAN</t>
  </si>
  <si>
    <t>MegaP_hMMP7_GluC_OS_QStar-Pulsar_20080108.04552.04552.2</t>
  </si>
  <si>
    <t>MegaP_hMMP7_GluC_OS_QStar-Pulsar_20080108.04553.04553.2</t>
  </si>
  <si>
    <t>MegaP_hMMP7_GluC_OS_QStar-Pulsar_20080108.04555.04555.2</t>
  </si>
  <si>
    <t>MegaP_hMMP7_GluC_OS_QStar-Pulsar_20080108.04560.04560.3</t>
  </si>
  <si>
    <t>MegaP_hMMP7_GluC_OS_QStar-Pulsar_20080108.04564.04564.2</t>
  </si>
  <si>
    <t>MegaP_hMMP7_GluC_OS_QStar-Pulsar_20080108.04565.04565.2</t>
  </si>
  <si>
    <t>MegaP_hMMP7_GluC_OS_QStar-Pulsar_20080108.04571.04571.2</t>
  </si>
  <si>
    <t>MegaP_hMMP7_GluC_OS_QStar-Pulsar_20080108.04572.04572.3</t>
  </si>
  <si>
    <t>MegaP_hMMP7_GluC_OS_QStar-Pulsar_20080108.04582.04582.3</t>
  </si>
  <si>
    <t>MegaP_hMMP7_GluC_OS_QStar-Pulsar_20080108.04586.04586.3</t>
  </si>
  <si>
    <t>MegaP_hMMP7_GluC_OS_QStar-Pulsar_20080108.04589.04589.3</t>
  </si>
  <si>
    <t>MegaP_hMMP7_GluC_OS_QStar-Pulsar_20080108.04590.04590.2</t>
  </si>
  <si>
    <t>MegaP_hMMP7_GluC_OS_QStar-Pulsar_20080108.04592.04592.2</t>
  </si>
  <si>
    <t>MegaP_hMMP7_GluC_OS_QStar-Pulsar_20080108.04610.04610.3</t>
  </si>
  <si>
    <t>MegaP_hMMP8_GluC_JC_QStar-XL_20080502.01563.01563.4</t>
  </si>
  <si>
    <t>17/120</t>
  </si>
  <si>
    <t>A.n[89.01]QK[156.13]GQK[156.13]APAQK[156.13]APAPK[156.13]ASGK[156.13]K[156.13]A.-</t>
  </si>
  <si>
    <t>MegaP_hMMP8_GluC_JC_QStar-XL_20080502.01632.01632.3</t>
  </si>
  <si>
    <t>MegaP_hMMP8_GluC_JC_QStar-XL_20080502.01634.01634.3</t>
  </si>
  <si>
    <t>G.n[29.04]K[156.13]APGTPHSHTK[156.13]PY.V</t>
  </si>
  <si>
    <t>sp|Q07020|RL18_HUMAN</t>
  </si>
  <si>
    <t>60S ribosomal protein L18 OS=Homo sapiens GN=RPL18 PE=1 SV=2</t>
  </si>
  <si>
    <t>MegaP_hMMP8_GluC_JC_QStar-XL_20080502.01638.01638.3</t>
  </si>
  <si>
    <t>MegaP_hMMP8_GluC_JC_QStar-XL_20080502.01655.01655.3</t>
  </si>
  <si>
    <t>MegaP_hMMP8_GluC_JC_QStar-XL_20080502.01752.01752.3</t>
  </si>
  <si>
    <t>N.n[89.01]QNQTQHK[156.13]QRPQATAE.Q</t>
  </si>
  <si>
    <t>sp|Q14157|UBP2L_HUMAN,sp|Q14157-1|UBP2L_HUMAN,sp|Q14157-3|UBP2L_HUMAN,sp|Q14157-4|UBP2L_HUMAN,sp|Q14157-5|UBP2L_HUMAN</t>
  </si>
  <si>
    <t>Ubiquitin-associated protein 2-like OS=Homo sapiens GN=UBAP2L PE=1 SV=2</t>
  </si>
  <si>
    <t>MegaP_hMMP8_GluC_JC_QStar-XL_20080502.01772.01772.4</t>
  </si>
  <si>
    <t>23/102</t>
  </si>
  <si>
    <t>MegaP_hMMP8_GluC_JC_QStar-XL_20080502.01824.01824.4</t>
  </si>
  <si>
    <t>17/78</t>
  </si>
  <si>
    <t>P.n[89.01]VK[156.13]GK[156.13]GK[156.13]VGRPTASK[156.13].A</t>
  </si>
  <si>
    <t>sp|Q9H1E3|NUCKS_HUMAN</t>
  </si>
  <si>
    <t>Nuclear ubiquitous casein and cyclin-dependent kinase substrate 1 OS=Homo sapiens GN=NUCKS1 PE=1 SV=1</t>
  </si>
  <si>
    <t>MegaP_hMMP8_GluC_JC_QStar-XL_20080502.01831.01831.3</t>
  </si>
  <si>
    <t>MegaP_hMMP8_GluC_JC_QStar-XL_20080502.01837.01837.3</t>
  </si>
  <si>
    <t>E.n[29.04]YRHPGASDRPQPTA.M</t>
  </si>
  <si>
    <t>MegaP_hMMP8_GluC_JC_QStar-XL_20080502.01849.01849.3</t>
  </si>
  <si>
    <t>E.n[29.04]VFK[156.13]K[156.13]HGVYNPNK[156.13].L</t>
  </si>
  <si>
    <t>MegaP_hMMP8_GluC_JC_QStar-XL_20080502.01883.01883.3</t>
  </si>
  <si>
    <t>MegaP_hMMP8_GluC_JC_QStar-XL_20080502.01897.01897.3</t>
  </si>
  <si>
    <t>H.n[89.01]QQHHQGPPPGGPGGRSEE.K</t>
  </si>
  <si>
    <t>MegaP_hMMP8_GluC_JC_QStar-XL_20080502.01921.01921.3</t>
  </si>
  <si>
    <t>MegaP_hMMP8_GluC_JC_QStar-XL_20080502.01932.01932.3</t>
  </si>
  <si>
    <t>F.n[29.04]K[156.13]YHHVGK[156.13]LLK[156.13]E.G</t>
  </si>
  <si>
    <t>sp|O00264|PGRC1_HUMAN</t>
  </si>
  <si>
    <t>Membrane-associated progesterone receptor component 1 OS=Homo sapiens GN=PGRMC1 PE=1 SV=3</t>
  </si>
  <si>
    <t>MegaP_hMMP8_GluC_JC_QStar-XL_20080502.01968.01968.4</t>
  </si>
  <si>
    <t>20/114</t>
  </si>
  <si>
    <t>L.n[89.01]LK[156.13]APAK[156.13]K[156.13]K[156.13]GAAAATSSK[156.13]TPS.-</t>
  </si>
  <si>
    <t>sp|Q9UNZ5|L10K_HUMAN</t>
  </si>
  <si>
    <t>Leydig cell tumor 10 kDa protein homolog OS=Homo sapiens GN=C19orf53 PE=1 SV=1</t>
  </si>
  <si>
    <t>MegaP_hMMP8_GluC_JC_QStar-XL_20080502.01984.01984.4</t>
  </si>
  <si>
    <t>12/78</t>
  </si>
  <si>
    <t>E.n[29.04]YVPLPK[156.13]GDVHK[156.13]K[156.13]K[156.13]E.L</t>
  </si>
  <si>
    <t>sp|Q9Y265|RUVB1_HUMAN,sp|Q9Y265-2|RUVB1_HUMAN</t>
  </si>
  <si>
    <t>RuvB-like 1 OS=Homo sapiens GN=RUVBL1 PE=1 SV=1</t>
  </si>
  <si>
    <t>MegaP_hMMP8_GluC_JC_QStar-XL_20080502.01987.01987.3</t>
  </si>
  <si>
    <t>18/48</t>
  </si>
  <si>
    <t>MegaP_hMMP8_GluC_JC_QStar-XL_20080502.02018.02018.3</t>
  </si>
  <si>
    <t>MegaP_hMMP8_GluC_JC_QStar-XL_20080502.02026.02026.4</t>
  </si>
  <si>
    <t>20/132</t>
  </si>
  <si>
    <t>R.n[89.01]LSAK[156.13]PAPPK[156.13]PEPK[156.13]PK[156.13]K[156.13]APAK[156.13]K[156.13]GE.K</t>
  </si>
  <si>
    <t>sp|P05204|HMGN2_HUMAN</t>
  </si>
  <si>
    <t>Non-histone chromosomal protein HMG-17 OS=Homo sapiens GN=HMGN2 PE=1 SV=3</t>
  </si>
  <si>
    <t>MegaP_hMMP8_GluC_JC_QStar-XL_20080502.02027.02027.3</t>
  </si>
  <si>
    <t>N.n[89.01]C[160.03]GK[156.13]PGHLARDC[160.03]DHADE.Q</t>
  </si>
  <si>
    <t>sp|P62633|CNBP_HUMAN</t>
  </si>
  <si>
    <t>MegaP_hMMP8_GluC_JC_QStar-XL_20080502.02063.02063.3</t>
  </si>
  <si>
    <t>S.n[89.01]QHARTSGRVAVEE.V</t>
  </si>
  <si>
    <t>MegaP_hMMP8_GluC_JC_QStar-XL_20080502.02191.02191.3</t>
  </si>
  <si>
    <t>E.n[29.04]SGPSIVHRK[156.13]C[160.03]F.-</t>
  </si>
  <si>
    <t>sp|Q9BYX7|ACTBM_HUMAN,sp|P60709|ACTB_HUMAN,sp|P63261|ACTG_HUMAN,sp|Q6S8J3|POTEE_HUMAN,sp|P0CG38|POTEI_HUMAN,sp|P0CG39|POTEJ_HUMAN,CON_P60712|P60712</t>
  </si>
  <si>
    <t>Putative beta-actin-like protein 3 OS=Homo sapiens GN=POTEKP PE=5 SV=1</t>
  </si>
  <si>
    <t>MegaP_hMMP8_GluC_JC_QStar-XL_20080502.02246.02246.2</t>
  </si>
  <si>
    <t>MegaP_hMMP8_GluC_JC_QStar-XL_20080502.02257.02257.3</t>
  </si>
  <si>
    <t>23/48</t>
  </si>
  <si>
    <t>MegaP_hMMP8_GluC_JC_QStar-XL_20080502.02290.02290.2</t>
  </si>
  <si>
    <t>MegaP_hMMP8_GluC_JC_QStar-XL_20080502.02298.02298.2</t>
  </si>
  <si>
    <t>L.n[89.01]IQK[156.13]NEPTK[156.13]E.N</t>
  </si>
  <si>
    <t>sp|Q9Y5Z4|HEBP2_HUMAN,sp|Q9Y5Z4-2|HEBP2_HUMAN</t>
  </si>
  <si>
    <t>Heme-binding protein 2 OS=Homo sapiens GN=HEBP2 PE=1 SV=1</t>
  </si>
  <si>
    <t>MegaP_hMMP8_GluC_JC_QStar-XL_20080502.02303.02303.3</t>
  </si>
  <si>
    <t>MegaP_hMMP8_GluC_JC_QStar-XL_20080502.02310.02310.3</t>
  </si>
  <si>
    <t>A.n[89.01]QAAAQTNSNAAGK[156.13]QLRK[156.13]E.S</t>
  </si>
  <si>
    <t>MegaP_hMMP8_GluC_JC_QStar-XL_20080502.02321.02321.3</t>
  </si>
  <si>
    <t>MegaP_hMMP8_GluC_JC_QStar-XL_20080502.02350.02350.2</t>
  </si>
  <si>
    <t>Q.n[89.01]VK[156.13]ASSVSTK[156.13]E.S</t>
  </si>
  <si>
    <t>sp|Q13428|TCOF_HUMAN,sp|Q13428-3|TCOF_HUMAN,sp|Q13428-4|TCOF_HUMAN,sp|Q13428-5|TCOF_HUMAN,sp|Q13428-6|TCOF_HUMAN,sp|Q13428-7|TCOF_HUMAN</t>
  </si>
  <si>
    <t>MegaP_hMMP8_GluC_JC_QStar-XL_20080502.02358.02358.4</t>
  </si>
  <si>
    <t>L.n[29.04]PSQQDMDLIDILWRQ.D</t>
  </si>
  <si>
    <t>sp|Q16236|NF2L2_HUMAN</t>
  </si>
  <si>
    <t>Nuclear factor erythroid 2-related factor 2 OS=Homo sapiens GN=NFE2L2 PE=1 SV=3</t>
  </si>
  <si>
    <t>MegaP_hMMP8_GluC_JC_QStar-XL_20080502.02377.02377.3</t>
  </si>
  <si>
    <t>MegaP_hMMP8_GluC_JC_QStar-XL_20080502.02431.02431.3</t>
  </si>
  <si>
    <t>MegaP_hMMP8_GluC_JC_QStar-XL_20080502.02463.02463.3</t>
  </si>
  <si>
    <t>G.n[29.04]AGGGGAGAGQRPSFSI.D</t>
  </si>
  <si>
    <t>sp|O60548|FOXD2_HUMAN</t>
  </si>
  <si>
    <t>Forkhead box protein D2 OS=Homo sapiens GN=FOXD2 PE=2 SV=2</t>
  </si>
  <si>
    <t>MegaP_hMMP8_GluC_JC_QStar-XL_20080502.02479.02479.2</t>
  </si>
  <si>
    <t>E.n[29.04]GNPYVPVH.F</t>
  </si>
  <si>
    <t>CON_P61823|P61823</t>
  </si>
  <si>
    <t xml:space="preserve">RNAS1_BOVIN Ribonuclease pancreatic </t>
  </si>
  <si>
    <t>MegaP_hMMP8_GluC_JC_QStar-XL_20080502.02487.02487.3</t>
  </si>
  <si>
    <t>19/88</t>
  </si>
  <si>
    <t>K.n[89.01]TSATVGPK[156.13]APSGGK[156.13]K[156.13]ATQASQEY.-</t>
  </si>
  <si>
    <t>MegaP_hMMP8_GluC_JC_QStar-XL_20080502.02540.02540.3</t>
  </si>
  <si>
    <t>Y.n[29.04]SC[160.03]VGVFQHGK[156.13]VE.L</t>
  </si>
  <si>
    <t>MegaP_hMMP8_GluC_JC_QStar-XL_20080502.02542.02542.3</t>
  </si>
  <si>
    <t>10/60</t>
  </si>
  <si>
    <t>E.n[29.04]YRPK[156.13]IK[156.13]GEHPGLSIGD.V</t>
  </si>
  <si>
    <t>sp|P09429|HMGB1_HUMAN</t>
  </si>
  <si>
    <t>High mobility group protein B1 OS=Homo sapiens GN=HMGB1 PE=1 SV=3</t>
  </si>
  <si>
    <t>MegaP_hMMP8_GluC_JC_QStar-XL_20080502.02544.02544.2</t>
  </si>
  <si>
    <t>L.n[89.01]QSSVVATSK[156.13]E.R</t>
  </si>
  <si>
    <t>sp|Q9H307|PININ_HUMAN</t>
  </si>
  <si>
    <t>Pinin OS=Homo sapiens GN=PNN PE=1 SV=4</t>
  </si>
  <si>
    <t>MegaP_hMMP8_GluC_JC_QStar-XL_20080502.02547.02547.2</t>
  </si>
  <si>
    <t>MegaP_hMMP8_GluC_JC_QStar-XL_20080502.02555.02555.2</t>
  </si>
  <si>
    <t>MegaP_hMMP8_GluC_JC_QStar-XL_20080502.02555.02555.3</t>
  </si>
  <si>
    <t>25/68</t>
  </si>
  <si>
    <t>MegaP_hMMP8_GluC_JC_QStar-XL_20080502.02566.02566.2</t>
  </si>
  <si>
    <t>MegaP_hMMP8_GluC_JC_QStar-XL_20080502.02584.02584.3</t>
  </si>
  <si>
    <t>MegaP_hMMP8_GluC_JC_QStar-XL_20080502.02601.02601.3</t>
  </si>
  <si>
    <t>17/48</t>
  </si>
  <si>
    <t>MegaP_hMMP8_GluC_JC_QStar-XL_20080502.02661.02661.3</t>
  </si>
  <si>
    <t>MegaP_hMMP8_GluC_JC_QStar-XL_20080502.02798.02798.2</t>
  </si>
  <si>
    <t>MegaP_hMMP8_GluC_JC_QStar-XL_20080502.02802.02802.3</t>
  </si>
  <si>
    <t>A.n[89.01]HHIPVEK[156.13]IC[160.03]E.K</t>
  </si>
  <si>
    <t>sp|P55145|MANF_HUMAN</t>
  </si>
  <si>
    <t>Mesencephalic astrocyte-derived neurotrophic factor OS=Homo sapiens GN=MANF PE=1 SV=3</t>
  </si>
  <si>
    <t>MegaP_hMMP8_GluC_JC_QStar-XL_20080502.02834.02834.3</t>
  </si>
  <si>
    <t>T.n[89.01]QC[160.03]GSLIGK[156.13]GGC[160.03]K[156.13]IK[156.13]E.L</t>
  </si>
  <si>
    <t>sp|Q15365|PCBP1_HUMAN,sp|Q15366|PCBP2_HUMAN,sp|Q15366-2|PCBP2_HUMAN,sp|Q15366-3|PCBP2_HUMAN,sp|Q15366-4|PCBP2_HUMAN,sp|Q15366-5|PCBP2_HUMAN,sp|Q15366-6|PCBP2_HUMAN</t>
  </si>
  <si>
    <t>Poly(rC)-binding protein 1 OS=Homo sapiens GN=PCBP1 PE=1 SV=2</t>
  </si>
  <si>
    <t>MegaP_hMMP8_GluC_JC_QStar-XL_20080502.02912.02912.3</t>
  </si>
  <si>
    <t>A.n[89.01]YK[156.13]TTQANK[156.13]HIIVAC[160.03]E.G</t>
  </si>
  <si>
    <t>MegaP_hMMP8_GluC_JC_QStar-XL_20080502.02925.02925.2</t>
  </si>
  <si>
    <t>MegaP_hMMP8_GluC_JC_QStar-XL_20080502.02931.02931.3</t>
  </si>
  <si>
    <t>MegaP_hMMP8_GluC_JC_QStar-XL_20080502.03030.03030.2</t>
  </si>
  <si>
    <t>MegaP_hMMP8_GluC_JC_QStar-XL_20080502.03033.03033.2</t>
  </si>
  <si>
    <t>MegaP_hMMP8_GluC_JC_QStar-XL_20080502.03086.03086.3</t>
  </si>
  <si>
    <t>Q.n[89.01]HVGK[156.13]AFNQGK[156.13]IFK[156.13].-</t>
  </si>
  <si>
    <t>MegaP_hMMP8_GluC_JC_QStar-XL_20080502.03087.03087.3</t>
  </si>
  <si>
    <t>MegaP_hMMP8_GluC_JC_QStar-XL_20080502.03104.03104.3</t>
  </si>
  <si>
    <t>MegaP_hMMP8_GluC_JC_QStar-XL_20080502.03132.03132.2</t>
  </si>
  <si>
    <t>S.n[89.01]QQAASVVK[156.13]QE.G</t>
  </si>
  <si>
    <t>sp|P30566|PUR8_HUMAN</t>
  </si>
  <si>
    <t>Adenylosuccinate lyase OS=Homo sapiens GN=ADSL PE=1 SV=2</t>
  </si>
  <si>
    <t>MegaP_hMMP8_GluC_JC_QStar-XL_20080502.03155.03155.3</t>
  </si>
  <si>
    <t>MegaP_hMMP8_GluC_JC_QStar-XL_20080502.03252.03252.2</t>
  </si>
  <si>
    <t>18/30</t>
  </si>
  <si>
    <t>D.n[89.01]C[160.03]K[156.13]VYVGNLGNNGNK[156.13]TE.L</t>
  </si>
  <si>
    <t>sp|P84103|SRSF3_HUMAN</t>
  </si>
  <si>
    <t>Serine\arginine-rich splicing factor 3 OS=Homo sapiens GN=SRSF3 PE=1 SV=1</t>
  </si>
  <si>
    <t>MegaP_hMMP8_GluC_JC_QStar-XL_20080502.03257.03257.2</t>
  </si>
  <si>
    <t>Q.n[89.01]LAQATGK[156.13]PPQ.Y</t>
  </si>
  <si>
    <t>MegaP_hMMP8_GluC_JC_QStar-XL_20080502.03263.03263.2</t>
  </si>
  <si>
    <t>Q.n[89.01]VINDGDK[156.13]PK[156.13]V.Q</t>
  </si>
  <si>
    <t>MegaP_hMMP8_GluC_JC_QStar-XL_20080502.03312.03312.2</t>
  </si>
  <si>
    <t>N.n[89.01]YYASQK[156.13]K[156.13]TFE.L</t>
  </si>
  <si>
    <t>MegaP_hMMP8_GluC_JC_QStar-XL_20080502.03319.03319.3</t>
  </si>
  <si>
    <t>MegaP_hMMP8_GluC_JC_QStar-XL_20080502.03320.03320.3</t>
  </si>
  <si>
    <t>12/68</t>
  </si>
  <si>
    <t>sp|P04350|TBB4A_HUMAN,sp|P68371|TBB4B_HUMAN</t>
  </si>
  <si>
    <t>MegaP_hMMP8_GluC_JC_QStar-XL_20080502.03324.03324.2</t>
  </si>
  <si>
    <t>A.n[89.01]VTQLANRTPGK[156.13]E.A</t>
  </si>
  <si>
    <t>MegaP_hMMP8_GluC_JC_QStar-XL_20080502.03333.03333.3</t>
  </si>
  <si>
    <t>MegaP_hMMP8_GluC_JC_QStar-XL_20080502.03342.03342.2</t>
  </si>
  <si>
    <t>MegaP_hMMP8_GluC_JC_QStar-XL_20080502.03350.03350.2</t>
  </si>
  <si>
    <t>MegaP_hMMP8_GluC_JC_QStar-XL_20080502.03352.03352.3</t>
  </si>
  <si>
    <t>MegaP_hMMP8_GluC_JC_QStar-XL_20080502.03357.03357.2</t>
  </si>
  <si>
    <t>MegaP_hMMP8_GluC_JC_QStar-XL_20080502.03361.03361.2</t>
  </si>
  <si>
    <t>E.n[29.04]GHAPFTATSL.Q</t>
  </si>
  <si>
    <t>sp|O95714|HERC2_HUMAN,sp|Q9BVR0|HRC23_HUMAN</t>
  </si>
  <si>
    <t>E3 ubiquitin-protein ligase HERC2 OS=Homo sapiens GN=HERC2 PE=1 SV=2</t>
  </si>
  <si>
    <t>MegaP_hMMP8_GluC_JC_QStar-XL_20080502.03422.03422.4</t>
  </si>
  <si>
    <t>21/120</t>
  </si>
  <si>
    <t>A.n[89.01]LK[156.13]GK[156.13]EPPK[156.13]K[156.13]VFVGGLSPDTSE.E</t>
  </si>
  <si>
    <t>sp|O14979|HNRDL_HUMAN,sp|O14979-2|HNRDL_HUMAN,sp|O14979-3|HNRDL_HUMAN</t>
  </si>
  <si>
    <t>Heterogeneous nuclear ribonucleoprotein D-like OS=Homo sapiens GN=HNRNPDL PE=1 SV=3</t>
  </si>
  <si>
    <t>MegaP_hMMP8_GluC_JC_QStar-XL_20080502.03427.03427.3</t>
  </si>
  <si>
    <t>MegaP_hMMP8_GluC_JC_QStar-XL_20080502.03430.03430.4</t>
  </si>
  <si>
    <t>28/150</t>
  </si>
  <si>
    <t>A.n[89.01]LK[156.13]GK[156.13]EPPK[156.13]K[156.13]VFVGGLSPDTSEEQIK[156.13]E.Y</t>
  </si>
  <si>
    <t>sp|O14979|HNRDL_HUMAN</t>
  </si>
  <si>
    <t>MegaP_hMMP8_GluC_JC_QStar-XL_20080502.03433.03433.4</t>
  </si>
  <si>
    <t>18/126</t>
  </si>
  <si>
    <t>A.n[89.01]LK[156.13]GK[156.13]EPPK[156.13]K[156.13]VFVGGLSPDTSEE.Q</t>
  </si>
  <si>
    <t>MegaP_hMMP8_GluC_JC_QStar-XL_20080502.03450.03450.4</t>
  </si>
  <si>
    <t>23/126</t>
  </si>
  <si>
    <t>MegaP_hMMP8_GluC_JC_QStar-XL_20080502.03462.03462.2</t>
  </si>
  <si>
    <t>MegaP_hMMP8_GluC_JC_QStar-XL_20080502.03474.03474.2</t>
  </si>
  <si>
    <t>S.n[89.01]C[160.03]VVVK[156.13]DYGK[156.13]E.S</t>
  </si>
  <si>
    <t>sp|P25398|RS12_HUMAN</t>
  </si>
  <si>
    <t>40S ribosomal protein S12 OS=Homo sapiens GN=RPS12 PE=1 SV=3</t>
  </si>
  <si>
    <t>MegaP_hMMP8_GluC_JC_QStar-XL_20080502.03482.03482.2</t>
  </si>
  <si>
    <t>S.n[89.01]LASHVK[156.13]NLDE.N</t>
  </si>
  <si>
    <t>sp|P06493|CDK1_HUMAN,sp|P06493-2|CDK1_HUMAN</t>
  </si>
  <si>
    <t>Cyclin-dependent kinase 1 OS=Homo sapiens GN=CDK1 PE=1 SV=3</t>
  </si>
  <si>
    <t>MegaP_hMMP8_GluC_JC_QStar-XL_20080502.03502.03502.3</t>
  </si>
  <si>
    <t>E.n[29.04]K[156.13]GVPLYRHIADLAGNSE.V</t>
  </si>
  <si>
    <t>MegaP_hMMP8_GluC_JC_QStar-XL_20080502.03548.03548.3</t>
  </si>
  <si>
    <t>N.n[89.01]LQNK[156.13]QSLTMDPVVK[156.13]SK[156.13]E.L</t>
  </si>
  <si>
    <t>MegaP_hMMP8_GluC_JC_QStar-XL_20080502.03578.03578.2</t>
  </si>
  <si>
    <t>MegaP_hMMP8_GluC_JC_QStar-XL_20080502.03612.03612.2</t>
  </si>
  <si>
    <t>MegaP_hMMP8_GluC_JC_QStar-XL_20080502.03632.03632.2</t>
  </si>
  <si>
    <t>MegaP_hMMP8_GluC_JC_QStar-XL_20080502.03676.03676.3</t>
  </si>
  <si>
    <t>MegaP_hMMP8_GluC_JC_QStar-XL_20080502.03678.03678.2</t>
  </si>
  <si>
    <t>MegaP_hMMP8_GluC_JC_QStar-XL_20080502.03687.03687.3</t>
  </si>
  <si>
    <t>MegaP_hMMP8_GluC_JC_QStar-XL_20080502.03708.03708.3</t>
  </si>
  <si>
    <t>MegaP_hMMP8_GluC_JC_QStar-XL_20080502.03711.03711.2</t>
  </si>
  <si>
    <t>MegaP_hMMP8_GluC_JC_QStar-XL_20080502.03715.03715.4</t>
  </si>
  <si>
    <t>20/138</t>
  </si>
  <si>
    <t>MegaP_hMMP8_GluC_JC_QStar-XL_20080502.03730.03730.2</t>
  </si>
  <si>
    <t>MegaP_hMMP8_GluC_JC_QStar-XL_20080502.03733.03733.2</t>
  </si>
  <si>
    <t>E.n[29.04]GNPYVPVHFD.A</t>
  </si>
  <si>
    <t>MegaP_hMMP8_GluC_JC_QStar-XL_20080502.03738.03738.2</t>
  </si>
  <si>
    <t>MegaP_hMMP8_GluC_JC_QStar-XL_20080502.03747.03747.2</t>
  </si>
  <si>
    <t>MegaP_hMMP8_GluC_JC_QStar-XL_20080502.03748.03748.2</t>
  </si>
  <si>
    <t>MegaP_hMMP8_GluC_JC_QStar-XL_20080502.03769.03769.2</t>
  </si>
  <si>
    <t>MegaP_hMMP8_GluC_JC_QStar-XL_20080502.03772.03772.2</t>
  </si>
  <si>
    <t>MegaP_hMMP8_GluC_JC_QStar-XL_20080502.03789.03789.2</t>
  </si>
  <si>
    <t>MegaP_hMMP8_GluC_JC_QStar-XL_20080502.03799.03799.2</t>
  </si>
  <si>
    <t>MegaP_hMMP8_GluC_JC_QStar-XL_20080502.03819.03819.3</t>
  </si>
  <si>
    <t>MegaP_hMMP8_GluC_JC_QStar-XL_20080502.03854.03854.4</t>
  </si>
  <si>
    <t>18/144</t>
  </si>
  <si>
    <t>MegaP_hMMP8_GluC_JC_QStar-XL_20080502.03858.03858.3</t>
  </si>
  <si>
    <t>MegaP_hMMP8_GluC_JC_QStar-XL_20080502.03950.03950.4</t>
  </si>
  <si>
    <t>19/144</t>
  </si>
  <si>
    <t>MegaP_hMMP8_GluC_JC_QStar-XL_20080502.03954.03954.3</t>
  </si>
  <si>
    <t>21/72</t>
  </si>
  <si>
    <t>E.n[29.04]IVHLQAGQC[160.03]GNQIGAK[156.13]FWE.V</t>
  </si>
  <si>
    <t>MegaP_hMMP8_GluC_JC_QStar-XL_20080502.04003.04003.2</t>
  </si>
  <si>
    <t>MegaP_hMMP8_GluC_JC_QStar-XL_20080502.04024.04024.2</t>
  </si>
  <si>
    <t>8/12</t>
  </si>
  <si>
    <t>MegaP_hMMP8_GluC_JC_QStar-XL_20080502.04031.04031.2</t>
  </si>
  <si>
    <t>MegaP_hMMP8_GluC_JC_QStar-XL_20080502.04046.04046.2</t>
  </si>
  <si>
    <t>MegaP_hMMP8_GluC_JC_QStar-XL_20080502.04066.04066.3</t>
  </si>
  <si>
    <t>16/84</t>
  </si>
  <si>
    <t>G.n[89.01]ILNVTATDK[156.13]STGK[156.13]ANK[156.13]ITITND.K</t>
  </si>
  <si>
    <t>MegaP_hMMP8_GluC_JC_QStar-XL_20080502.04078.04078.2</t>
  </si>
  <si>
    <t>E.n[29.04]GNPYVPVHFDASV.-</t>
  </si>
  <si>
    <t>MegaP_hMMP8_GluC_JC_QStar-XL_20080502.04097.04097.2</t>
  </si>
  <si>
    <t>MegaP_hMMP8_GluC_JC_QStar-XL_20080502.04101.04101.2</t>
  </si>
  <si>
    <t>M.n[89.01]LVNTPTVTPTTTPP.P</t>
  </si>
  <si>
    <t>sp|Q9BVV6|TALD3_HUMAN</t>
  </si>
  <si>
    <t>Protein TALPID3 OS=Homo sapiens GN=KIAA0586 PE=1 SV=4</t>
  </si>
  <si>
    <t>MegaP_hMMP8_GluC_JC_QStar-XL_20080502.04109.04109.3</t>
  </si>
  <si>
    <t>sp|P61978-2|HNRPK_HUMAN,sp|P61978|HNRPK_HUMAN,sp|P61978-3|HNRPK_HUMAN</t>
  </si>
  <si>
    <t>MegaP_hMMP8_GluC_JC_QStar-XL_20080502.04114.04114.2</t>
  </si>
  <si>
    <t>Q.n[89.01]LSGLQK[156.13]QASAAE.D</t>
  </si>
  <si>
    <t>sp|Q03252|LMNB2_HUMAN</t>
  </si>
  <si>
    <t>Lamin-B2 OS=Homo sapiens GN=LMNB2 PE=1 SV=3</t>
  </si>
  <si>
    <t>MegaP_hMMP8_GluC_JC_QStar-XL_20080502.04117.04117.2</t>
  </si>
  <si>
    <t>MegaP_hMMP8_GluC_JC_QStar-XL_20080502.04136.04136.2</t>
  </si>
  <si>
    <t>MegaP_hMMP8_GluC_JC_QStar-XL_20080502.04141.04141.2</t>
  </si>
  <si>
    <t>MegaP_hMMP8_GluC_JC_QStar-XL_20080502.04148.04148.2</t>
  </si>
  <si>
    <t>MegaP_hMMP8_GluC_JC_QStar-XL_20080502.04154.04154.2</t>
  </si>
  <si>
    <t>MegaP_hMMP8_GluC_JC_QStar-XL_20080502.04161.04161.2</t>
  </si>
  <si>
    <t>MegaP_hMMP8_GluC_JC_QStar-XL_20080502.04163.04163.3</t>
  </si>
  <si>
    <t>P.n[89.01]FQVINDGDK[156.13]PK[156.13]VQVSYK[156.13]GE.T</t>
  </si>
  <si>
    <t>MegaP_hMMP8_GluC_JC_QStar-XL_20080502.04169.04169.2</t>
  </si>
  <si>
    <t>MegaP_hMMP8_GluC_JC_QStar-XL_20080502.04181.04181.3</t>
  </si>
  <si>
    <t>MegaP_hMMP8_GluC_JC_QStar-XL_20080502.04258.04258.2</t>
  </si>
  <si>
    <t>R.n[89.01]LRSSVPGVRL.L</t>
  </si>
  <si>
    <t>MegaP_hMMP8_GluC_JC_QStar-XL_20080502.04263.04263.3</t>
  </si>
  <si>
    <t>MegaP_hMMP8_GluC_JC_QStar-XL_20080502.04281.04281.3</t>
  </si>
  <si>
    <t>MegaP_hMMP8_GluC_JC_QStar-XL_20080502.04287.04287.4</t>
  </si>
  <si>
    <t>18/156</t>
  </si>
  <si>
    <t>MegaP_hMMP8_GluC_JC_QStar-XL_20080502.04298.04298.3</t>
  </si>
  <si>
    <t>MegaP_hMMP8_GluC_JC_QStar-XL_20080502.04304.04304.4</t>
  </si>
  <si>
    <t>17/156</t>
  </si>
  <si>
    <t>MegaP_hMMP8_GluC_JC_QStar-XL_20080502.04307.04307.2</t>
  </si>
  <si>
    <t>MegaP_hMMP8_GluC_JC_QStar-XL_20080502.04320.04320.2</t>
  </si>
  <si>
    <t>MegaP_hMMP8_GluC_JC_QStar-XL_20080502.04338.04338.2</t>
  </si>
  <si>
    <t>MegaP_hMMP8_GluC_JC_QStar-XL_20080502.04343.04343.4</t>
  </si>
  <si>
    <t>25/150</t>
  </si>
  <si>
    <t>MegaP_hMMP8_GluC_JC_QStar-XL_20080502.04349.04349.3</t>
  </si>
  <si>
    <t>E.n[29.04]DFHGLLPK[156.13]GYPHL.C</t>
  </si>
  <si>
    <t>MegaP_hMMP8_GluC_JC_QStar-XL_20080502.04358.04358.3</t>
  </si>
  <si>
    <t>23/80</t>
  </si>
  <si>
    <t>E.n[29.04]TALLSSGFSLEDPQTHANRIY.R</t>
  </si>
  <si>
    <t>MegaP_hMMP8_GluC_JC_QStar-XL_20080502.04389.04389.2</t>
  </si>
  <si>
    <t>D.n[89.01]VVSGNPK[156.13]LNLA.F</t>
  </si>
  <si>
    <t>sp|P13797|PLST_HUMAN,sp|Q14651|PLSI_HUMAN</t>
  </si>
  <si>
    <t>MegaP_hMMP8_GluC_JC_QStar-XL_20080502.04416.04416.2</t>
  </si>
  <si>
    <t>P.n[89.01]FQVINDGDK[156.13]PK[156.13]V.Q</t>
  </si>
  <si>
    <t>MegaP_hMMP8_GluC_JC_QStar-XL_20080502.04441.04441.2</t>
  </si>
  <si>
    <t>MegaP_hMMP8_GluC_JC_QStar-XL_20080502.04442.04442.2</t>
  </si>
  <si>
    <t>MegaP_hMMP8_GluC_JC_QStar-XL_20080502.04486.04486.2</t>
  </si>
  <si>
    <t>M.n[89.01]TIM[147.04]AFIGN.F</t>
  </si>
  <si>
    <t>sp|Q96PY5|FMNL2_HUMAN</t>
  </si>
  <si>
    <t>Formin-like protein 2 OS=Homo sapiens GN=FMNL2 PE=1 SV=3</t>
  </si>
  <si>
    <t>MegaP_hMMP8_GluC_JC_QStar-XL_20080502.04496.04496.2</t>
  </si>
  <si>
    <t>N.n[89.01]YQDTIGRLQDE.L</t>
  </si>
  <si>
    <t>MegaP_hMMP8_GluC_JC_QStar-XL_20080502.04541.04541.2</t>
  </si>
  <si>
    <t>MegaP_hMMP8_GluC_JC_QStar-XL_20080502.04588.04588.2</t>
  </si>
  <si>
    <t>MegaP_hMMP8_GluC_JC_QStar-XL_20080502.04592.04592.3</t>
  </si>
  <si>
    <t>MegaP_hMMP8_GluC_JC_QStar-XL_20080502.04609.04609.2</t>
  </si>
  <si>
    <t>MegaP_hMMP8_GluC_JC_QStar-XL_20080502.04630.04630.2</t>
  </si>
  <si>
    <t>MegaP_hMMP8_GluC_JC_QStar-XL_20080502.04638.04638.2</t>
  </si>
  <si>
    <t>MegaP_hMMP8_GluC_JC_QStar-XL_20080502.04647.04647.3</t>
  </si>
  <si>
    <t>E.n[29.04]GFMDSGTQTDAVVVLSLAQAAVLG.L</t>
  </si>
  <si>
    <t>sp|Q8N1W2|ZN710_HUMAN</t>
  </si>
  <si>
    <t>Zinc finger protein 710 OS=Homo sapiens GN=ZNF710 PE=2 SV=2</t>
  </si>
  <si>
    <t>MegaP_hMMP8_GluC_JC_QStar-XL_20080502.04662.04662.2</t>
  </si>
  <si>
    <t>MegaP_hMMP8_GluC_JC_QStar-XL_20080502.04665.04665.2</t>
  </si>
  <si>
    <t>E.n[29.04]IGLWFHPEE.L</t>
  </si>
  <si>
    <t>sp|P15531|NDKA_HUMAN</t>
  </si>
  <si>
    <t>Nucleoside diphosphate kinase A OS=Homo sapiens GN=NME1 PE=1 SV=1</t>
  </si>
  <si>
    <t>MegaP_hMMP8_GluC_JC_QStar-XL_20080502.04680.04680.4</t>
  </si>
  <si>
    <t>19/108</t>
  </si>
  <si>
    <t>N.n[89.01]LSGNK[156.13]IK[156.13]DLSTIEPLK[156.13]K[156.13]LE.N</t>
  </si>
  <si>
    <t>sp|P39687|AN32A_HUMAN,sp|Q92688|AN32B_HUMAN,sp|Q92688-2|AN32B_HUMAN,sp|O95626|AN32D_HUMAN</t>
  </si>
  <si>
    <t>MegaP_hMMP8_GluC_JC_QStar-XL_20080502.04693.04693.3</t>
  </si>
  <si>
    <t>MegaP_hMMP8_GluC_JC_QStar-XL_20080502.04716.04716.3</t>
  </si>
  <si>
    <t>MegaP_hMMP8_GluC_JC_QStar-XL_20080502.04726.04726.3</t>
  </si>
  <si>
    <t>P.n[89.01]VLGSVSSVTK[156.13]TALNK[156.13]K[156.13]TLE.A</t>
  </si>
  <si>
    <t>sp|A0MZ66|SHOT1_HUMAN,sp|A0MZ66-3|SHOT1_HUMAN,sp|A0MZ66-4|SHOT1_HUMAN,sp|A0MZ66-5|SHOT1_HUMAN,sp|A0MZ66-6|SHOT1_HUMAN,sp|A0MZ66-7|SHOT1_HUMAN,sp|A0MZ66-8|SHOT1_HUMAN</t>
  </si>
  <si>
    <t>Shootin-1 OS=Homo sapiens GN=KIAA1598 PE=1 SV=4</t>
  </si>
  <si>
    <t>MegaP_hMMP8_GluC_JC_QStar-XL_20080502.04752.04752.2</t>
  </si>
  <si>
    <t>R.n[89.01]ILGAVAK[156.13]VRE.A</t>
  </si>
  <si>
    <t>MegaP_hMMP8_GluC_JC_QStar-XL_20080502.04769.04769.2</t>
  </si>
  <si>
    <t>MegaP_hMMP8_GluC_JC_QStar-XL_20080502.04772.04772.3</t>
  </si>
  <si>
    <t>N.n[89.01]FVGK[156.13]ILGPQGNTIK[156.13]RLQE.E</t>
  </si>
  <si>
    <t>MegaP_hMMP8_GluC_JC_QStar-XL_20080502.04774.04774.2</t>
  </si>
  <si>
    <t>19/18</t>
  </si>
  <si>
    <t>MegaP_hMMP8_GluC_JC_QStar-XL_20080502.04793.04793.2</t>
  </si>
  <si>
    <t>P.n[89.01]FQVINDGDK[156.13]PK[156.13]VQVSY.K</t>
  </si>
  <si>
    <t>MegaP_hMMP8_GluC_JC_QStar-XL_20080502.04803.04803.2</t>
  </si>
  <si>
    <t>MegaP_hMMP8_GluC_JC_QStar-XL_20080502.04806.04806.2</t>
  </si>
  <si>
    <t>MegaP_hMMP8_GluC_JC_QStar-XL_20080502.04829.04829.2</t>
  </si>
  <si>
    <t>MegaP_hMMP8_GluC_JC_QStar-XL_20080502.04830.04830.2</t>
  </si>
  <si>
    <t>MegaP_hMMP8_GluC_JC_QStar-XL_20080502.04849.04849.2</t>
  </si>
  <si>
    <t>MegaP_hMMP8_GluC_JC_QStar-XL_20080502.04874.04874.2</t>
  </si>
  <si>
    <t>MegaP_hMMP8_GluC_JC_QStar-XL_20080502.04878.04878.3</t>
  </si>
  <si>
    <t>N.n[89.01]FVGK[156.13]ILGPQGNTIK[156.13]RLQEE.T</t>
  </si>
  <si>
    <t>MegaP_hMMP8_GluC_JC_QStar-XL_20080502.04899.04899.3</t>
  </si>
  <si>
    <t>MegaP_hMMP8_GluC_JC_QStar-XL_20080502.04914.04914.4</t>
  </si>
  <si>
    <t>23/168</t>
  </si>
  <si>
    <t>E.n[29.04]LNK[156.13]LLGRVTIAQGGVLPNIQAVLLPK[156.13]K[156.13]TE.S</t>
  </si>
  <si>
    <t>sp|P04908|H2A1B_HUMAN,sp|Q93077|H2A1C_HUMAN,sp|Q7L7L0|H2A3_HUMAN</t>
  </si>
  <si>
    <t>MegaP_hMMP8_GluC_JC_QStar-XL_20080502.04920.04920.2</t>
  </si>
  <si>
    <t>MegaP_hMMP8_GluC_JC_QStar-XL_20080502.04934.04934.4</t>
  </si>
  <si>
    <t>24/168</t>
  </si>
  <si>
    <t>MegaP_hMMP8_GluC_JC_QStar-XL_20080502.04958.04958.4</t>
  </si>
  <si>
    <t>25/168</t>
  </si>
  <si>
    <t>MegaP_hMMP8_GluC_JC_QStar-XL_20080502.04971.04971.2</t>
  </si>
  <si>
    <t>MegaP_hMMP8_GluC_JC_QStar-XL_20080502.04976.04976.4</t>
  </si>
  <si>
    <t>21/168</t>
  </si>
  <si>
    <t>MegaP_hMMP8_GluC_JC_QStar-XL_20080502.04977.04977.4</t>
  </si>
  <si>
    <t>16/168</t>
  </si>
  <si>
    <t>MegaP_hMMP8_GluC_JC_QStar-XL_20080502.05002.05002.2</t>
  </si>
  <si>
    <t>MegaP_hMMP8_GluC_JC_QStar-XL_20080502.05014.05014.2</t>
  </si>
  <si>
    <t>MegaP_hMMP8_GluC_JC_QStar-XL_20080502.05033.05033.2</t>
  </si>
  <si>
    <t>MegaP_hMMP8_GluC_JC_QStar-XL_20080502.05046.05046.2</t>
  </si>
  <si>
    <t>N.n[89.01]YIDK[156.13]VRFLE.Q</t>
  </si>
  <si>
    <t>MegaP_hMMP8_GluC_JC_QStar-XL_20080502.05052.05052.2</t>
  </si>
  <si>
    <t>MegaP_hMMP8_GluC_JC_QStar-XL_20080502.05061.05061.2</t>
  </si>
  <si>
    <t>MegaP_hMMP8_GluC_JC_QStar-XL_20080502.05064.05064.2</t>
  </si>
  <si>
    <t>MegaP_hMMP8_GluC_JC_QStar-XL_20080502.05076.05076.2</t>
  </si>
  <si>
    <t>MegaP_hMMP8_GluC_JC_QStar-XL_20080502.05087.05087.3</t>
  </si>
  <si>
    <t>21/88</t>
  </si>
  <si>
    <t>Q.n[89.01]LTHSLGGGTGSGMGTLLISK[156.13]IRE.E</t>
  </si>
  <si>
    <t>sp|P04350|TBB4A_HUMAN,sp|Q13885|TBB2A_HUMAN,sp|Q9BVA1|TBB2B_HUMAN,sp|P68371|TBB4B_HUMAN,sp|P07437|TBB5_HUMAN,sp|Q9BUF5|TBB6_HUMAN,sp|A6NNZ2|TBB8L_HUMAN,sp|Q3ZCM7|TBB8_HUMAN</t>
  </si>
  <si>
    <t>MegaP_hMMP8_GluC_JC_QStar-XL_20080502.05095.05095.2</t>
  </si>
  <si>
    <t>MegaP_hMMP8_GluC_JC_QStar-XL_20080502.05096.05096.2</t>
  </si>
  <si>
    <t>MegaP_hMMP8_GluC_JC_QStar-XL_20080502.05118.05118.2</t>
  </si>
  <si>
    <t>MegaP_hMMP8_GluC_JC_QStar-XL_20080502.05142.05142.2</t>
  </si>
  <si>
    <t>MegaP_hMMP8_GluC_JC_QStar-XL_20080502.05143.05143.3</t>
  </si>
  <si>
    <t>MegaP_hMMP8_GluC_JC_QStar-XL_20080502.05164.05164.2</t>
  </si>
  <si>
    <t>MegaP_hMMP8_GluC_JC_QStar-XL_20080502.05180.05180.2</t>
  </si>
  <si>
    <t>MegaP_hMMP8_GluC_JC_QStar-XL_20080502.05204.05204.2</t>
  </si>
  <si>
    <t>MegaP_hMMP8_GluC_JC_QStar-XL_20080502.05210.05210.3</t>
  </si>
  <si>
    <t>23/68</t>
  </si>
  <si>
    <t>L.n[89.01]LK[156.13]GVTIASGGVLPNIHPE.L</t>
  </si>
  <si>
    <t>sp|O75367|H2AY_HUMAN</t>
  </si>
  <si>
    <t>Core histone macro-H2A.1 OS=Homo sapiens GN=H2AFY PE=1 SV=4</t>
  </si>
  <si>
    <t>MegaP_hMMP8_GluC_JC_QStar-XL_20080502.05223.05223.2</t>
  </si>
  <si>
    <t>MegaP_hMMP8_GluC_JC_QStar-XL_20080502.05246.05246.2</t>
  </si>
  <si>
    <t>MegaP_hMMP8_GluC_JC_QStar-XL_20080502.05280.05280.3</t>
  </si>
  <si>
    <t>9/104</t>
  </si>
  <si>
    <t>E.n[89.01]VPSSSGGPLVTVSTPLHQVSPTGLEPS.H</t>
  </si>
  <si>
    <t>sp|P20823|HNF1A_HUMAN,sp|P20823-2|HNF1A_HUMAN,sp|P20823-3|HNF1A_HUMAN,sp|P20823-6|HNF1A_HUMAN</t>
  </si>
  <si>
    <t>MegaP_hMMP8_GluC_JC_QStar-XL_20080502.05312.05312.2</t>
  </si>
  <si>
    <t>MegaP_hMMP8_GluC_JC_QStar-XL_20080502.05337.05337.2</t>
  </si>
  <si>
    <t>MegaP_hMMP8_GluC_JC_QStar-XL_20080502.05381.05381.4</t>
  </si>
  <si>
    <t>19/168</t>
  </si>
  <si>
    <t>E.n[29.04]LNK[156.13]LLGGVTIAQGGVLPNIQAVLLPK[156.13]K[156.13]TE.S</t>
  </si>
  <si>
    <t>sp|Q96QV6|H2A1A_HUMAN,sp|Q8IUE6|H2A2B_HUMAN</t>
  </si>
  <si>
    <t>MegaP_hMMP8_GluC_JC_QStar-XL_20080502.05395.05395.3</t>
  </si>
  <si>
    <t>MegaP_hMMP8_GluC_JC_QStar-XL_20080502.05469.05469.2</t>
  </si>
  <si>
    <t>S.n[89.01]LSAQLSQLQK[156.13]QLAAK[156.13]E.A</t>
  </si>
  <si>
    <t>MegaP_hMMP8_GluC_JC_QStar-XL_20080502.05515.05515.3</t>
  </si>
  <si>
    <t>Y.n[89.01]LLAALGGNSSPSAK[156.13]DIK[156.13]K[156.13]ILD.S</t>
  </si>
  <si>
    <t>sp|P05387|RLA2_HUMAN</t>
  </si>
  <si>
    <t>60S acidic ribosomal protein P2 OS=Homo sapiens GN=RPLP2 PE=1 SV=1</t>
  </si>
  <si>
    <t>MegaP_hMMP8_GluC_JC_QStar-XL_20080502.05527.05527.2</t>
  </si>
  <si>
    <t>MegaP_hMMP8_GluC_JC_QStar-XL_20080502.05557.05557.2</t>
  </si>
  <si>
    <t>MegaP_hMMP8_GluC_JC_QStar-XL_20080502.05582.05582.2</t>
  </si>
  <si>
    <t>MegaP_hMMP8_GluC_JC_QStar-XL_20080502.05588.05588.2</t>
  </si>
  <si>
    <t>P.n[89.01]IQGLASK[156.13]WDYE.K</t>
  </si>
  <si>
    <t>MegaP_hMMP8_GluC_JC_QStar-XL_20080502.05589.05589.2</t>
  </si>
  <si>
    <t>MegaP_hMMP8_GluC_JC_QStar-XL_20080502.05601.05601.2</t>
  </si>
  <si>
    <t>MegaP_hMMP8_GluC_JC_QStar-XL_20080502.05644.05644.2</t>
  </si>
  <si>
    <t>sp|P07900|HS90A_HUMAN,sp|Q14568|HS902_HUMAN,sp|P07900-2|HS90A_HUMAN,sp|P08238|HS90B_HUMAN</t>
  </si>
  <si>
    <t>MegaP_hMMP8_GluC_JC_QStar-XL_20080502.05661.05661.3</t>
  </si>
  <si>
    <t>27/100</t>
  </si>
  <si>
    <t>K.n[89.01]LLGRVTIAQGGVLPNIQAVLLPK[156.13]K[156.13]TE.S</t>
  </si>
  <si>
    <t>MegaP_hMMP8_GluC_JC_QStar-XL_20080502.05665.05665.2</t>
  </si>
  <si>
    <t>K.n[89.01]LIYAGK[156.13]ILNDDTALK[156.13]E.Y</t>
  </si>
  <si>
    <t>sp|P54727|RD23B_HUMAN</t>
  </si>
  <si>
    <t>MegaP_hMMP8_GluC_JC_QStar-XL_20080502.05669.05669.2</t>
  </si>
  <si>
    <t>MegaP_hMMP8_GluC_JC_QStar-XL_20080502.05672.05672.2</t>
  </si>
  <si>
    <t>MegaP_hMMP8_GluC_JC_QStar-XL_20080502.05747.05747.2</t>
  </si>
  <si>
    <t>MegaP_hMMP8_GluC_JC_QStar-XL_20080502.05768.05768.2</t>
  </si>
  <si>
    <t>MegaP_hMMP8_GluC_JC_QStar-XL_20080502.05774.05774.2</t>
  </si>
  <si>
    <t>21/28</t>
  </si>
  <si>
    <t>MegaP_hMMP8_GluC_JC_QStar-XL_20080502.05850.05850.2</t>
  </si>
  <si>
    <t>MegaP_hMMP9_GluC_AP_QStar-XL_20080502.01573.01573.4</t>
  </si>
  <si>
    <t>MegaP_hMMP9_GluC_AP_QStar-XL_20080502.01606.01606.3</t>
  </si>
  <si>
    <t>A.n[89.01]QK[156.13]APAPK[156.13]ASGK[156.13]K[156.13]A.-</t>
  </si>
  <si>
    <t>MegaP_hMMP9_GluC_AP_QStar-XL_20080502.01646.01646.3</t>
  </si>
  <si>
    <t>MegaP_hMMP9_GluC_AP_QStar-XL_20080502.01654.01654.3</t>
  </si>
  <si>
    <t>MegaP_hMMP9_GluC_AP_QStar-XL_20080502.01671.01671.3</t>
  </si>
  <si>
    <t>10/48</t>
  </si>
  <si>
    <t>MegaP_hMMP9_GluC_AP_QStar-XL_20080502.01763.01763.4</t>
  </si>
  <si>
    <t>22/102</t>
  </si>
  <si>
    <t>MegaP_hMMP9_GluC_AP_QStar-XL_20080502.01788.01788.4</t>
  </si>
  <si>
    <t>24/102</t>
  </si>
  <si>
    <t>MegaP_hMMP9_GluC_AP_QStar-XL_20080502.01852.01852.3</t>
  </si>
  <si>
    <t>E.n[29.04]GGANPDAK[156.13]DHYE.A</t>
  </si>
  <si>
    <t>sp|O75832|PSD10_HUMAN,sp|O75832-2|PSD10_HUMAN</t>
  </si>
  <si>
    <t>26S proteasome non-ATPase regulatory subunit 10 OS=Homo sapiens GN=PSMD10 PE=1 SV=1</t>
  </si>
  <si>
    <t>MegaP_hMMP9_GluC_AP_QStar-XL_20080502.01919.01919.3</t>
  </si>
  <si>
    <t>MegaP_hMMP9_GluC_AP_QStar-XL_20080502.01924.01924.3</t>
  </si>
  <si>
    <t>MegaP_hMMP9_GluC_AP_QStar-XL_20080502.01987.01987.3</t>
  </si>
  <si>
    <t>MegaP_hMMP9_GluC_AP_QStar-XL_20080502.02017.02017.2</t>
  </si>
  <si>
    <t>G.n[89.01]SC[160.03]AC[160.03]AGSC[160.03]K[156.13]C[160.03]K[156.13]E.C</t>
  </si>
  <si>
    <t>sp|P07438|MT1B_HUMAN</t>
  </si>
  <si>
    <t>Metallothionein-1B OS=Homo sapiens GN=MT1B PE=2 SV=1</t>
  </si>
  <si>
    <t>MegaP_hMMP9_GluC_AP_QStar-XL_20080502.02059.02059.4</t>
  </si>
  <si>
    <t>19/84</t>
  </si>
  <si>
    <t>MegaP_hMMP9_GluC_AP_QStar-XL_20080502.02124.02124.2</t>
  </si>
  <si>
    <t>MegaP_hMMP9_GluC_AP_QStar-XL_20080502.02128.02128.3</t>
  </si>
  <si>
    <t>P.n[89.01]ARAQGAVTGK[156.13]PRGE.G</t>
  </si>
  <si>
    <t>sp|P18887|XRCC1_HUMAN</t>
  </si>
  <si>
    <t>DNA repair protein XRCC1 OS=Homo sapiens GN=XRCC1 PE=1 SV=2</t>
  </si>
  <si>
    <t>MegaP_hMMP9_GluC_AP_QStar-XL_20080502.02131.02131.4</t>
  </si>
  <si>
    <t>14/90</t>
  </si>
  <si>
    <t>E.n[29.04]K[156.13]AGAHLQGGAK[156.13]RVIIS.A</t>
  </si>
  <si>
    <t>MegaP_hMMP9_GluC_AP_QStar-XL_20080502.02317.02317.3</t>
  </si>
  <si>
    <t>MegaP_hMMP9_GluC_AP_QStar-XL_20080502.02422.02422.3</t>
  </si>
  <si>
    <t>14/80</t>
  </si>
  <si>
    <t>MegaP_hMMP9_GluC_AP_QStar-XL_20080502.02433.02433.3</t>
  </si>
  <si>
    <t>MegaP_hMMP9_GluC_AP_QStar-XL_20080502.02443.02443.3</t>
  </si>
  <si>
    <t>MegaP_hMMP9_GluC_AP_QStar-XL_20080502.02483.02483.3</t>
  </si>
  <si>
    <t>MegaP_hMMP9_GluC_AP_QStar-XL_20080502.02527.02527.2</t>
  </si>
  <si>
    <t>MegaP_hMMP9_GluC_AP_QStar-XL_20080502.02597.02597.2</t>
  </si>
  <si>
    <t>MegaP_hMMP9_GluC_AP_QStar-XL_20080502.02599.02599.3</t>
  </si>
  <si>
    <t>MegaP_hMMP9_GluC_AP_QStar-XL_20080502.02608.02608.3</t>
  </si>
  <si>
    <t>MegaP_hMMP9_GluC_AP_QStar-XL_20080502.02614.02614.2</t>
  </si>
  <si>
    <t>MegaP_hMMP9_GluC_AP_QStar-XL_20080502.02631.02631.2</t>
  </si>
  <si>
    <t>7/16</t>
  </si>
  <si>
    <t>-.n[29.04]M[147.04]SAAPAYSE.D</t>
  </si>
  <si>
    <t>sp|Q13367|AP3B2_HUMAN</t>
  </si>
  <si>
    <t>AP-3 complex subunit beta-2 OS=Homo sapiens GN=AP3B2 PE=1 SV=2</t>
  </si>
  <si>
    <t>MegaP_hMMP9_GluC_AP_QStar-XL_20080502.02634.02634.2</t>
  </si>
  <si>
    <t>MegaP_hMMP9_GluC_AP_QStar-XL_20080502.02642.02642.3</t>
  </si>
  <si>
    <t>MegaP_hMMP9_GluC_AP_QStar-XL_20080502.02714.02714.3</t>
  </si>
  <si>
    <t>MegaP_hMMP9_GluC_AP_QStar-XL_20080502.02831.02831.3</t>
  </si>
  <si>
    <t>E.n[29.04]LGERPPEDNQSFQYDHE.A</t>
  </si>
  <si>
    <t>MegaP_hMMP9_GluC_AP_QStar-XL_20080502.02865.02865.3</t>
  </si>
  <si>
    <t>MegaP_hMMP9_GluC_AP_QStar-XL_20080502.03006.03006.2</t>
  </si>
  <si>
    <t>MegaP_hMMP9_GluC_AP_QStar-XL_20080502.03087.03087.2</t>
  </si>
  <si>
    <t>MegaP_hMMP9_GluC_AP_QStar-XL_20080502.03106.03106.2</t>
  </si>
  <si>
    <t>MegaP_hMMP9_GluC_AP_QStar-XL_20080502.03128.03128.4</t>
  </si>
  <si>
    <t>15/96</t>
  </si>
  <si>
    <t>MegaP_hMMP9_GluC_AP_QStar-XL_20080502.03168.03168.3</t>
  </si>
  <si>
    <t>MegaP_hMMP9_GluC_AP_QStar-XL_20080502.03177.03177.3</t>
  </si>
  <si>
    <t>MegaP_hMMP9_GluC_AP_QStar-XL_20080502.03202.03202.2</t>
  </si>
  <si>
    <t>MegaP_hMMP9_GluC_AP_QStar-XL_20080502.03335.03335.2</t>
  </si>
  <si>
    <t>MegaP_hMMP9_GluC_AP_QStar-XL_20080502.03337.03337.2</t>
  </si>
  <si>
    <t>D.n[29.04]SLVPTM[147.04]VIP.R</t>
  </si>
  <si>
    <t>sp|Q8N608|DPP10_HUMAN,sp|Q8N608-2|DPP10_HUMAN,sp|Q8N608-3|DPP10_HUMAN,sp|Q8N608-4|DPP10_HUMAN</t>
  </si>
  <si>
    <t>Inactive dipeptidyl peptidase 10 OS=Homo sapiens GN=DPP10 PE=1 SV=2</t>
  </si>
  <si>
    <t>MegaP_hMMP9_GluC_AP_QStar-XL_20080502.03421.03421.3</t>
  </si>
  <si>
    <t>13/68</t>
  </si>
  <si>
    <t>MegaP_hMMP9_GluC_AP_QStar-XL_20080502.03437.03437.3</t>
  </si>
  <si>
    <t>MegaP_hMMP9_GluC_AP_QStar-XL_20080502.03457.03457.3</t>
  </si>
  <si>
    <t>MegaP_hMMP9_GluC_AP_QStar-XL_20080502.03471.03471.2</t>
  </si>
  <si>
    <t>MegaP_hMMP9_GluC_AP_QStar-XL_20080502.03476.03476.3</t>
  </si>
  <si>
    <t>MegaP_hMMP9_GluC_AP_QStar-XL_20080502.03542.03542.4</t>
  </si>
  <si>
    <t>MegaP_hMMP9_GluC_AP_QStar-XL_20080502.03550.03550.4</t>
  </si>
  <si>
    <t>MegaP_hMMP9_GluC_AP_QStar-XL_20080502.03559.03559.4</t>
  </si>
  <si>
    <t>19/150</t>
  </si>
  <si>
    <t>MegaP_hMMP9_GluC_AP_QStar-XL_20080502.03573.03573.2</t>
  </si>
  <si>
    <t>MegaP_hMMP9_GluC_AP_QStar-XL_20080502.03691.03691.2</t>
  </si>
  <si>
    <t>MegaP_hMMP9_GluC_AP_QStar-XL_20080502.03801.03801.3</t>
  </si>
  <si>
    <t>MegaP_hMMP9_GluC_AP_QStar-XL_20080502.03826.03826.2</t>
  </si>
  <si>
    <t>MegaP_hMMP9_GluC_AP_QStar-XL_20080502.03862.03862.2</t>
  </si>
  <si>
    <t>MegaP_hMMP9_GluC_AP_QStar-XL_20080502.03880.03880.2</t>
  </si>
  <si>
    <t>MegaP_hMMP9_GluC_AP_QStar-XL_20080502.03919.03919.2</t>
  </si>
  <si>
    <t>MegaP_hMMP9_GluC_AP_QStar-XL_20080502.04012.04012.3</t>
  </si>
  <si>
    <t>MegaP_hMMP9_GluC_AP_QStar-XL_20080502.04110.04110.3</t>
  </si>
  <si>
    <t>E.n[29.04]IVHIQAGQC[160.03]GNQIGAK[156.13]FWE.V</t>
  </si>
  <si>
    <t>MegaP_hMMP9_GluC_AP_QStar-XL_20080502.04169.04169.2</t>
  </si>
  <si>
    <t>MegaP_hMMP9_GluC_AP_QStar-XL_20080502.04203.04203.2</t>
  </si>
  <si>
    <t>MegaP_hMMP9_GluC_AP_QStar-XL_20080502.04219.04219.3</t>
  </si>
  <si>
    <t>21/60</t>
  </si>
  <si>
    <t>E.n[29.04]TLRLVQAFQFTDK[156.13]HGE.V</t>
  </si>
  <si>
    <t>MegaP_hMMP9_GluC_AP_QStar-XL_20080502.04255.04255.3</t>
  </si>
  <si>
    <t>A.n[89.01]QVARPGGDTIFGK[156.13]IIRK[156.13]E.L</t>
  </si>
  <si>
    <t>sp|P49773|HINT1_HUMAN</t>
  </si>
  <si>
    <t>Histidine triad nucleotide-binding protein 1 OS=Homo sapiens GN=HINT1 PE=1 SV=2</t>
  </si>
  <si>
    <t>MegaP_hMMP9_GluC_AP_QStar-XL_20080502.04375.04375.3</t>
  </si>
  <si>
    <t>sp|Q562R1|ACTBL_HUMAN,sp|P60709|ACTB_HUMAN,sp|P63261|ACTG_HUMAN,CON_P60712|P60712</t>
  </si>
  <si>
    <t>Beta-actin-like protein 2 OS=Homo sapiens GN=ACTBL2 PE=1 SV=2</t>
  </si>
  <si>
    <t>MegaP_hMMP9_GluC_AP_QStar-XL_20080502.04449.04449.3</t>
  </si>
  <si>
    <t>MegaP_hMMP9_GluC_AP_QStar-XL_20080502.04455.04455.3</t>
  </si>
  <si>
    <t>19/104</t>
  </si>
  <si>
    <t>N.n[89.01]TVVPTK[156.13]K[156.13]SQIFSTASDNQPTVTIK[156.13]VYE.G</t>
  </si>
  <si>
    <t>MegaP_hMMP9_GluC_AP_QStar-XL_20080502.04471.04471.3</t>
  </si>
  <si>
    <t>MegaP_hMMP9_GluC_AP_QStar-XL_20080502.04515.04515.3</t>
  </si>
  <si>
    <t>E.n[29.04]TALLSSGFSLEDPQTHSNRIY.R</t>
  </si>
  <si>
    <t>MegaP_hMMP9_GluC_AP_QStar-XL_20080502.04540.04540.2</t>
  </si>
  <si>
    <t>MegaP_hMMP9_GluC_AP_QStar-XL_20080502.04551.04551.3</t>
  </si>
  <si>
    <t>26/80</t>
  </si>
  <si>
    <t>MegaP_hMMP9_GluC_AP_QStar-XL_20080502.04556.04556.2</t>
  </si>
  <si>
    <t>MegaP_hMMP9_GluC_AP_QStar-XL_20080502.04762.04762.2</t>
  </si>
  <si>
    <t>MegaP_hMMP9_GluC_AP_QStar-XL_20080502.04831.04831.2</t>
  </si>
  <si>
    <t>MegaP_hMMP9_GluC_AP_QStar-XL_20080502.04895.04895.2</t>
  </si>
  <si>
    <t>sp|P15531|NDKA_HUMAN,sp|P15531-2|NDKA_HUMAN</t>
  </si>
  <si>
    <t>MegaP_hMMP9_GluC_AP_QStar-XL_20080502.04963.04963.2</t>
  </si>
  <si>
    <t>MegaP_hMMP9_GluC_AP_QStar-XL_20080502.04984.04984.2</t>
  </si>
  <si>
    <t>MegaP_hMMP9_GluC_AP_QStar-XL_20080502.04989.04989.2</t>
  </si>
  <si>
    <t>MegaP_hMMP9_GluC_AP_QStar-XL_20080502.05039.05039.2</t>
  </si>
  <si>
    <t>MegaP_hMMP9_GluC_AP_QStar-XL_20080502.05045.05045.2</t>
  </si>
  <si>
    <t>MegaP_hMMP9_GluC_AP_QStar-XL_20080502.05049.05049.3</t>
  </si>
  <si>
    <t>22/100</t>
  </si>
  <si>
    <t>MegaP_hMMP9_GluC_AP_QStar-XL_20080502.05145.05145.4</t>
  </si>
  <si>
    <t>13/168</t>
  </si>
  <si>
    <t>MegaP_hMMP9_GluC_AP_QStar-XL_20080502.05169.05169.4</t>
  </si>
  <si>
    <t>20/168</t>
  </si>
  <si>
    <t>MegaP_hMMP9_GluC_AP_QStar-XL_20080502.05193.05193.4</t>
  </si>
  <si>
    <t>22/168</t>
  </si>
  <si>
    <t>MegaP_hMMP9_GluC_AP_QStar-XL_20080502.05244.05244.2</t>
  </si>
  <si>
    <t>MegaP_hMMP9_GluC_AP_QStar-XL_20080502.05266.05266.2</t>
  </si>
  <si>
    <t>MegaP_hMMP9_GluC_AP_QStar-XL_20080502.05301.05301.3</t>
  </si>
  <si>
    <t>18/76</t>
  </si>
  <si>
    <t>MegaP_hMMP9_GluC_AP_QStar-XL_20080502.05313.05313.2</t>
  </si>
  <si>
    <t>MegaP_hMMP9_GluC_AP_QStar-XL_20080502.05325.05325.2</t>
  </si>
  <si>
    <t>MegaP_hMMP9_GluC_AP_QStar-XL_20080502.05331.05331.4</t>
  </si>
  <si>
    <t>E.n[29.04]FLSTINVGLTSIANLPK[156.13]LNK[156.13]LK[156.13]K[156.13]LE.L</t>
  </si>
  <si>
    <t>MegaP_hMMP9_GluC_AP_QStar-XL_20080502.05337.05337.2</t>
  </si>
  <si>
    <t>MegaP_hMMP9_GluC_AP_QStar-XL_20080502.05346.05346.2</t>
  </si>
  <si>
    <t>MegaP_hMMP9_GluC_AP_QStar-XL_20080502.05353.05353.2</t>
  </si>
  <si>
    <t>MegaP_hMMP9_GluC_AP_QStar-XL_20080502.05422.05422.2</t>
  </si>
  <si>
    <t>MegaP_hMMP9_GluC_AP_QStar-XL_20080502.05441.05441.2</t>
  </si>
  <si>
    <t>MegaP_hMMP9_GluC_AP_QStar-XL_20080502.05460.05460.2</t>
  </si>
  <si>
    <t>MegaP_hMMP9_GluC_AP_QStar-XL_20080502.05482.05482.2</t>
  </si>
  <si>
    <t>MegaP_hMMP9_GluC_AP_QStar-XL_20080502.05506.05506.2</t>
  </si>
  <si>
    <t>MegaP_hMMP9_GluC_AP_QStar-XL_20080502.05588.05588.2</t>
  </si>
  <si>
    <t>MegaP_hMMP9_GluC_AP_QStar-XL_20080502.05620.05620.3</t>
  </si>
  <si>
    <t>K.n[89.01]ILAHNNFVGRLIGK[156.13]E.G</t>
  </si>
  <si>
    <t>sp|Q9NZI8|IF2B1_HUMAN,sp|Q9NZI8-2|IF2B1_HUMAN,sp|O00425|IF2B3_HUMAN</t>
  </si>
  <si>
    <t>Insulin-like growth factor 2 mRNA-binding protein 1 OS=Homo sapiens GN=IGF2BP1 PE=1 SV=2</t>
  </si>
  <si>
    <t>MegaP_hMMP9_GluC_AP_QStar-XL_20080502.05626.05626.2</t>
  </si>
  <si>
    <t>N.n[89.01]YIQGINLVQAK[156.13]K[156.13]LVE.S</t>
  </si>
  <si>
    <t>sp|P52815|RM12_HUMAN</t>
  </si>
  <si>
    <t>39S ribosomal protein L12, mitochondrial OS=Homo sapiens GN=MRPL12 PE=1 SV=2</t>
  </si>
  <si>
    <t>MegaP_hMMP9_GluC_AP_QStar-XL_20080502.05651.05651.2</t>
  </si>
  <si>
    <t>MegaP_hMMP9_GluC_AP_QStar-XL_20080502.05904.05904.2</t>
  </si>
  <si>
    <t>MegaP_hMMP9_GluC_AP_QStar-XL_20080502.05909.05909.2</t>
  </si>
  <si>
    <t>MegaP_hMMP9_GluC_AP_QStar-XL_20080502.05926.05926.3</t>
  </si>
  <si>
    <t>MegaP_hMMP9_GluC_AP_QStar-XL_20080502.05939.05939.2</t>
  </si>
  <si>
    <t>MegaP_hMMP9_GluC_AP_QStar-XL_20080502.05981.05981.2</t>
  </si>
  <si>
    <t>MegaP_hMMP9_GluC_AP_QStar-XL_20080502.06023.06023.2</t>
  </si>
  <si>
    <t>MegaP_hMMP9_GluC_AP_QStar-XL_20080502.06025.06025.2</t>
  </si>
  <si>
    <t>S.n[89.01]LLLK[156.13]NSPLVSRLTLYD.L</t>
  </si>
  <si>
    <t>MegaP_hMMP9_GluC_AP_QStar-XL_20080502.06043.06043.2</t>
  </si>
  <si>
    <t>MegaP_hMMP9_GluC_AP_QStar-XL_20080502.06056.06056.2</t>
  </si>
  <si>
    <t>MegaP_hMMP9_GluC_AP_QStar-XL_20080502.06070.06070.2</t>
  </si>
  <si>
    <t>MegaP_hMMP9_GluC_AP_QStar-XL_20080502.07046.07046.3</t>
  </si>
  <si>
    <t>MegaP_hMMP9_GluC_AP_QStar-XL_20080502.07049.07049.4</t>
  </si>
  <si>
    <t>26/102</t>
  </si>
  <si>
    <t>MegaP_hMMP9_GluC_AP_QStar-XL_20080502.07111.07111.3</t>
  </si>
  <si>
    <t>MegaP_hMMP9_GluC_AP_QStar-XL_20080502.07118.07118.3</t>
  </si>
  <si>
    <t>MegaP_hMMP9_GluC_AP_QStar-XL_20080502.07129.07129.2</t>
  </si>
  <si>
    <t>MegaP_hMMP9_GluC_AP_QStar-XL_20080502.07156.07156.2</t>
  </si>
  <si>
    <t>D.n[89.01]DDPNDGGA.V</t>
  </si>
  <si>
    <t>sp|Q6ZN30|BNC2_HUMAN,sp|Q6ZN30-2|BNC2_HUMAN</t>
  </si>
  <si>
    <t>Zinc finger protein basonuclin-2 OS=Homo sapiens GN=BNC2 PE=1 SV=1</t>
  </si>
  <si>
    <t>MegaP_hMMP9_GluC_AP_QStar-XL_20080502.07206.07206.3</t>
  </si>
  <si>
    <t>MegaP_hMMP9_GluC_AP_QStar-XL_20080502.07209.07209.2</t>
  </si>
  <si>
    <t>MegaP_hMMP9_GluC_AP_QStar-XL_20080502.07223.07223.4</t>
  </si>
  <si>
    <t>21/150</t>
  </si>
  <si>
    <t>MegaP_hMMP9_GluC_AP_QStar-XL_20080502.07231.07231.3</t>
  </si>
  <si>
    <t>MegaP_hMMP9_GluC_AP_QStar-XL_20080502.07238.07238.2</t>
  </si>
  <si>
    <t>MegaP_hMMP9_GluC_AP_QStar-XL_20080502.07258.07258.2</t>
  </si>
  <si>
    <t>MegaP_hMMP9_GluC_AP_QStar-XL_20080502.07286.07286.2</t>
  </si>
  <si>
    <t>MegaP_hMMP9_GluC_AP_QStar-XL_20080502.07293.07293.2</t>
  </si>
  <si>
    <t>MegaP_hMMP9_GluC_AP_QStar-XL_20080502.07312.07312.3</t>
  </si>
  <si>
    <t>MegaP_hMMP9_GluC_AP_QStar-XL_20080502.07350.07350.2</t>
  </si>
  <si>
    <t>MegaP_hMMP9_GluC_AP_QStar-XL_20080502.07353.07353.2</t>
  </si>
  <si>
    <t>MegaP_hMMP9_GluC_AP_QStar-XL_20080502.07363.07363.4</t>
  </si>
  <si>
    <t>MegaP_hMMP9_GluC_AP_QStar-XL_20080502.07364.07364.2</t>
  </si>
  <si>
    <t>MegaP_hMMP9_GluC_AP_QStar-XL_20080502.07368.07368.2</t>
  </si>
  <si>
    <t>MegaP_hMMP9_GluC_AP_QStar-XL_20080502.07369.07369.2</t>
  </si>
  <si>
    <t>MegaP_hMMP9_GluC_AP_QStar-XL_20080502.07370.07370.2</t>
  </si>
  <si>
    <t>MegaP_hMMP9_GluC_AP_QStar-XL_20080502.07373.07373.2</t>
  </si>
  <si>
    <t>MegaP_hMMP9_GluC_AP_QStar-XL_20080919.02195.02195.4</t>
  </si>
  <si>
    <t>18/120</t>
  </si>
  <si>
    <t>MegaP_hMMP9_GluC_AP_QStar-XL_20080919.02361.02361.2</t>
  </si>
  <si>
    <t>Q.n[89.01]QRGAAK[156.13]EAAGK[156.13]SSGPT.S</t>
  </si>
  <si>
    <t>sp|Q00839|HNRPU_HUMAN</t>
  </si>
  <si>
    <t>MegaP_hMMP9_GluC_AP_QStar-XL_20080919.02378.02378.3</t>
  </si>
  <si>
    <t>R.n[89.01]K[156.13]SAPATGGVK[156.13]K[156.13]PH.R</t>
  </si>
  <si>
    <t>MegaP_hMMP9_GluC_AP_QStar-XL_20080919.02423.02423.3</t>
  </si>
  <si>
    <t>A.n[89.01]QK[156.13]ATGQK[156.13]AAPAPK[156.13]A.Q</t>
  </si>
  <si>
    <t>MegaP_hMMP9_GluC_AP_QStar-XL_20080919.02483.02483.3</t>
  </si>
  <si>
    <t>D.n[89.01]AEEPESPPPPPR.S</t>
  </si>
  <si>
    <t>sp|Q9P2R6|RERE_HUMAN,sp|Q9P2R6-2|RERE_HUMAN</t>
  </si>
  <si>
    <t>Arginine-glutamic acid dipeptide repeats protein OS=Homo sapiens GN=RERE PE=1 SV=2</t>
  </si>
  <si>
    <t>MegaP_hMMP9_GluC_AP_QStar-XL_20080919.02519.02519.3</t>
  </si>
  <si>
    <t>Y.n[89.01]SHSGSSSPDTK[156.13]VK[156.13]PETPPRQ.S</t>
  </si>
  <si>
    <t>MegaP_hMMP9_GluC_AP_QStar-XL_20080919.02565.02565.2</t>
  </si>
  <si>
    <t>L.n[29.04]AQATGK[156.13]PPQY.L</t>
  </si>
  <si>
    <t>MegaP_hMMP9_GluC_AP_QStar-XL_20080919.02594.02594.2</t>
  </si>
  <si>
    <t>K.n[89.01]ATGQK[156.13]AAPAPK[156.13]A.Q</t>
  </si>
  <si>
    <t>MegaP_hMMP9_GluC_AP_QStar-XL_20080919.02643.02643.2</t>
  </si>
  <si>
    <t>E.n[89.01]ESGK[156.13]PGAHVTVK[156.13].K</t>
  </si>
  <si>
    <t>MegaP_hMMP9_GluC_AP_QStar-XL_20080919.02922.02922.3</t>
  </si>
  <si>
    <t>A.n[89.01]ARAPSAK[156.13]GTISAPGK[156.13].V</t>
  </si>
  <si>
    <t>MegaP_hMMP9_GluC_AP_QStar-XL_20080919.02940.02940.3</t>
  </si>
  <si>
    <t>MegaP_hMMP9_GluC_AP_QStar-XL_20080919.02981.02981.3</t>
  </si>
  <si>
    <t>E.n[89.01]ESGK[156.13]PGAHVTVK[156.13]K[156.13]L.F</t>
  </si>
  <si>
    <t>MegaP_hMMP9_GluC_AP_QStar-XL_20080919.03000.03000.3</t>
  </si>
  <si>
    <t>MegaP_hMMP9_GluC_AP_QStar-XL_20080919.03007.03007.3</t>
  </si>
  <si>
    <t>21/64</t>
  </si>
  <si>
    <t>R.n[89.01]AVAREESGK[156.13]PGAHVTVK[156.13].K</t>
  </si>
  <si>
    <t>sp|P22626|ROA2_HUMAN</t>
  </si>
  <si>
    <t>MegaP_hMMP9_GluC_AP_QStar-XL_20080919.03009.03009.2</t>
  </si>
  <si>
    <t>E.n[29.04]QPQHPLHVTY.A</t>
  </si>
  <si>
    <t>sp|P30086|PEBP1_HUMAN</t>
  </si>
  <si>
    <t>Phosphatidylethanolamine-binding protein 1 OS=Homo sapiens GN=PEBP1 PE=1 SV=3</t>
  </si>
  <si>
    <t>MegaP_hMMP9_GluC_AP_QStar-XL_20080919.03022.03022.3</t>
  </si>
  <si>
    <t>MegaP_hMMP9_GluC_AP_QStar-XL_20080919.03097.03097.3</t>
  </si>
  <si>
    <t>E.n[89.01]SRSPQQSAALPRRY.M</t>
  </si>
  <si>
    <t>sp|Q6IBW4|CNDH2_HUMAN,sp|Q6IBW4-2|CNDH2_HUMAN,sp|Q6IBW4-4|CNDH2_HUMAN</t>
  </si>
  <si>
    <t>Condensin-2 complex subunit H2 OS=Homo sapiens GN=NCAPH2 PE=1 SV=1</t>
  </si>
  <si>
    <t>MegaP_hMMP9_GluC_AP_QStar-XL_20080919.03229.03229.2</t>
  </si>
  <si>
    <t>R.n[89.01]LK[156.13]C[160.03]GSGPVH.L</t>
  </si>
  <si>
    <t>MegaP_hMMP9_GluC_AP_QStar-XL_20080919.03258.03258.2</t>
  </si>
  <si>
    <t>D.n[89.01]LTEGK[156.13]PTDPSK[156.13].L</t>
  </si>
  <si>
    <t>sp|Q08J23|NSUN2_HUMAN</t>
  </si>
  <si>
    <t>tRNA (cytosine(34)-C(5))-methyltransferase OS=Homo sapiens GN=NSUN2 PE=1 SV=2</t>
  </si>
  <si>
    <t>MegaP_hMMP9_GluC_AP_QStar-XL_20080919.03286.03286.3</t>
  </si>
  <si>
    <t>G.n[89.01]C[160.03]K[156.13]SGINC[160.03]PIQK[156.13]DK[156.13]TY.S</t>
  </si>
  <si>
    <t>sp|P61916|NPC2_HUMAN</t>
  </si>
  <si>
    <t>Epididymal secretory protein E1 OS=Homo sapiens GN=NPC2 PE=1 SV=1</t>
  </si>
  <si>
    <t>MegaP_hMMP9_GluC_AP_QStar-XL_20080919.03321.03321.2</t>
  </si>
  <si>
    <t>D.n[89.01]C[160.03]HTAHIAC[160.03]K[156.13]F.A</t>
  </si>
  <si>
    <t>sp|P68104|EF1A1_HUMAN,sp|Q05639|EF1A2_HUMAN</t>
  </si>
  <si>
    <t>MegaP_hMMP9_GluC_AP_QStar-XL_20080919.03371.03371.3</t>
  </si>
  <si>
    <t>E.n[89.01]QRINIPPQRGPRP.L</t>
  </si>
  <si>
    <t>MegaP_hMMP9_GluC_AP_QStar-XL_20080919.03376.03376.4</t>
  </si>
  <si>
    <t>13/138</t>
  </si>
  <si>
    <t>S.n[89.01]LSTFQQM[147.04]WISK[156.13]QEYDESGPSIVHR.K</t>
  </si>
  <si>
    <t>sp|Q9BYX7|ACTBM_HUMAN</t>
  </si>
  <si>
    <t>MegaP_hMMP9_GluC_AP_QStar-XL_20080919.03383.03383.2</t>
  </si>
  <si>
    <t>H.n[89.01]SIGK[156.13]IGGAQNR.S</t>
  </si>
  <si>
    <t>MegaP_hMMP9_GluC_AP_QStar-XL_20080919.03421.03421.3</t>
  </si>
  <si>
    <t>R.n[89.01]AVAREESGK[156.13]PGAHVTV.K</t>
  </si>
  <si>
    <t>MegaP_hMMP9_GluC_AP_QStar-XL_20080919.03490.03490.3</t>
  </si>
  <si>
    <t>G.n[89.01]LTSAAPAGGDK[156.13]K[156.13]VIATK[156.13].V</t>
  </si>
  <si>
    <t>sp|P67809|YBOX1_HUMAN</t>
  </si>
  <si>
    <t>MegaP_hMMP9_GluC_AP_QStar-XL_20080919.03595.03595.3</t>
  </si>
  <si>
    <t>8/32</t>
  </si>
  <si>
    <t>C.n[89.01]C[160.03]RAFLEK[156.13]AH.-</t>
  </si>
  <si>
    <t>sp|P24666|PPAC_HUMAN,sp|P24666-2|PPAC_HUMAN,sp|P24666-3|PPAC_HUMAN</t>
  </si>
  <si>
    <t>Low molecular weight phosphotyrosine protein phosphatase OS=Homo sapiens GN=ACP1 PE=1 SV=3</t>
  </si>
  <si>
    <t>MegaP_hMMP9_GluC_AP_QStar-XL_20080919.03640.03640.2</t>
  </si>
  <si>
    <t>P.n[89.01]IREAGEQGDIEPR.R</t>
  </si>
  <si>
    <t>MegaP_hMMP9_GluC_AP_QStar-XL_20080919.03658.03658.3</t>
  </si>
  <si>
    <t>E.n[89.01]IK[156.13]ANVAK[156.13]AEAEK[156.13]IK[156.13].A</t>
  </si>
  <si>
    <t>MegaP_hMMP9_GluC_AP_QStar-XL_20080919.03663.03663.3</t>
  </si>
  <si>
    <t>E.n[89.01]ESGK[156.13]PGAHVTVK[156.13]K[156.13]LF.V</t>
  </si>
  <si>
    <t>MegaP_hMMP9_GluC_AP_QStar-XL_20080919.03683.03683.3</t>
  </si>
  <si>
    <t>P.n[89.01]IREAGEQGDIEPRRM.V</t>
  </si>
  <si>
    <t>MegaP_hMMP9_GluC_AP_QStar-XL_20080919.03694.03694.3</t>
  </si>
  <si>
    <t>MegaP_hMMP9_GluC_AP_QStar-XL_20080919.03698.03698.3</t>
  </si>
  <si>
    <t>V.n[89.01]ELLIK[156.13]YGADVHTQSK[156.13]F.C</t>
  </si>
  <si>
    <t>sp|Q06547|GABP1_HUMAN</t>
  </si>
  <si>
    <t>GA-binding protein subunit beta-1 OS=Homo sapiens GN=GABPB1 PE=1 SV=2</t>
  </si>
  <si>
    <t>MegaP_hMMP9_GluC_AP_QStar-XL_20080919.03771.03771.3</t>
  </si>
  <si>
    <t>A.n[29.04]TGK[156.13]PPQYIAVHVVPDQ.L</t>
  </si>
  <si>
    <t>MegaP_hMMP9_GluC_AP_QStar-XL_20080919.03775.03775.4</t>
  </si>
  <si>
    <t>R.n[89.01]AVAREESGK[156.13]PGAHVTVK[156.13]K[156.13]LF.V</t>
  </si>
  <si>
    <t>MegaP_hMMP9_GluC_AP_QStar-XL_20080919.03783.03783.3</t>
  </si>
  <si>
    <t>MegaP_hMMP9_GluC_AP_QStar-XL_20080919.03789.03789.3</t>
  </si>
  <si>
    <t>L.n[29.04]AQATGK[156.13]PPQYIAVHVVPDQ.L</t>
  </si>
  <si>
    <t>MegaP_hMMP9_GluC_AP_QStar-XL_20080919.03793.03793.2</t>
  </si>
  <si>
    <t>D.n[89.01]LLGVAHNNLM[147.04]A.M</t>
  </si>
  <si>
    <t>sp|P0C0L4|CO4A_HUMAN,sp|P0C0L4-2|CO4A_HUMAN</t>
  </si>
  <si>
    <t>Complement C4-A OS=Homo sapiens GN=C4A PE=1 SV=2</t>
  </si>
  <si>
    <t>MegaP_hMMP9_GluC_AP_QStar-XL_20080919.03813.03813.3</t>
  </si>
  <si>
    <t>R.n[89.01]ARIVTDRETGSSK[156.13]GF.G</t>
  </si>
  <si>
    <t>MegaP_hMMP9_GluC_AP_QStar-XL_20080919.03840.03840.3</t>
  </si>
  <si>
    <t>E.n[89.01]QK[156.13]AAK[156.13]LK[156.13]EK[156.13]YEK[156.13]DIAAY.R</t>
  </si>
  <si>
    <t>sp|P26583|HMGB2_HUMAN</t>
  </si>
  <si>
    <t>High mobility group protein B2 OS=Homo sapiens GN=HMGB2 PE=1 SV=2</t>
  </si>
  <si>
    <t>MegaP_hMMP9_GluC_AP_QStar-XL_20080919.03884.03884.4</t>
  </si>
  <si>
    <t>M.n[29.04]K[156.13]GNDISSGTVLSDYVGSGPPK[156.13]GTGLHR.Y</t>
  </si>
  <si>
    <t>MegaP_hMMP9_GluC_AP_QStar-XL_20080919.03932.03932.4</t>
  </si>
  <si>
    <t>17/150</t>
  </si>
  <si>
    <t>MegaP_hMMP9_GluC_AP_QStar-XL_20080919.03957.03957.2</t>
  </si>
  <si>
    <t>G.n[89.01]LAGK[156.13]DPVQC[160.03].S</t>
  </si>
  <si>
    <t>MegaP_hMMP9_GluC_AP_QStar-XL_20080919.03982.03982.3</t>
  </si>
  <si>
    <t>S.n[89.01]LAAPIDHK[156.13]PC[160.03]SAPLEPK[156.13]S.Q</t>
  </si>
  <si>
    <t>MegaP_hMMP9_GluC_AP_QStar-XL_20080919.04013.04013.2</t>
  </si>
  <si>
    <t>P.n[89.01]ERSSTGPEPPAPTPL.L</t>
  </si>
  <si>
    <t>MegaP_hMMP9_GluC_AP_QStar-XL_20080919.04038.04038.2</t>
  </si>
  <si>
    <t>T.n[29.04]LDDVIQTGVDNPGHPY.L</t>
  </si>
  <si>
    <t>MegaP_hMMP9_GluC_AP_QStar-XL_20080919.04079.04079.2</t>
  </si>
  <si>
    <t>R.n[89.01]IVTDRETGSSK[156.13]GF.G</t>
  </si>
  <si>
    <t>MegaP_hMMP9_GluC_AP_QStar-XL_20080919.04084.04084.3</t>
  </si>
  <si>
    <t>S.n[89.01]ILGK[156.13]PADRVNVTVR.P</t>
  </si>
  <si>
    <t>sp|A6NHG4|DDTL_HUMAN</t>
  </si>
  <si>
    <t>D-dopachrome decarboxylase-like protein OS=Homo sapiens GN=DDTL PE=2 SV=1</t>
  </si>
  <si>
    <t>MegaP_hMMP9_GluC_AP_QStar-XL_20080919.04095.04095.3</t>
  </si>
  <si>
    <t>MegaP_hMMP9_GluC_AP_QStar-XL_20080919.04099.04099.3</t>
  </si>
  <si>
    <t>E.n[89.01]LITK[156.13]AVAASK[156.13]ER.S</t>
  </si>
  <si>
    <t>MegaP_hMMP9_GluC_AP_QStar-XL_20080919.04107.04107.4</t>
  </si>
  <si>
    <t>15/102</t>
  </si>
  <si>
    <t>G.n[89.01]QRDLDRIAGQVAAANK[156.13]K[156.13]H.-</t>
  </si>
  <si>
    <t>sp|P39019|RS19_HUMAN</t>
  </si>
  <si>
    <t>40S ribosomal protein S19 OS=Homo sapiens GN=RPS19 PE=1 SV=2</t>
  </si>
  <si>
    <t>MegaP_hMMP9_GluC_AP_QStar-XL_20080919.04116.04116.3</t>
  </si>
  <si>
    <t>MegaP_hMMP9_GluC_AP_QStar-XL_20080919.04138.04138.2</t>
  </si>
  <si>
    <t>E.n[89.01]MWSEQSAK[156.13]DK[156.13]QPYE.Q</t>
  </si>
  <si>
    <t>MegaP_hMMP9_GluC_AP_QStar-XL_20080919.04180.04180.2</t>
  </si>
  <si>
    <t>F.n[29.04]TLDDVIQTGVDNPGHPY.L</t>
  </si>
  <si>
    <t>MegaP_hMMP9_GluC_AP_QStar-XL_20080919.04245.04245.2</t>
  </si>
  <si>
    <t>G.n[89.01]LAGPVRGVGGPSQ.Q</t>
  </si>
  <si>
    <t>sp|P14678|RSMB_HUMAN</t>
  </si>
  <si>
    <t>Small nuclear ribonucleoprotein-associated proteins B and B' OS=Homo sapiens GN=SNRPB PE=1 SV=2</t>
  </si>
  <si>
    <t>MegaP_hMMP9_GluC_AP_QStar-XL_20080919.04250.04250.2</t>
  </si>
  <si>
    <t>D.n[89.01]LAGSIIGK[156.13]GGQR.L</t>
  </si>
  <si>
    <t>MegaP_hMMP9_GluC_AP_QStar-XL_20080919.04253.04253.3</t>
  </si>
  <si>
    <t>G.n[89.01]LTSAAPAGGDK[156.13]K[156.13]VIATK[156.13]VL.G</t>
  </si>
  <si>
    <t>MegaP_hMMP9_GluC_AP_QStar-XL_20080919.04258.04258.2</t>
  </si>
  <si>
    <t>MegaP_hMMP9_GluC_AP_QStar-XL_20080919.04262.04262.2</t>
  </si>
  <si>
    <t>20/22</t>
  </si>
  <si>
    <t>MegaP_hMMP9_GluC_AP_QStar-XL_20080919.04265.04265.3</t>
  </si>
  <si>
    <t>MegaP_hMMP9_GluC_AP_QStar-XL_20080919.04319.04319.3</t>
  </si>
  <si>
    <t>E.n[29.04]DHGRGYFEYIEENK[156.13]Y.S</t>
  </si>
  <si>
    <t>MegaP_hMMP9_GluC_AP_QStar-XL_20080919.04336.04336.3</t>
  </si>
  <si>
    <t>A.n[29.04]TGK[156.13]PPQYIAVHVVPDQL.M</t>
  </si>
  <si>
    <t>MegaP_hMMP9_GluC_AP_QStar-XL_20080919.04338.04338.3</t>
  </si>
  <si>
    <t>L.n[29.04]AQATGK[156.13]PPQYIAVHVVPDQL.M</t>
  </si>
  <si>
    <t>MegaP_hMMP9_GluC_AP_QStar-XL_20080919.04370.04370.3</t>
  </si>
  <si>
    <t>12/60</t>
  </si>
  <si>
    <t>A.n[89.01]LC[160.03]SLHSIGK[156.13]IGGAQNR.S</t>
  </si>
  <si>
    <t>MegaP_hMMP9_GluC_AP_QStar-XL_20080919.04378.04378.2</t>
  </si>
  <si>
    <t>C.n[89.01]QQDWVVQRIGK[156.13].-</t>
  </si>
  <si>
    <t>sp|Q9UBF6|RBX2_HUMAN,sp|Q9UBF6-4|RBX2_HUMAN</t>
  </si>
  <si>
    <t>RING-box protein 2 OS=Homo sapiens GN=RNF7 PE=1 SV=1</t>
  </si>
  <si>
    <t>MegaP_hMMP9_GluC_AP_QStar-XL_20080919.04386.04386.3</t>
  </si>
  <si>
    <t>MegaP_hMMP9_GluC_AP_QStar-XL_20080919.04391.04391.3</t>
  </si>
  <si>
    <t>R.n[89.01]RHPEYAVSVLLR.L</t>
  </si>
  <si>
    <t>MegaP_hMMP9_GluC_AP_QStar-XL_20080919.04405.04405.4</t>
  </si>
  <si>
    <t>19/114</t>
  </si>
  <si>
    <t>S.n[89.01]LRSK[156.13]VDEAVAVLQAHHAK[156.13]K[156.13]E.A</t>
  </si>
  <si>
    <t>sp|Q13310|PABP4_HUMAN,sp|Q13310-2|PABP4_HUMAN,sp|Q13310-3|PABP4_HUMAN</t>
  </si>
  <si>
    <t>Polyadenylate-binding protein 4 OS=Homo sapiens GN=PABPC4 PE=1 SV=1</t>
  </si>
  <si>
    <t>MegaP_hMMP9_GluC_AP_QStar-XL_20080919.04407.04407.3</t>
  </si>
  <si>
    <t>MegaP_hMMP9_GluC_AP_QStar-XL_20080919.04439.04439.3</t>
  </si>
  <si>
    <t>E.n[89.01]DHGRGYFEYIEENK[156.13]Y.S</t>
  </si>
  <si>
    <t>MegaP_hMMP9_GluC_AP_QStar-XL_20080919.04466.04466.2</t>
  </si>
  <si>
    <t>F.n[89.01]IVNTNVPRASVPDG.F</t>
  </si>
  <si>
    <t>MegaP_hMMP9_GluC_AP_QStar-XL_20080919.04474.04474.2</t>
  </si>
  <si>
    <t>A.n[89.01]LRSLQQLQH.-</t>
  </si>
  <si>
    <t>sp|O60232|SSA27_HUMAN</t>
  </si>
  <si>
    <t>Sjoegren syndrome\scleroderma autoantigen 1 OS=Homo sapiens GN=SSSCA1 PE=1 SV=1</t>
  </si>
  <si>
    <t>MegaP_hMMP9_GluC_AP_QStar-XL_20080919.04475.04475.2</t>
  </si>
  <si>
    <t>G.n[89.01]C[160.03]YAK[156.13]NFGPK[156.13]GF.G</t>
  </si>
  <si>
    <t>sp|P21291|CSRP1_HUMAN</t>
  </si>
  <si>
    <t>Cysteine and glycine-rich protein 1 OS=Homo sapiens GN=CSRP1 PE=1 SV=3</t>
  </si>
  <si>
    <t>MegaP_hMMP9_GluC_AP_QStar-XL_20080919.04489.04489.4</t>
  </si>
  <si>
    <t>K.n[89.01]GLSGGFGSRSLYSLGGVR.S</t>
  </si>
  <si>
    <t>sp|Q3SY84|K2C71_HUMAN</t>
  </si>
  <si>
    <t>Keratin, type II cytoskeletal 71 OS=Homo sapiens GN=KRT71 PE=1 SV=3</t>
  </si>
  <si>
    <t>MegaP_hMMP9_GluC_AP_QStar-XL_20080919.04548.04548.4</t>
  </si>
  <si>
    <t>A.n[89.01]QK[156.13]SIQEIQELDK[156.13]DDESLRK[156.13]Y.K</t>
  </si>
  <si>
    <t>sp|P52565|GDIR1_HUMAN</t>
  </si>
  <si>
    <t>MegaP_hMMP9_GluC_AP_QStar-XL_20080919.04549.04549.3</t>
  </si>
  <si>
    <t>D.n[89.01]C[160.03]K[156.13]VYVGNLGNNGNK[156.13]TELERAFG.Y</t>
  </si>
  <si>
    <t>MegaP_hMMP9_GluC_AP_QStar-XL_20080919.04572.04572.2</t>
  </si>
  <si>
    <t>G.n[89.01]FGAQGPK[156.13]GGSGSGPTIEEVD.-</t>
  </si>
  <si>
    <t>MegaP_hMMP9_GluC_AP_QStar-XL_20080919.04599.04599.4</t>
  </si>
  <si>
    <t>15/114</t>
  </si>
  <si>
    <t>D.n[89.01]GRTLSDYNIQK[156.13]ESTLHLVLR.L</t>
  </si>
  <si>
    <t>MegaP_hMMP9_GluC_AP_QStar-XL_20080919.04706.04706.3</t>
  </si>
  <si>
    <t>E.n[89.01]LFADK[156.13]VPK[156.13]TAENFRA.L</t>
  </si>
  <si>
    <t>MegaP_hMMP9_GluC_AP_QStar-XL_20080919.04731.04731.3</t>
  </si>
  <si>
    <t>20/68</t>
  </si>
  <si>
    <t>A.n[89.01]LNGK[156.13]EVAAQVK[156.13]APLVLK[156.13]D.-</t>
  </si>
  <si>
    <t>MegaP_hMMP9_GluC_AP_QStar-XL_20080919.04742.04742.3</t>
  </si>
  <si>
    <t>G.n[89.01]VRGYPTLK[156.13]LFK[156.13]PGQE.A</t>
  </si>
  <si>
    <t>sp|Q8NBS9|TXND5_HUMAN,sp|Q8NBS9-2|TXND5_HUMAN</t>
  </si>
  <si>
    <t>Thioredoxin domain-containing protein 5 OS=Homo sapiens GN=TXNDC5 PE=1 SV=2</t>
  </si>
  <si>
    <t>MegaP_hMMP9_GluC_AP_QStar-XL_20080919.04743.04743.2</t>
  </si>
  <si>
    <t>R.n[29.04]HPEYAVSVLLR.L</t>
  </si>
  <si>
    <t>MegaP_hMMP9_GluC_AP_QStar-XL_20080919.04829.04829.3</t>
  </si>
  <si>
    <t>E.n[89.01]LITK[156.13]AVAASK[156.13]ERSGVSL.A</t>
  </si>
  <si>
    <t>sp|P16403|H12_HUMAN,sp|P16402|H13_HUMAN,sp|P10412|H14_HUMAN</t>
  </si>
  <si>
    <t>MegaP_hMMP9_GluC_AP_QStar-XL_20080919.04843.04843.3</t>
  </si>
  <si>
    <t>MegaP_hMMP9_GluC_AP_QStar-XL_20080919.04859.04859.3</t>
  </si>
  <si>
    <t>MegaP_hMMP9_GluC_AP_QStar-XL_20080919.04876.04876.3</t>
  </si>
  <si>
    <t>MegaP_hMMP9_GluC_AP_QStar-XL_20080919.04892.04892.3</t>
  </si>
  <si>
    <t>MegaP_hMMP9_GluC_AP_QStar-XL_20080919.04896.04896.4</t>
  </si>
  <si>
    <t>R.n[89.01]K[156.13]ASGPPVSELITK[156.13]AVAASK[156.13]ER.S</t>
  </si>
  <si>
    <t>MegaP_hMMP9_GluC_AP_QStar-XL_20080919.04905.04905.3</t>
  </si>
  <si>
    <t>MegaP_hMMP9_GluC_AP_QStar-XL_20080919.04913.04913.4</t>
  </si>
  <si>
    <t>20/108</t>
  </si>
  <si>
    <t>S.n[89.01]LRSK[156.13]VDEAVAVLQAHQAK[156.13]E.A</t>
  </si>
  <si>
    <t>MegaP_hMMP9_GluC_AP_QStar-XL_20080919.04921.04921.3</t>
  </si>
  <si>
    <t>Q.n[89.01]ISAGYAPVLDC[160.03]HTAHIAC[160.03]K[156.13]F.A</t>
  </si>
  <si>
    <t>MegaP_hMMP9_GluC_AP_QStar-XL_20080919.04926.04926.4</t>
  </si>
  <si>
    <t>16/108</t>
  </si>
  <si>
    <t>MegaP_hMMP9_GluC_AP_QStar-XL_20080919.04930.04930.3</t>
  </si>
  <si>
    <t>18/92</t>
  </si>
  <si>
    <t>D.n[89.01]YNGPREK[156.13]YGIVDYMIEQSGPPSK[156.13]E.L</t>
  </si>
  <si>
    <t>MegaP_hMMP9_GluC_AP_QStar-XL_20080919.04939.04939.2</t>
  </si>
  <si>
    <t>A.n[89.01]C[160.03]AEALRSLQQLQH.-</t>
  </si>
  <si>
    <t>MegaP_hMMP9_GluC_AP_QStar-XL_20080919.04955.04955.3</t>
  </si>
  <si>
    <t>A.n[89.01]LLAHEIGFGSK[156.13]VTTH.P</t>
  </si>
  <si>
    <t>MegaP_hMMP9_GluC_AP_QStar-XL_20080919.04993.04993.3</t>
  </si>
  <si>
    <t>Y.n[89.01]EAAATRLK[156.13]GIVPLAK[156.13]VD.C</t>
  </si>
  <si>
    <t>MegaP_hMMP9_GluC_AP_QStar-XL_20080919.04995.04995.3</t>
  </si>
  <si>
    <t>S.n[89.01]FK[156.13]VGVGK[156.13]VIRGWDE.A</t>
  </si>
  <si>
    <t>MegaP_hMMP9_GluC_AP_QStar-XL_20080919.04999.04999.3</t>
  </si>
  <si>
    <t>T.n[89.01]LLAK[156.13]NLPYK[156.13]VTQDELK[156.13]E.V</t>
  </si>
  <si>
    <t>MegaP_hMMP9_GluC_AP_QStar-XL_20080919.05102.05102.2</t>
  </si>
  <si>
    <t>R.n[89.01]HPEYAVSVLLR.L</t>
  </si>
  <si>
    <t>MegaP_hMMP9_GluC_AP_QStar-XL_20080919.05120.05120.2</t>
  </si>
  <si>
    <t>K.n[89.01]VPQVSTPTLVEVSR.S</t>
  </si>
  <si>
    <t>MegaP_hMMP9_GluC_AP_QStar-XL_20080919.05126.05126.3</t>
  </si>
  <si>
    <t>E.n[89.01]LFADK[156.13]VPK[156.13]TAENFRAL.S</t>
  </si>
  <si>
    <t>MegaP_hMMP9_GluC_AP_QStar-XL_20080919.05133.05133.3</t>
  </si>
  <si>
    <t>D.n[89.01]EISK[156.13]PEVPEDVDLDLK[156.13]K[156.13]L.R</t>
  </si>
  <si>
    <t>sp|Q9UHB6|LIMA1_HUMAN</t>
  </si>
  <si>
    <t>LIM domain and actin-binding protein 1 OS=Homo sapiens GN=LIMA1 PE=1 SV=1</t>
  </si>
  <si>
    <t>MegaP_hMMP9_GluC_AP_QStar-XL_20080919.05136.05136.4</t>
  </si>
  <si>
    <t>12/198</t>
  </si>
  <si>
    <t>S.n[89.01]LRSK[156.13]VDEAVAVLQAHQAK[156.13]EAAQK[156.13]AVNSATGVPTV.-</t>
  </si>
  <si>
    <t>sp|P11940|PABP1_HUMAN,sp|P11940-2|PABP1_HUMAN</t>
  </si>
  <si>
    <t>MegaP_hMMP9_GluC_AP_QStar-XL_20080919.05140.05140.3</t>
  </si>
  <si>
    <t>MegaP_hMMP9_GluC_AP_QStar-XL_20080919.05148.05148.4</t>
  </si>
  <si>
    <t>19/198</t>
  </si>
  <si>
    <t>MegaP_hMMP9_GluC_AP_QStar-XL_20080919.05150.05150.4</t>
  </si>
  <si>
    <t>26/198</t>
  </si>
  <si>
    <t>MegaP_hMMP9_GluC_AP_QStar-XL_20080919.05162.05162.3</t>
  </si>
  <si>
    <t>R.n[89.01]IVAPGK[156.13]GILAADESTGSIAK[156.13]RL.Q</t>
  </si>
  <si>
    <t>MegaP_hMMP9_GluC_AP_QStar-XL_20080919.05204.05204.3</t>
  </si>
  <si>
    <t>W.n[29.04]AK[156.13]GHYTEGAELVDSVLDVVR.K</t>
  </si>
  <si>
    <t>MegaP_hMMP9_GluC_AP_QStar-XL_20080919.05339.05339.4</t>
  </si>
  <si>
    <t>20/150</t>
  </si>
  <si>
    <t>R.n[89.01]K[156.13]ASGPPVSELITK[156.13]AVAASK[156.13]ERSGVSL.A</t>
  </si>
  <si>
    <t>MegaP_hMMP9_GluC_AP_QStar-XL_20080919.05352.05352.4</t>
  </si>
  <si>
    <t>22/150</t>
  </si>
  <si>
    <t>MegaP_hMMP9_GluC_AP_QStar-XL_20080919.05362.05362.2</t>
  </si>
  <si>
    <t>N.n[89.01]LISK[156.13]LSAK[156.13]FGGQA.-</t>
  </si>
  <si>
    <t>sp|P50502|F10A1_HUMAN,sp|Q8NFI4|F10A5_HUMAN</t>
  </si>
  <si>
    <t>MegaP_hMMP9_GluC_AP_QStar-XL_20080919.05366.05366.4</t>
  </si>
  <si>
    <t>MegaP_hMMP9_GluC_AP_QStar-XL_20080919.05377.05377.2</t>
  </si>
  <si>
    <t>MegaP_hMMP9_GluC_AP_QStar-XL_20080919.05380.05380.4</t>
  </si>
  <si>
    <t>MegaP_hMMP9_GluC_AP_QStar-XL_20080919.05392.05392.2</t>
  </si>
  <si>
    <t>MegaP_hMMP9_GluC_AP_QStar-XL_20080919.05409.05409.2</t>
  </si>
  <si>
    <t>MegaP_hMMP9_GluC_AP_QStar-XL_20080919.05418.05418.2</t>
  </si>
  <si>
    <t>E.n[89.01]IVDYIADK[156.13]K[156.13]DVYE.-</t>
  </si>
  <si>
    <t>sp|O14561|ACPM_HUMAN</t>
  </si>
  <si>
    <t>Acyl carrier protein, mitochondrial OS=Homo sapiens GN=NDUFAB1 PE=1 SV=3</t>
  </si>
  <si>
    <t>MegaP_hMMP9_GluC_AP_QStar-XL_20080919.05441.05441.3</t>
  </si>
  <si>
    <t>S.n[89.01]ELITK[156.13]AVAASK[156.13]ERSGVSL.A</t>
  </si>
  <si>
    <t>MegaP_hMMP9_GluC_AP_QStar-XL_20080919.05442.05442.3</t>
  </si>
  <si>
    <t>K.n[89.01]ASGPPVSELITK[156.13]AVAASK[156.13]ER.S</t>
  </si>
  <si>
    <t>MegaP_hMMP9_GluC_AP_QStar-XL_20080919.05443.05443.3</t>
  </si>
  <si>
    <t>MegaP_hMMP9_GluC_AP_QStar-XL_20080919.05480.05480.3</t>
  </si>
  <si>
    <t>A.n[89.01]IVEALNGK[156.13]EVAAQVK[156.13]APLVLK[156.13]D.-</t>
  </si>
  <si>
    <t>MegaP_hMMP9_GluC_AP_QStar-XL_20080919.05512.05512.4</t>
  </si>
  <si>
    <t>G.n[89.01]RVSFELFADK[156.13]VPK[156.13]TAENFRAL.S</t>
  </si>
  <si>
    <t>MegaP_hMMP9_GluC_AP_QStar-XL_20080919.05525.05525.2</t>
  </si>
  <si>
    <t>E.n[89.01]LIGTLNAAK[156.13]VPADTE.V</t>
  </si>
  <si>
    <t>MegaP_hMMP9_GluC_AP_QStar-XL_20080919.05539.05539.2</t>
  </si>
  <si>
    <t>E.n[89.01]LIGTLNAAK[156.13]VPAD.T</t>
  </si>
  <si>
    <t>MegaP_hMMP9_GluC_AP_QStar-XL_20080919.05554.05554.2</t>
  </si>
  <si>
    <t>MegaP_hMMP9_GluC_AP_QStar-XL_20080919.05569.05569.2</t>
  </si>
  <si>
    <t>MegaP_hMMP9_GluC_AP_QStar-XL_20080919.05603.05603.2</t>
  </si>
  <si>
    <t>MegaP_hMMP9_GluC_AP_QStar-XL_20080919.05767.05767.4</t>
  </si>
  <si>
    <t>18/222</t>
  </si>
  <si>
    <t>S.n[89.01]VK[156.13]VGDK[156.13]VLLPEYGGTK[156.13]VVLDDK[156.13]DYFLFRDGDILGK[156.13]YVD.-</t>
  </si>
  <si>
    <t>MegaP_hMMP9_GluC_AP_QStar-XL_20080919.05820.05820.3</t>
  </si>
  <si>
    <t>K.n[89.01]ASGPPVSELITK[156.13]AVAASK[156.13]ERSGVSL.A</t>
  </si>
  <si>
    <t>MegaP_hMMP9_GluC_AP_QStar-XL_20080919.05840.05840.3</t>
  </si>
  <si>
    <t>L.n[29.04]STALEHQEYITFLEDLK[156.13]SFVK[156.13]SQ.-</t>
  </si>
  <si>
    <t>sp|Q07021|C1QBP_HUMAN</t>
  </si>
  <si>
    <t>Complement component 1 Q subcomponent-binding protein, mitochondrial OS=Homo sapiens GN=C1QBP PE=1 SV=1</t>
  </si>
  <si>
    <t>MegaP_hMMP9_GluC_AP_QStar-XL_20080919.05861.05861.3</t>
  </si>
  <si>
    <t>F.n[89.01]LVAAHEFGHALGLDHSSVPEA.L</t>
  </si>
  <si>
    <t>sp|P14780|MMP9_HUMAN</t>
  </si>
  <si>
    <t>Matrix metalloproteinase-9 OS=Homo sapiens GN=MMP9 PE=1 SV=3</t>
  </si>
  <si>
    <t>MegaP_hMMP9_GluC_AP_QStar-XL_20080919.05886.05886.3</t>
  </si>
  <si>
    <t>20/72</t>
  </si>
  <si>
    <t>T.n[89.01]EISDK[156.13]ITSELVSK[156.13]IGDK[156.13]NW.K</t>
  </si>
  <si>
    <t>sp|Q14008|CKAP5_HUMAN</t>
  </si>
  <si>
    <t>Cytoskeleton-associated protein 5 OS=Homo sapiens GN=CKAP5 PE=1 SV=3</t>
  </si>
  <si>
    <t>MegaP_hMMP9_GluC_AP_QStar-XL_20080919.05928.05928.3</t>
  </si>
  <si>
    <t>R.n[89.01]K[156.13]FLPLFDRVLVER.S</t>
  </si>
  <si>
    <t>MegaP_hMMP9_GluC_AP_QStar-XL_20080919.05933.05933.3</t>
  </si>
  <si>
    <t>E.n[89.01]LRAPVAGTC[160.03]YQAEWDDYVPK[156.13]LYEQLSGK[156.13].-</t>
  </si>
  <si>
    <t>MegaP_hMMP9_GluC_AP_QStar-XL_20080919.05938.05938.2</t>
  </si>
  <si>
    <t>D.n[89.01]FC[160.03]GLTHLVK[156.13]L.D</t>
  </si>
  <si>
    <t>MegaP_hMMP9_GluC_AP_QStar-XL_20080919.05980.05980.2</t>
  </si>
  <si>
    <t>K.n[89.01]LGEYGFQNALIVR.Y</t>
  </si>
  <si>
    <t>MegaP_hMMP9_GluC_AP_QStar-XL_20080919.05991.05991.3</t>
  </si>
  <si>
    <t>R.n[89.01]K[156.13]GLK[156.13]EGIPALDNFLDK[156.13]L.-</t>
  </si>
  <si>
    <t>MegaP_hMMP9_GluC_AP_QStar-XL_20080919.06002.06002.2</t>
  </si>
  <si>
    <t>T.n[89.01]LLGTAK[156.13]MLLHE.G</t>
  </si>
  <si>
    <t>sp|Q53H96|P5CR3_HUMAN</t>
  </si>
  <si>
    <t>Pyrroline-5-carboxylate reductase 3 OS=Homo sapiens GN=PYCRL PE=1 SV=2</t>
  </si>
  <si>
    <t>MegaP_hMMP9_GluC_AP_QStar-XL_20080919.06018.06018.2</t>
  </si>
  <si>
    <t>K.n[89.01]IIFEDDRC[160.03]LAFHDI.S</t>
  </si>
  <si>
    <t>MegaP_hMMP9_GluC_AP_QStar-XL_20080919.06038.06038.2</t>
  </si>
  <si>
    <t>A.n[89.01]VTSAQVIK[156.13]PPLIF.V</t>
  </si>
  <si>
    <t>MegaP_hMMP9_GluC_AP_QStar-XL_20080919.06045.06045.2</t>
  </si>
  <si>
    <t>R.n[89.01]SYSK[156.13]LLC[160.03]GLLAERL.R</t>
  </si>
  <si>
    <t>MegaP_hMMP9_GluC_AP_QStar-XL_20080919.06050.06050.3</t>
  </si>
  <si>
    <t>H.n[89.01]LQLAIRNDEELNK[156.13]LLGRVTIA.Q</t>
  </si>
  <si>
    <t>MegaP_hMMP9_GluC_AP_QStar-XL_20080919.06062.06062.2</t>
  </si>
  <si>
    <t>D.n[89.01]IAQTVQEDLRTF.S</t>
  </si>
  <si>
    <t>MegaP_hMMP9_GluC_AP_QStar-XL_20080919.06099.06099.2</t>
  </si>
  <si>
    <t>A.n[89.01]VIDDAFARAFA.L</t>
  </si>
  <si>
    <t>MegaP_hMMP9_GluC_AP_QStar-XL_20080919.06113.06113.2</t>
  </si>
  <si>
    <t>E.n[89.01]ISSMVLTK[156.13]MK[156.13]EIAEA.Y</t>
  </si>
  <si>
    <t>MegaP_hMMP9_GluC_AP_QStar-XL_20080919.06119.06119.2</t>
  </si>
  <si>
    <t>E.n[89.01]IC[160.03]ALVGFC[160.03]DEVK[156.13].E</t>
  </si>
  <si>
    <t>sp|P07602|SAP_HUMAN,sp|P07602-2|SAP_HUMAN,sp|P07602-3|SAP_HUMAN</t>
  </si>
  <si>
    <t>Proactivator polypeptide OS=Homo sapiens GN=PSAP PE=1 SV=2</t>
  </si>
  <si>
    <t>MegaP_hMMP9_GluC_AP_QStar-XL_20080919.06134.06134.2</t>
  </si>
  <si>
    <t>P.n[89.01]VIVEPLEQLDDEDGLPEK[156.13]L.A</t>
  </si>
  <si>
    <t>sp|P23246|SFPQ_HUMAN</t>
  </si>
  <si>
    <t>MegaP_hMMP9_GluC_AP_QStar-XL_20080919.06169.06169.3</t>
  </si>
  <si>
    <t>13/108</t>
  </si>
  <si>
    <t>G.n[89.01]FLSELTQQLAQATGK[156.13]PPQYIAVHVVPDQ.L</t>
  </si>
  <si>
    <t>MegaP_hMMP9_GluC_AP_QStar-XL_20080919.06193.06193.2</t>
  </si>
  <si>
    <t>K.n[89.01]IIFEDDRC[160.03]LAF.H</t>
  </si>
  <si>
    <t>MegaP_hMMP9_GluC_AP_QStar-XL_20080919.06201.06201.2</t>
  </si>
  <si>
    <t>G.n[89.01]LTAFEATDNQAIK[156.13]ALLQ.-</t>
  </si>
  <si>
    <t>sp|P58546|MTPN_HUMAN</t>
  </si>
  <si>
    <t>Myotrophin OS=Homo sapiens GN=MTPN PE=1 SV=2</t>
  </si>
  <si>
    <t>MegaP_hMMP9_GluC_AP_QStar-XL_20080919.06213.06213.2</t>
  </si>
  <si>
    <t>A.n[89.01]VFVDLEPTVIDEVRTGTY.R</t>
  </si>
  <si>
    <t>sp|Q71U36|TBA1A_HUMAN</t>
  </si>
  <si>
    <t>MegaP_hMMP9_GluC_AP_QStar-XL_20080919.06240.06240.2</t>
  </si>
  <si>
    <t>G.n[89.01]FLSELTQQLAQATGK[156.13]PPQ.Y</t>
  </si>
  <si>
    <t>MegaP_hMMP9_GluC_AP_QStar-XL_20080919.06267.06267.2</t>
  </si>
  <si>
    <t>G.n[89.01]FLSELTQQLAQATGK[156.13]PPQY.L</t>
  </si>
  <si>
    <t>MegaP_hMMP9_GluC_AP_QStar-XL_20080919.07284.07284.3</t>
  </si>
  <si>
    <t>MegaP_hMMP9_GluC_AP_QStar-XL_20080919.07287.07287.3</t>
  </si>
  <si>
    <t>MegaP_hMMP9_GluC_AP_QStar-XL_20080919.07331.07331.3</t>
  </si>
  <si>
    <t>MegaP_hMMP9_GluC_AP_QStar-XL_20080919.07344.07344.3</t>
  </si>
  <si>
    <t>MegaP_hMMP9_GluC_AP_QStar-XL_20080919.07345.07345.3</t>
  </si>
  <si>
    <t>MegaP_hMMP9_GluC_AP_QStar-XL_20080919.07366.07366.2</t>
  </si>
  <si>
    <t>MegaP_hMMP9_GluC_AP_QStar-XL_20080919.07383.07383.3</t>
  </si>
  <si>
    <t>MegaP_hMMP9_GluC_AP_QStar-XL_20080919.07395.07395.3</t>
  </si>
  <si>
    <t>G.n[89.01]LTSAAPAGGDK[156.13]K[156.13]VIATK[156.13]VLG.T</t>
  </si>
  <si>
    <t>MegaP_hMMP9_GluC_AP_QStar-XL_20080919.07398.07398.2</t>
  </si>
  <si>
    <t>MegaP_hMMP9_GluC_AP_QStar-XL_20080919.07399.07399.2</t>
  </si>
  <si>
    <t>MegaP_hMMP9_GluC_AP_QStar-XL_20080919.07401.07401.3</t>
  </si>
  <si>
    <t>MegaP_hMMP9_GluC_AP_QStar-XL_20080919.07409.07409.3</t>
  </si>
  <si>
    <t>MegaP_hMMP9_GluC_AP_QStar-XL_20080919.07411.07411.3</t>
  </si>
  <si>
    <t>MegaP_hMMP9_GluC_AP_QStar-XL_20080919.07415.07415.3</t>
  </si>
  <si>
    <t>MegaP_hMMP9_GluC_AP_QStar-XL_20080919.07425.07425.2</t>
  </si>
  <si>
    <t>MegaP_hMMP9_GluC_AP_QStar-XL_20080919.07464.07464.3</t>
  </si>
  <si>
    <t>MegaP_hMMP9_GluC_AP_QStar-XL_20080919.07473.07473.4</t>
  </si>
  <si>
    <t>MegaP_hMMP9_GluC_AP_QStar-XL_20080919.07492.07492.2</t>
  </si>
  <si>
    <t>MegaP_hMMP9_GluC_AP_QStar-XL_20080919.07493.07493.3</t>
  </si>
  <si>
    <t>S.n[89.01]IYGEK[156.13]FEDENFILK[156.13]H.T</t>
  </si>
  <si>
    <t>MegaP_hMMP9_GluC_AP_QStar-XL_20080919.07495.07495.2</t>
  </si>
  <si>
    <t>MegaP_hMMP9_GluC_AP_QStar-XL_20080919.07497.07497.4</t>
  </si>
  <si>
    <t>MegaP_hMMP9_GluC_AP_QStar-XL_20080919.07499.07499.3</t>
  </si>
  <si>
    <t>MegaP_hMMP9_GluC_AP_QStar-XL_20080919.07502.07502.3</t>
  </si>
  <si>
    <t>MegaP_hMMP9_GluC_AP_QStar-XL_20080919.07512.07512.2</t>
  </si>
  <si>
    <t>G.n[29.04]SEASGPPAAAPPALI.E</t>
  </si>
  <si>
    <t>sp|Q96JJ6|JPH4_HUMAN</t>
  </si>
  <si>
    <t>Junctophilin-4 OS=Homo sapiens GN=JPH4 PE=1 SV=2</t>
  </si>
  <si>
    <t>MegaP_hMMP9_GluC_AP_QStar-XL_20080919.07512.07512.4</t>
  </si>
  <si>
    <t>MegaP_hMMP9_GluC_AP_QStar-XL_20080919.07515.07515.2</t>
  </si>
  <si>
    <t>MegaP_hMMP9_GluC_AP_QStar-XL_20080919.07518.07518.2</t>
  </si>
  <si>
    <t>MegaP_hMMP9_GluC_AP_QStar-XL_20080919.07519.07519.3</t>
  </si>
  <si>
    <t>MegaP_hMMP9_GluC_AP_QStar-XL_20080919.07534.07534.2</t>
  </si>
  <si>
    <t>MegaP_hMMP9_GluC_AP_QStar-XL_20080919.07563.07563.3</t>
  </si>
  <si>
    <t>MegaP_hMMP12_GluC_CB_QStar-XL_20080812.01295.01295.4</t>
  </si>
  <si>
    <t>23/84</t>
  </si>
  <si>
    <t>MegaP_hMMP12_GluC_CB_QStar-XL_20080812.01350.01350.4</t>
  </si>
  <si>
    <t>MegaP_hMMP12_GluC_CB_QStar-XL_20080812.01395.01395.3</t>
  </si>
  <si>
    <t>R.n[89.01]QRQPREDGNEEDK[156.13]E.N</t>
  </si>
  <si>
    <t>MegaP_hMMP12_GluC_CB_QStar-XL_20080812.01532.01532.3</t>
  </si>
  <si>
    <t>MegaP_hMMP12_GluC_CB_QStar-XL_20080812.01554.01554.3</t>
  </si>
  <si>
    <t>MegaP_hMMP12_GluC_CB_QStar-XL_20080812.01570.01570.3</t>
  </si>
  <si>
    <t>MegaP_hMMP12_GluC_CB_QStar-XL_20080812.01601.01601.2</t>
  </si>
  <si>
    <t>MegaP_hMMP12_GluC_CB_QStar-XL_20080812.01629.01629.3</t>
  </si>
  <si>
    <t>N.n[89.01]QGK[156.13]K[156.13]VDTTPNQGK[156.13]K[156.13]VE.G</t>
  </si>
  <si>
    <t>sp|Q9P2E9|RRBP1_HUMAN,sp|Q9P2E9-2|RRBP1_HUMAN</t>
  </si>
  <si>
    <t>Ribosome-binding protein 1 OS=Homo sapiens GN=RRBP1 PE=1 SV=4</t>
  </si>
  <si>
    <t>MegaP_hMMP12_GluC_CB_QStar-XL_20080812.01648.01648.2</t>
  </si>
  <si>
    <t>MegaP_hMMP12_GluC_CB_QStar-XL_20080812.01662.01662.2</t>
  </si>
  <si>
    <t>T.n[89.01]QK[156.13]TVDGPSGK[156.13].L</t>
  </si>
  <si>
    <t>MegaP_hMMP12_GluC_CB_QStar-XL_20080812.01664.01664.3</t>
  </si>
  <si>
    <t>MegaP_hMMP12_GluC_CB_QStar-XL_20080812.01676.01676.3</t>
  </si>
  <si>
    <t>P.n[89.01]HK[156.13]VDGRVVEPK[156.13]R.A</t>
  </si>
  <si>
    <t>sp|Q32P51|RA1L2_HUMAN</t>
  </si>
  <si>
    <t>MegaP_hMMP12_GluC_CB_QStar-XL_20080812.01683.01683.3</t>
  </si>
  <si>
    <t>MegaP_hMMP12_GluC_CB_QStar-XL_20080812.01691.01691.2</t>
  </si>
  <si>
    <t>MegaP_hMMP12_GluC_CB_QStar-XL_20080812.01700.01700.2</t>
  </si>
  <si>
    <t>H.n[89.01]VDSGK[156.13]STTTGH.L</t>
  </si>
  <si>
    <t>MegaP_hMMP12_GluC_CB_QStar-XL_20080812.01703.01703.2</t>
  </si>
  <si>
    <t>A.n[89.01]QTAPNK[156.13]DVQRE.L</t>
  </si>
  <si>
    <t>MegaP_hMMP12_GluC_CB_QStar-XL_20080812.01705.01705.3</t>
  </si>
  <si>
    <t>MegaP_hMMP12_GluC_CB_QStar-XL_20080812.01748.01748.3</t>
  </si>
  <si>
    <t>E.n[89.01]DRVRGPK[156.13]GPEE.K</t>
  </si>
  <si>
    <t>MegaP_hMMP12_GluC_CB_QStar-XL_20080812.01768.01768.2</t>
  </si>
  <si>
    <t>MegaP_hMMP12_GluC_CB_QStar-XL_20080812.01775.01775.3</t>
  </si>
  <si>
    <t>18/80</t>
  </si>
  <si>
    <t>MegaP_hMMP12_GluC_CB_QStar-XL_20080812.01787.01787.3</t>
  </si>
  <si>
    <t>A.n[89.01]LK[156.13]PK[156.13]VPK[156.13]K[156.13]EE.S</t>
  </si>
  <si>
    <t>sp|P46821|MAP1B_HUMAN</t>
  </si>
  <si>
    <t>Microtubule-associated protein 1B OS=Homo sapiens GN=MAP1B PE=1 SV=2</t>
  </si>
  <si>
    <t>MegaP_hMMP12_GluC_CB_QStar-XL_20080812.01803.01803.3</t>
  </si>
  <si>
    <t>MegaP_hMMP12_GluC_CB_QStar-XL_20080812.01817.01817.2</t>
  </si>
  <si>
    <t>sp|P04350|TBB4A_HUMAN</t>
  </si>
  <si>
    <t>MegaP_hMMP12_GluC_CB_QStar-XL_20080812.01821.01821.2</t>
  </si>
  <si>
    <t>Q.n[89.01]VVQK[156.13]K[156.13]PAQEE.T</t>
  </si>
  <si>
    <t>sp|P52926|HMGA2_HUMAN</t>
  </si>
  <si>
    <t>High mobility group protein HMGI-C OS=Homo sapiens GN=HMGA2 PE=1 SV=1</t>
  </si>
  <si>
    <t>MegaP_hMMP12_GluC_CB_QStar-XL_20080812.01824.01824.2</t>
  </si>
  <si>
    <t>R.n[89.01]LK[156.13]TDNAGDQHGGGGGGGGGAG.A</t>
  </si>
  <si>
    <t>MegaP_hMMP12_GluC_CB_QStar-XL_20080812.01840.01840.3</t>
  </si>
  <si>
    <t>Q.n[89.01]LK[156.13]RQPAPPRE.A</t>
  </si>
  <si>
    <t>sp|P46778|RL21_HUMAN</t>
  </si>
  <si>
    <t>60S ribosomal protein L21 OS=Homo sapiens GN=RPL21 PE=1 SV=2</t>
  </si>
  <si>
    <t>MegaP_hMMP12_GluC_CB_QStar-XL_20080812.01843.01843.2</t>
  </si>
  <si>
    <t>G.n[89.01]QK[156.13]C[160.03]SVIRD.S</t>
  </si>
  <si>
    <t>MegaP_hMMP12_GluC_CB_QStar-XL_20080812.01847.01847.2</t>
  </si>
  <si>
    <t>MegaP_hMMP12_GluC_CB_QStar-XL_20080812.01860.01860.2</t>
  </si>
  <si>
    <t>N.n[89.01]VINGGSHAGNK[156.13].L</t>
  </si>
  <si>
    <t>MegaP_hMMP12_GluC_CB_QStar-XL_20080812.01871.01871.3</t>
  </si>
  <si>
    <t>L.n[89.01]IK[156.13]RNSTIPTK[156.13]QT.Q</t>
  </si>
  <si>
    <t>MegaP_hMMP12_GluC_CB_QStar-XL_20080812.01879.01879.2</t>
  </si>
  <si>
    <t>G.n[89.01]LK[156.13]QAPASRNE.K</t>
  </si>
  <si>
    <t>sp|Q9UHD8|SEPT9_HUMAN,sp|Q9UHD8-2|SEPT9_HUMAN,sp|Q9UHD8-3|SEPT9_HUMAN,sp|Q9UHD8-4|SEPT9_HUMAN,sp|Q9UHD8-5|SEPT9_HUMAN,sp|Q9UHD8-7|SEPT9_HUMAN,sp|Q9UHD8-8|SEPT9_HUMAN,sp|Q9UHD8-9|SEPT9_HUMAN</t>
  </si>
  <si>
    <t>MegaP_hMMP12_GluC_CB_QStar-XL_20080812.01900.01900.2</t>
  </si>
  <si>
    <t>A.n[89.01]LNK[156.13]PK[156.13]K[156.13]PLTSS.S</t>
  </si>
  <si>
    <t>sp|Q15691|MARE1_HUMAN</t>
  </si>
  <si>
    <t>Microtubule-associated protein RP\EB family member 1 OS=Homo sapiens GN=MAPRE1 PE=1 SV=3</t>
  </si>
  <si>
    <t>MegaP_hMMP12_GluC_CB_QStar-XL_20080812.01913.01913.2</t>
  </si>
  <si>
    <t>L.n[89.01]LK[156.13]GK[156.13]GDK[156.13]AQIE.K</t>
  </si>
  <si>
    <t>MegaP_hMMP12_GluC_CB_QStar-XL_20080812.01916.01916.2</t>
  </si>
  <si>
    <t>F.n[89.01]LRAFRTIPE.A</t>
  </si>
  <si>
    <t>sp|Q504Q3|PAN2_HUMAN</t>
  </si>
  <si>
    <t>PAB-dependent poly(A)-specific ribonuclease subunit 2 OS=Homo sapiens GN=PAN2 PE=1 SV=3</t>
  </si>
  <si>
    <t>MegaP_hMMP12_GluC_CB_QStar-XL_20080812.01919.01919.2</t>
  </si>
  <si>
    <t>K.n[89.01]SK[156.13]ENPRNF.S</t>
  </si>
  <si>
    <t>MegaP_hMMP12_GluC_CB_QStar-XL_20080812.01947.01947.2</t>
  </si>
  <si>
    <t>G.n[89.01]C[160.03]IC[160.03]K[156.13]GASDK[156.13]C[160.03]SC[160.03]C[160.03]A.-</t>
  </si>
  <si>
    <t>MegaP_hMMP12_GluC_CB_QStar-XL_20080812.01952.01952.2</t>
  </si>
  <si>
    <t>H.n[89.01]LARDC[160.03]DHADE.Q</t>
  </si>
  <si>
    <t>MegaP_hMMP12_GluC_CB_QStar-XL_20080812.01972.01972.3</t>
  </si>
  <si>
    <t>F.n[89.01]LK[156.13]AVPSQK[156.13]RT.-</t>
  </si>
  <si>
    <t>MegaP_hMMP12_GluC_CB_QStar-XL_20080812.02001.02001.2</t>
  </si>
  <si>
    <t>L.n[89.01]M[147.04]VSVSPPE.E</t>
  </si>
  <si>
    <t>sp|P41212|ETV6_HUMAN</t>
  </si>
  <si>
    <t>Transcription factor ETV6 OS=Homo sapiens GN=ETV6 PE=1 SV=1</t>
  </si>
  <si>
    <t>MegaP_hMMP12_GluC_CB_QStar-XL_20080812.02011.02011.2</t>
  </si>
  <si>
    <t>MegaP_hMMP12_GluC_CB_QStar-XL_20080812.02023.02023.2</t>
  </si>
  <si>
    <t>D.n[89.01]C[160.03]K[156.13]FQRPGDPQS.A</t>
  </si>
  <si>
    <t>sp|Q15637|SF01_HUMAN,sp|Q15637-2|SF01_HUMAN,sp|Q15637-3|SF01_HUMAN,sp|Q15637-4|SF01_HUMAN,sp|Q15637-5|SF01_HUMAN,sp|Q15637-6|SF01_HUMAN,sp|Q15637-7|SF01_HUMAN</t>
  </si>
  <si>
    <t>Splicing factor 1 OS=Homo sapiens GN=SF1 PE=1 SV=4</t>
  </si>
  <si>
    <t>MegaP_hMMP12_GluC_CB_QStar-XL_20080812.02027.02027.2</t>
  </si>
  <si>
    <t>N.n[89.01]VVNK[156.13]K[156.13]TYE.D</t>
  </si>
  <si>
    <t>sp|Q12874|SF3A3_HUMAN</t>
  </si>
  <si>
    <t>Splicing factor 3A subunit 3 OS=Homo sapiens GN=SF3A3 PE=1 SV=1</t>
  </si>
  <si>
    <t>MegaP_hMMP12_GluC_CB_QStar-XL_20080812.02052.02052.2</t>
  </si>
  <si>
    <t>MegaP_hMMP12_GluC_CB_QStar-XL_20080812.02064.02064.2</t>
  </si>
  <si>
    <t>S.n[89.01]VVC[160.03]K[156.13]PQEPGH.F</t>
  </si>
  <si>
    <t>MegaP_hMMP12_GluC_CB_QStar-XL_20080812.02067.02067.2</t>
  </si>
  <si>
    <t>K.n[89.01]IK[156.13]DPDASK[156.13]PE.D</t>
  </si>
  <si>
    <t>MegaP_hMMP12_GluC_CB_QStar-XL_20080812.02075.02075.2</t>
  </si>
  <si>
    <t>K.n[89.01]IK[156.13]DPDASK[156.13]PED.W</t>
  </si>
  <si>
    <t>MegaP_hMMP12_GluC_CB_QStar-XL_20080812.02079.02079.2</t>
  </si>
  <si>
    <t>MegaP_hMMP12_GluC_CB_QStar-XL_20080812.02091.02091.2</t>
  </si>
  <si>
    <t>P.n[89.01]LGRNSYK[156.13]E.R</t>
  </si>
  <si>
    <t>MegaP_hMMP12_GluC_CB_QStar-XL_20080812.02096.02096.2</t>
  </si>
  <si>
    <t>MegaP_hMMP12_GluC_CB_QStar-XL_20080812.02127.02127.3</t>
  </si>
  <si>
    <t>L.n[89.01]LTNK[156.13]HVVDATHGDPHA.L</t>
  </si>
  <si>
    <t>MegaP_hMMP12_GluC_CB_QStar-XL_20080812.02133.02133.2</t>
  </si>
  <si>
    <t>MegaP_hMMP12_GluC_CB_QStar-XL_20080812.02151.02151.2</t>
  </si>
  <si>
    <t>MegaP_hMMP12_GluC_CB_QStar-XL_20080812.02157.02157.2</t>
  </si>
  <si>
    <t>P.n[89.01]LAK[156.13]DK[156.13]MMNGGH.Y</t>
  </si>
  <si>
    <t>MegaP_hMMP12_GluC_CB_QStar-XL_20080812.02164.02164.3</t>
  </si>
  <si>
    <t>MegaP_hMMP12_GluC_CB_QStar-XL_20080812.02167.02167.2</t>
  </si>
  <si>
    <t>MegaP_hMMP12_GluC_CB_QStar-XL_20080812.02185.02185.3</t>
  </si>
  <si>
    <t>S.n[89.01]HK[156.13]DDSPDLPK[156.13]LK[156.13]PDPNT.L</t>
  </si>
  <si>
    <t>MegaP_hMMP12_GluC_CB_QStar-XL_20080812.02197.02197.2</t>
  </si>
  <si>
    <t>MegaP_hMMP12_GluC_CB_QStar-XL_20080812.02211.02211.3</t>
  </si>
  <si>
    <t>MegaP_hMMP12_GluC_CB_QStar-XL_20080812.02215.02215.2</t>
  </si>
  <si>
    <t>MegaP_hMMP12_GluC_CB_QStar-XL_20080812.02224.02224.2</t>
  </si>
  <si>
    <t>G.n[89.01]VIK[156.13]AVDK[156.13]K[156.13]AAG.A</t>
  </si>
  <si>
    <t>MegaP_hMMP12_GluC_CB_QStar-XL_20080812.02241.02241.2</t>
  </si>
  <si>
    <t>D.n[89.01]FK[156.13]SPDDPSR.Y</t>
  </si>
  <si>
    <t>MegaP_hMMP12_GluC_CB_QStar-XL_20080812.02253.02253.3</t>
  </si>
  <si>
    <t>MegaP_hMMP12_GluC_CB_QStar-XL_20080812.02273.02273.2</t>
  </si>
  <si>
    <t>S.n[89.01]LHGDIPQK[156.13].Q</t>
  </si>
  <si>
    <t>sp|Q9NR30|DDX21_HUMAN</t>
  </si>
  <si>
    <t>Nucleolar RNA helicase 2 OS=Homo sapiens GN=DDX21 PE=1 SV=5</t>
  </si>
  <si>
    <t>MegaP_hMMP12_GluC_CB_QStar-XL_20080812.02275.02275.2</t>
  </si>
  <si>
    <t>MegaP_hMMP12_GluC_CB_QStar-XL_20080812.02279.02279.2</t>
  </si>
  <si>
    <t>MegaP_hMMP12_GluC_CB_QStar-XL_20080812.02283.02283.3</t>
  </si>
  <si>
    <t>A.n[89.01]LIK[156.13]RNSTIPTK[156.13].Q</t>
  </si>
  <si>
    <t>MegaP_hMMP12_GluC_CB_QStar-XL_20080812.02297.02297.2</t>
  </si>
  <si>
    <t>MegaP_hMMP12_GluC_CB_QStar-XL_20080812.02300.02300.2</t>
  </si>
  <si>
    <t>D.n[89.01]LTVTNPK[156.13]R.L</t>
  </si>
  <si>
    <t>MegaP_hMMP12_GluC_CB_QStar-XL_20080812.02345.02345.2</t>
  </si>
  <si>
    <t>MegaP_hMMP12_GluC_CB_QStar-XL_20080812.02356.02356.2</t>
  </si>
  <si>
    <t>D.n[29.04]WLLEVEFGQGP.T</t>
  </si>
  <si>
    <t>sp|Q70EK9|UBP51_HUMAN</t>
  </si>
  <si>
    <t>Ubiquitin carboxyl-terminal hydrolase 51 OS=Homo sapiens GN=USP51 PE=2 SV=1</t>
  </si>
  <si>
    <t>MegaP_hMMP12_GluC_CB_QStar-XL_20080812.02373.02373.2</t>
  </si>
  <si>
    <t>E.n[29.04]SYTTLPEA.T</t>
  </si>
  <si>
    <t>sp|P13611|CSPG2_HUMAN,sp|P13611-2|CSPG2_HUMAN,sp|P13611-5|CSPG2_HUMAN</t>
  </si>
  <si>
    <t>Versican core protein OS=Homo sapiens GN=VCAN PE=1 SV=3</t>
  </si>
  <si>
    <t>MegaP_hMMP12_GluC_CB_QStar-XL_20080812.02416.02416.2</t>
  </si>
  <si>
    <t>Y.n[89.01]IADK[156.13]K[156.13]DVYE.-</t>
  </si>
  <si>
    <t>MegaP_hMMP12_GluC_CB_QStar-XL_20080812.02440.02440.2</t>
  </si>
  <si>
    <t>T.n[89.01]LAEK[156.13]DEFEHK[156.13].R</t>
  </si>
  <si>
    <t>MegaP_hMMP12_GluC_CB_QStar-XL_20080812.02472.02472.2</t>
  </si>
  <si>
    <t>K.n[89.01]VVVSPTK[156.13]K[156.13]VA.V</t>
  </si>
  <si>
    <t>MegaP_hMMP12_GluC_CB_QStar-XL_20080812.02483.02483.2</t>
  </si>
  <si>
    <t>D.n[89.01]THLGGEDFDNR.L</t>
  </si>
  <si>
    <t>MegaP_hMMP12_GluC_CB_QStar-XL_20080812.02503.02503.2</t>
  </si>
  <si>
    <t>MegaP_hMMP12_GluC_CB_QStar-XL_20080812.02516.02516.2</t>
  </si>
  <si>
    <t>A.n[89.01]WSK[156.13]TGPVAK[156.13]E.L</t>
  </si>
  <si>
    <t>MegaP_hMMP12_GluC_CB_QStar-XL_20080812.02547.02547.3</t>
  </si>
  <si>
    <t>E.n[89.01]VK[156.13]ATAGDTHLGGEDFDNR.L</t>
  </si>
  <si>
    <t>MegaP_hMMP12_GluC_CB_QStar-XL_20080812.02569.02569.3</t>
  </si>
  <si>
    <t>MegaP_hMMP12_GluC_CB_QStar-XL_20080812.02571.02571.2</t>
  </si>
  <si>
    <t>MegaP_hMMP12_GluC_CB_QStar-XL_20080812.02577.02577.2</t>
  </si>
  <si>
    <t>P.n[89.01]ARVPPPPPIAR.A</t>
  </si>
  <si>
    <t>sp|P07910|HNRPC_HUMAN</t>
  </si>
  <si>
    <t>Heterogeneous nuclear ribonucleoproteins C1\C2 OS=Homo sapiens GN=HNRNPC PE=1 SV=4</t>
  </si>
  <si>
    <t>MegaP_hMMP12_GluC_CB_QStar-XL_20080812.02587.02587.3</t>
  </si>
  <si>
    <t>MegaP_hMMP12_GluC_CB_QStar-XL_20080812.02597.02597.2</t>
  </si>
  <si>
    <t>T.n[29.04]VASPK[156.13]RGQK[156.13]RE.E</t>
  </si>
  <si>
    <t>sp|O75179|ANR17_HUMAN,sp|O75179-2|ANR17_HUMAN,sp|O75179-4|ANR17_HUMAN,sp|O75179-6|ANR17_HUMAN</t>
  </si>
  <si>
    <t>Ankyrin repeat domain-containing protein 17 OS=Homo sapiens GN=ANKRD17 PE=1 SV=3</t>
  </si>
  <si>
    <t>MegaP_hMMP12_GluC_CB_QStar-XL_20080812.02656.02656.3</t>
  </si>
  <si>
    <t>MegaP_hMMP12_GluC_CB_QStar-XL_20080812.02663.02663.3</t>
  </si>
  <si>
    <t>S.n[89.01]LK[156.13]TLHPDLGTDK[156.13]DK[156.13]E.Q</t>
  </si>
  <si>
    <t>MegaP_hMMP12_GluC_CB_QStar-XL_20080812.02685.02685.3</t>
  </si>
  <si>
    <t>MegaP_hMMP12_GluC_CB_QStar-XL_20080812.02689.02689.2</t>
  </si>
  <si>
    <t>H.n[89.01]LK[156.13]NPVIAQK[156.13].L</t>
  </si>
  <si>
    <t>MegaP_hMMP12_GluC_CB_QStar-XL_20080812.02718.02718.2</t>
  </si>
  <si>
    <t>N.n[89.01]IK[156.13]LSQTSNVDK[156.13]EEE.A</t>
  </si>
  <si>
    <t>sp|P12004|PCNA_HUMAN</t>
  </si>
  <si>
    <t>Proliferating cell nuclear antigen OS=Homo sapiens GN=PCNA PE=1 SV=1</t>
  </si>
  <si>
    <t>MegaP_hMMP12_GluC_CB_QStar-XL_20080812.02721.02721.3</t>
  </si>
  <si>
    <t>MegaP_hMMP12_GluC_CB_QStar-XL_20080812.02744.02744.2</t>
  </si>
  <si>
    <t>N.n[89.01]LGTIAK[156.13]SGTK[156.13].A</t>
  </si>
  <si>
    <t>sp|Q14568|HS902_HUMAN</t>
  </si>
  <si>
    <t>MegaP_hMMP12_GluC_CB_QStar-XL_20080812.02851.02851.2</t>
  </si>
  <si>
    <t>MegaP_hMMP12_GluC_CB_QStar-XL_20080812.02870.02870.2</t>
  </si>
  <si>
    <t>MegaP_hMMP12_GluC_CB_QStar-XL_20080812.02890.02890.2</t>
  </si>
  <si>
    <t>MegaP_hMMP12_GluC_CB_QStar-XL_20080812.02902.02902.2</t>
  </si>
  <si>
    <t>S.n[89.01]LVSK[156.13]GTLVQTK[156.13].G</t>
  </si>
  <si>
    <t>MegaP_hMMP12_GluC_CB_QStar-XL_20080812.02910.02910.2</t>
  </si>
  <si>
    <t>MegaP_hMMP12_GluC_CB_QStar-XL_20080812.02920.02920.2</t>
  </si>
  <si>
    <t>MegaP_hMMP12_GluC_CB_QStar-XL_20080812.02930.02930.2</t>
  </si>
  <si>
    <t>MegaP_hMMP12_GluC_CB_QStar-XL_20080812.02939.02939.2</t>
  </si>
  <si>
    <t>20/28</t>
  </si>
  <si>
    <t>A.n[89.01]ITATQK[156.13]TVDGPSGK[156.13]L.W</t>
  </si>
  <si>
    <t>MegaP_hMMP12_GluC_CB_QStar-XL_20080812.02954.02954.2</t>
  </si>
  <si>
    <t>Q.n[89.01]VINDGDK[156.13]PK[156.13]VQV.S</t>
  </si>
  <si>
    <t>MegaP_hMMP12_GluC_CB_QStar-XL_20080812.02963.02963.2</t>
  </si>
  <si>
    <t>D.n[89.01]C[160.03]ILPPTRPTDK[156.13]P.L</t>
  </si>
  <si>
    <t>MegaP_hMMP12_GluC_CB_QStar-XL_20080812.02983.02983.2</t>
  </si>
  <si>
    <t>MegaP_hMMP12_GluC_CB_QStar-XL_20080812.03002.03002.2</t>
  </si>
  <si>
    <t>MegaP_hMMP12_GluC_CB_QStar-XL_20080812.03022.03022.2</t>
  </si>
  <si>
    <t>MegaP_hMMP12_GluC_CB_QStar-XL_20080812.03035.03035.2</t>
  </si>
  <si>
    <t>MegaP_hMMP12_GluC_CB_QStar-XL_20080812.03042.03042.2</t>
  </si>
  <si>
    <t>A.n[89.01]QVARPGGDTIFGK[156.13].L</t>
  </si>
  <si>
    <t>MegaP_hMMP12_GluC_CB_QStar-XL_20080812.03048.03048.2</t>
  </si>
  <si>
    <t>MegaP_hMMP12_GluC_CB_QStar-XL_20080812.03060.03060.2</t>
  </si>
  <si>
    <t>MegaP_hMMP12_GluC_CB_QStar-XL_20080812.03072.03072.2</t>
  </si>
  <si>
    <t>6/28</t>
  </si>
  <si>
    <t>P.n[89.01]GFESRSPGLVPPSPE.F</t>
  </si>
  <si>
    <t>sp|Q9H5H4|ZN768_HUMAN</t>
  </si>
  <si>
    <t>Zinc finger protein 768 OS=Homo sapiens GN=ZNF768 PE=1 SV=2</t>
  </si>
  <si>
    <t>MegaP_hMMP12_GluC_CB_QStar-XL_20080812.03076.03076.2</t>
  </si>
  <si>
    <t>MegaP_hMMP12_GluC_CB_QStar-XL_20080812.03089.03089.2</t>
  </si>
  <si>
    <t>MegaP_hMMP12_GluC_CB_QStar-XL_20080812.03104.03104.2</t>
  </si>
  <si>
    <t>MegaP_hMMP12_GluC_CB_QStar-XL_20080812.03134.03134.3</t>
  </si>
  <si>
    <t>G.n[89.01]VVVGK[156.13]DTLLTNK[156.13]H.V</t>
  </si>
  <si>
    <t>MegaP_hMMP12_GluC_CB_QStar-XL_20080812.03135.03135.2</t>
  </si>
  <si>
    <t>P.n[89.01]K[156.13]VSDTVVEPY.N</t>
  </si>
  <si>
    <t>MegaP_hMMP12_GluC_CB_QStar-XL_20080812.03143.03143.2</t>
  </si>
  <si>
    <t>Q.n[89.01]LAQATGK[156.13]PPQY.L</t>
  </si>
  <si>
    <t>MegaP_hMMP12_GluC_CB_QStar-XL_20080812.03183.03183.2</t>
  </si>
  <si>
    <t>N.n[89.01]IQGITK[156.13]PAIR.R</t>
  </si>
  <si>
    <t>MegaP_hMMP12_GluC_CB_QStar-XL_20080812.03223.03223.2</t>
  </si>
  <si>
    <t>MegaP_hMMP12_GluC_CB_QStar-XL_20080812.03293.03293.2</t>
  </si>
  <si>
    <t>7/12</t>
  </si>
  <si>
    <t>MegaP_hMMP12_GluC_CB_QStar-XL_20080812.03310.03310.2</t>
  </si>
  <si>
    <t>MegaP_hMMP12_GluC_CB_QStar-XL_20080812.03330.03330.2</t>
  </si>
  <si>
    <t>MegaP_hMMP12_GluC_CB_QStar-XL_20080812.03336.03336.3</t>
  </si>
  <si>
    <t>H.n[89.01]IK[156.13]LPNLGK[156.13]HE.K</t>
  </si>
  <si>
    <t>MegaP_hMMP12_GluC_CB_QStar-XL_20080812.03348.03348.2</t>
  </si>
  <si>
    <t>MegaP_hMMP12_GluC_CB_QStar-XL_20080812.03357.03357.3</t>
  </si>
  <si>
    <t>10/36</t>
  </si>
  <si>
    <t>MegaP_hMMP12_GluC_CB_QStar-XL_20080812.03358.03358.2</t>
  </si>
  <si>
    <t>MegaP_hMMP12_GluC_CB_QStar-XL_20080812.03367.03367.2</t>
  </si>
  <si>
    <t>12/12</t>
  </si>
  <si>
    <t>MegaP_hMMP12_GluC_CB_QStar-XL_20080812.03384.03384.2</t>
  </si>
  <si>
    <t>MegaP_hMMP12_GluC_CB_QStar-XL_20080812.03386.03386.2</t>
  </si>
  <si>
    <t>G.n[89.01]WK[156.13]PGSDTIK[156.13]PDV.Q</t>
  </si>
  <si>
    <t>MegaP_hMMP12_GluC_CB_QStar-XL_20080812.03400.03400.2</t>
  </si>
  <si>
    <t>8/28</t>
  </si>
  <si>
    <t>P.n[89.01]GADPVHGEALGETPD.L</t>
  </si>
  <si>
    <t>sp|Q8NFU7|TET1_HUMAN</t>
  </si>
  <si>
    <t>Methylcytosine dioxygenase TET1 OS=Homo sapiens GN=TET1 PE=1 SV=2</t>
  </si>
  <si>
    <t>MegaP_hMMP12_GluC_CB_QStar-XL_20080812.03404.03404.2</t>
  </si>
  <si>
    <t>6/12</t>
  </si>
  <si>
    <t>MegaP_hMMP12_GluC_CB_QStar-XL_20080812.03421.03421.2</t>
  </si>
  <si>
    <t>MegaP_hMMP12_GluC_CB_QStar-XL_20080812.03434.03434.2</t>
  </si>
  <si>
    <t>S.n[29.04]FLANLK[156.13]LHTE.D</t>
  </si>
  <si>
    <t>sp|Q8NG31|CASC5_HUMAN,sp|Q8NG31-2|CASC5_HUMAN,sp|Q8NG31-3|CASC5_HUMAN,sp|Q8NG31-4|CASC5_HUMAN</t>
  </si>
  <si>
    <t>Protein CASC5 OS=Homo sapiens GN=CASC5 PE=1 SV=3</t>
  </si>
  <si>
    <t>MegaP_hMMP12_GluC_CB_QStar-XL_20080812.03437.03437.3</t>
  </si>
  <si>
    <t>MegaP_hMMP12_GluC_CB_QStar-XL_20080812.03441.03441.2</t>
  </si>
  <si>
    <t>MegaP_hMMP12_GluC_CB_QStar-XL_20080812.03442.03442.2</t>
  </si>
  <si>
    <t>N.n[89.01]LGAADIDHK[156.13]LE.E</t>
  </si>
  <si>
    <t>sp|O75533|SF3B1_HUMAN</t>
  </si>
  <si>
    <t>Splicing factor 3B subunit 1 OS=Homo sapiens GN=SF3B1 PE=1 SV=3</t>
  </si>
  <si>
    <t>MegaP_hMMP12_GluC_CB_QStar-XL_20080812.03452.03452.2</t>
  </si>
  <si>
    <t>MegaP_hMMP12_GluC_CB_QStar-XL_20080812.03458.03458.3</t>
  </si>
  <si>
    <t>MegaP_hMMP12_GluC_CB_QStar-XL_20080812.03468.03468.2</t>
  </si>
  <si>
    <t>MegaP_hMMP12_GluC_CB_QStar-XL_20080812.03485.03485.2</t>
  </si>
  <si>
    <t>N.n[89.01]LTTVK[156.13]LK[156.13]GVG.D</t>
  </si>
  <si>
    <t>sp|Q9Y4L1|HYOU1_HUMAN</t>
  </si>
  <si>
    <t>Hypoxia up-regulated protein 1 OS=Homo sapiens GN=HYOU1 PE=1 SV=1</t>
  </si>
  <si>
    <t>MegaP_hMMP12_GluC_CB_QStar-XL_20080812.03509.03509.2</t>
  </si>
  <si>
    <t>M.n[89.01]C[160.03]K[156.13]AGFAGDDAPRAVFP.S</t>
  </si>
  <si>
    <t>sp|P0CG39|POTEJ_HUMAN</t>
  </si>
  <si>
    <t>POTE ankyrin domain family member J OS=Homo sapiens GN=POTEJ PE=3 SV=1</t>
  </si>
  <si>
    <t>MegaP_hMMP12_GluC_CB_QStar-XL_20080812.03517.03517.2</t>
  </si>
  <si>
    <t>MegaP_hMMP12_GluC_CB_QStar-XL_20080812.03529.03529.2</t>
  </si>
  <si>
    <t>MegaP_hMMP12_GluC_CB_QStar-XL_20080812.03537.03537.2</t>
  </si>
  <si>
    <t>MegaP_hMMP12_GluC_CB_QStar-XL_20080812.03538.03538.2</t>
  </si>
  <si>
    <t>N.n[89.01]LK[156.13]VAGQDGSVV.Q</t>
  </si>
  <si>
    <t>MegaP_hMMP12_GluC_CB_QStar-XL_20080812.03544.03544.2</t>
  </si>
  <si>
    <t>L.n[89.01]FRDGDILGK[156.13].Y</t>
  </si>
  <si>
    <t>MegaP_hMMP12_GluC_CB_QStar-XL_20080812.03547.03547.2</t>
  </si>
  <si>
    <t>20/30</t>
  </si>
  <si>
    <t>MegaP_hMMP12_GluC_CB_QStar-XL_20080812.03549.03549.2</t>
  </si>
  <si>
    <t>G.n[89.01]VVVGK[156.13]DTLLTNK[156.13].H</t>
  </si>
  <si>
    <t>MegaP_hMMP12_GluC_CB_QStar-XL_20080812.03555.03555.2</t>
  </si>
  <si>
    <t>MegaP_hMMP12_GluC_CB_QStar-XL_20080812.03566.03566.2</t>
  </si>
  <si>
    <t>MegaP_hMMP12_GluC_CB_QStar-XL_20080812.03568.03568.2</t>
  </si>
  <si>
    <t>MegaP_hMMP12_GluC_CB_QStar-XL_20080812.03570.03570.2</t>
  </si>
  <si>
    <t>23/22</t>
  </si>
  <si>
    <t>MegaP_hMMP12_GluC_CB_QStar-XL_20080812.03589.03589.2</t>
  </si>
  <si>
    <t>MegaP_hMMP12_GluC_CB_QStar-XL_20080812.03608.03608.2</t>
  </si>
  <si>
    <t>MegaP_hMMP12_GluC_CB_QStar-XL_20080812.03628.03628.2</t>
  </si>
  <si>
    <t>MegaP_hMMP12_GluC_CB_QStar-XL_20080812.03645.03645.3</t>
  </si>
  <si>
    <t>F.n[89.01]IASGVVVGK[156.13]DTLLTNK[156.13]H.V</t>
  </si>
  <si>
    <t>MegaP_hMMP12_GluC_CB_QStar-XL_20080812.03652.03652.2</t>
  </si>
  <si>
    <t>MegaP_hMMP12_GluC_CB_QStar-XL_20080812.03664.03664.2</t>
  </si>
  <si>
    <t>A.n[89.01]LIDQLK[156.13]PGGR.L</t>
  </si>
  <si>
    <t>MegaP_hMMP12_GluC_CB_QStar-XL_20080812.03692.03692.2</t>
  </si>
  <si>
    <t>MegaP_hMMP12_GluC_CB_QStar-XL_20080812.03735.03735.2</t>
  </si>
  <si>
    <t>sp|O43768|ENSA_HUMAN,sp|O43768-3|ENSA_HUMAN,sp|O43768-5|ENSA_HUMAN,sp|O43768-7|ENSA_HUMAN</t>
  </si>
  <si>
    <t>MegaP_hMMP12_GluC_CB_QStar-XL_20080812.03755.03755.2</t>
  </si>
  <si>
    <t>MegaP_hMMP12_GluC_CB_QStar-XL_20080812.03762.03762.2</t>
  </si>
  <si>
    <t>MegaP_hMMP12_GluC_CB_QStar-XL_20080812.03773.03773.2</t>
  </si>
  <si>
    <t>MegaP_hMMP12_GluC_CB_QStar-XL_20080812.03781.03781.2</t>
  </si>
  <si>
    <t>MegaP_hMMP12_GluC_CB_QStar-XL_20080812.03788.03788.2</t>
  </si>
  <si>
    <t>MegaP_hMMP12_GluC_CB_QStar-XL_20080812.03791.03791.2</t>
  </si>
  <si>
    <t>N.n[89.01]ITVTGYPGDK[156.13]PVA.T</t>
  </si>
  <si>
    <t>MegaP_hMMP12_GluC_CB_QStar-XL_20080812.03811.03811.2</t>
  </si>
  <si>
    <t>MegaP_hMMP12_GluC_CB_QStar-XL_20080812.03834.03834.2</t>
  </si>
  <si>
    <t>MegaP_hMMP12_GluC_CB_QStar-XL_20080812.03855.03855.2</t>
  </si>
  <si>
    <t>MegaP_hMMP12_GluC_CB_QStar-XL_20080812.03858.03858.2</t>
  </si>
  <si>
    <t>MegaP_hMMP12_GluC_CB_QStar-XL_20080812.03872.03872.2</t>
  </si>
  <si>
    <t>G.n[89.01]LQFPVGRVH.R</t>
  </si>
  <si>
    <t>MegaP_hMMP12_GluC_CB_QStar-XL_20080812.03877.03877.2</t>
  </si>
  <si>
    <t>MegaP_hMMP12_GluC_CB_QStar-XL_20080812.03975.03975.2</t>
  </si>
  <si>
    <t>MegaP_hMMP12_GluC_CB_QStar-XL_20080812.04035.04035.2</t>
  </si>
  <si>
    <t>MegaP_hMMP12_GluC_CB_QStar-XL_20080812.04059.04059.2</t>
  </si>
  <si>
    <t>MegaP_hMMP12_GluC_CB_QStar-XL_20080812.04064.04064.2</t>
  </si>
  <si>
    <t>MegaP_hMMP12_GluC_CB_QStar-XL_20080812.04101.04101.2</t>
  </si>
  <si>
    <t>G.n[89.01]VMTK[156.13]LIPR.N</t>
  </si>
  <si>
    <t>MegaP_hMMP12_GluC_CB_QStar-XL_20080812.04194.04194.2</t>
  </si>
  <si>
    <t>F.n[89.01]LFRDGDILGK[156.13].Y</t>
  </si>
  <si>
    <t>MegaP_hMMP12_GluC_CB_QStar-XL_20080812.04199.04199.2</t>
  </si>
  <si>
    <t>MegaP_hMMP12_GluC_CB_QStar-XL_20080812.04217.04217.2</t>
  </si>
  <si>
    <t>MegaP_hMMP12_GluC_CB_QStar-XL_20080812.04227.04227.2</t>
  </si>
  <si>
    <t>R.n[89.01]WLK[156.13]GGVVLK[156.13]E.D</t>
  </si>
  <si>
    <t>sp|P35613|BASI_HUMAN,sp|P35613-2|BASI_HUMAN</t>
  </si>
  <si>
    <t>Basigin OS=Homo sapiens GN=BSG PE=1 SV=2</t>
  </si>
  <si>
    <t>MegaP_hMMP12_GluC_CB_QStar-XL_20080812.04250.04250.2</t>
  </si>
  <si>
    <t>K.n[89.01]LK[156.13]YFDK[156.13]LN.-</t>
  </si>
  <si>
    <t>sp|Q13162|PRDX4_HUMAN</t>
  </si>
  <si>
    <t>Peroxiredoxin-4 OS=Homo sapiens GN=PRDX4 PE=1 SV=1</t>
  </si>
  <si>
    <t>MegaP_hMMP12_GluC_CB_QStar-XL_20080812.04268.04268.2</t>
  </si>
  <si>
    <t>MegaP_hMMP12_GluC_CB_QStar-XL_20080812.04283.04283.2</t>
  </si>
  <si>
    <t>MegaP_hMMP12_GluC_CB_QStar-XL_20080812.04290.04290.2</t>
  </si>
  <si>
    <t>MegaP_hMMP12_GluC_CB_QStar-XL_20080812.04302.04302.2</t>
  </si>
  <si>
    <t>MegaP_hMMP12_GluC_CB_QStar-XL_20080812.04304.04304.2</t>
  </si>
  <si>
    <t>MegaP_hMMP12_GluC_CB_QStar-XL_20080812.04310.04310.2</t>
  </si>
  <si>
    <t>MegaP_hMMP12_GluC_CB_QStar-XL_20080812.04326.04326.2</t>
  </si>
  <si>
    <t>MegaP_hMMP12_GluC_CB_QStar-XL_20080812.04331.04331.2</t>
  </si>
  <si>
    <t>MegaP_hMMP12_GluC_CB_QStar-XL_20080812.04352.04352.2</t>
  </si>
  <si>
    <t>MegaP_hMMP12_GluC_CB_QStar-XL_20080812.04354.04354.2</t>
  </si>
  <si>
    <t>MegaP_hMMP12_GluC_CB_QStar-XL_20080812.04376.04376.2</t>
  </si>
  <si>
    <t>MegaP_hMMP12_GluC_CB_QStar-XL_20080812.04442.04442.2</t>
  </si>
  <si>
    <t>20/20</t>
  </si>
  <si>
    <t>MegaP_hMMP12_GluC_CB_QStar-XL_20080812.04444.04444.2</t>
  </si>
  <si>
    <t>MegaP_hMMP12_GluC_CB_QStar-XL_20080812.04448.04448.2</t>
  </si>
  <si>
    <t>P.n[89.01]LRLPLQDVYK[156.13].L</t>
  </si>
  <si>
    <t>MegaP_hMMP12_GluC_CB_QStar-XL_20080812.04450.04450.2</t>
  </si>
  <si>
    <t>MegaP_hMMP12_GluC_CB_QStar-XL_20080812.04460.04460.2</t>
  </si>
  <si>
    <t>MegaP_hMMP12_GluC_CB_QStar-XL_20080812.04476.04476.2</t>
  </si>
  <si>
    <t>MegaP_hMMP12_GluC_CB_QStar-XL_20080812.04484.04484.2</t>
  </si>
  <si>
    <t>MegaP_hMMP12_GluC_CB_QStar-XL_20080812.04514.04514.2</t>
  </si>
  <si>
    <t>MegaP_hMMP12_GluC_CB_QStar-XL_20080812.04535.04535.2</t>
  </si>
  <si>
    <t>MegaP_hMMP12_GluC_CB_QStar-XL_20080812.04537.04537.2</t>
  </si>
  <si>
    <t>MegaP_hMMP12_GluC_CB_QStar-XL_20080812.04560.04560.2</t>
  </si>
  <si>
    <t>MegaP_hMMP12_GluC_CB_QStar-XL_20080812.04585.04585.2</t>
  </si>
  <si>
    <t>MegaP_hMMP12_GluC_CB_QStar-XL_20080812.04622.04622.2</t>
  </si>
  <si>
    <t>MegaP_hMMP12_GluC_CB_QStar-XL_20080812.05275.05275.2</t>
  </si>
  <si>
    <t>K.n[89.01]LLGRVTIAQGGVLPN.L</t>
  </si>
  <si>
    <t>MegaP_hMMP12_GluC_CB_QStar-XL_20080812.05305.05305.2</t>
  </si>
  <si>
    <t>MegaP_hMMP12_GluC_CB_QStar-XL_20080812.05325.05325.2</t>
  </si>
  <si>
    <t>MegaP_hMMP12_GluC_CB_QStar-XL_20080812.05385.05385.2</t>
  </si>
  <si>
    <t>MegaP_hMMP12_GluC_CB_QStar-XL_20080812.05413.05413.2</t>
  </si>
  <si>
    <t>MegaP_hMMP12_GluC_CB_QStar-XL_20080812.05464.05464.2</t>
  </si>
  <si>
    <t>MegaP_hMMP12_GluC_CB_QStar-XL_20080812.05600.05600.2</t>
  </si>
  <si>
    <t>MegaP_hMMP12_GluC_CB_QStar-XL_20080812.07020.07020.4</t>
  </si>
  <si>
    <t>22/108</t>
  </si>
  <si>
    <t>K.n[89.01]NAQK[156.13]SNQNGK[156.13]DSK[156.13]PSSTPR.S</t>
  </si>
  <si>
    <t>MegaP_hMMP12_GluC_CB_QStar-XL_20080812.07021.07021.3</t>
  </si>
  <si>
    <t>MegaP_hMMP12_GluC_CB_QStar-XL_20080812.07027.07027.3</t>
  </si>
  <si>
    <t>MegaP_hMMP12_GluC_CB_QStar-XL_20080812.07039.07039.3</t>
  </si>
  <si>
    <t>MegaP_hMMP12_GluC_CB_QStar-XL_20080812.07044.07044.3</t>
  </si>
  <si>
    <t>L.n[89.01]IK[156.13]RNSTIPTK[156.13].Q</t>
  </si>
  <si>
    <t>MegaP_hMMP12_GluC_CB_QStar-XL_20080812.07071.07071.2</t>
  </si>
  <si>
    <t>MegaP_hMMP12_GluC_CB_QStar-XL_20080812.07080.07080.3</t>
  </si>
  <si>
    <t>MegaP_hMMP12_GluC_CB_QStar-XL_20080812.07081.07081.2</t>
  </si>
  <si>
    <t>MegaP_hMMP12_GluC_CB_QStar-XL_20080812.07091.07091.2</t>
  </si>
  <si>
    <t>MegaP_hMMP12_GluC_CB_QStar-XL_20080812.07093.07093.2</t>
  </si>
  <si>
    <t>MegaP_hMMP12_GluC_CB_QStar-XL_20080812.07119.07119.2</t>
  </si>
  <si>
    <t>MegaP_hMMP12_GluC_CB_QStar-XL_20080812.07124.07124.2</t>
  </si>
  <si>
    <t>MegaP_hMMP12_GluC_CB_QStar-XL_20080812.07130.07130.3</t>
  </si>
  <si>
    <t>MegaP_hMMP12_GluC_CB_QStar-XL_20080812.07145.07145.3</t>
  </si>
  <si>
    <t>MegaP_hMMP12_GluC_CB_QStar-XL_20080812.07146.07146.3</t>
  </si>
  <si>
    <t>MegaP_hMMP12_GluC_CB_QStar-XL_20080812.07157.07157.2</t>
  </si>
  <si>
    <t>MegaP_hMMP12_GluC_CB_QStar-XL_20080812.07180.07180.2</t>
  </si>
  <si>
    <t>MegaP_hMMP12_GluC_CB_QStar-XL_20080812.07191.07191.2</t>
  </si>
  <si>
    <t>MegaP_hMMP12_GluC_CB_QStar-XL_20080812.07201.07201.2</t>
  </si>
  <si>
    <t>MegaP_hMMP12_GluC_CB_QStar-XL_20080812.07211.07211.2</t>
  </si>
  <si>
    <t>MegaP_hMMP12_GluC_CB_QStar-XL_20080812.07212.07212.3</t>
  </si>
  <si>
    <t>MegaP_hMMP12_GluC_CB_QStar-XL_20080812.07218.07218.2</t>
  </si>
  <si>
    <t>MegaP_hMMP12_GluC_CB_QStar-XL_20080812.07220.07220.2</t>
  </si>
  <si>
    <t>MegaP_hMMP12_GluC_CB_QStar-XL_20080812.07229.07229.2</t>
  </si>
  <si>
    <t>MegaP_hMMP12_GluC_CB_QStar-XL_20080812.07247.07247.2</t>
  </si>
  <si>
    <t>MegaP_hMMP12_GluC_CB_QStar-XL_20080812.07265.07265.3</t>
  </si>
  <si>
    <t>MegaP_hMMP12_GluC_CB_QStar-XL_20080812.07267.07267.2</t>
  </si>
  <si>
    <t>MegaP_hMMP12_GluC_CB_QStar-XL_20080812.07279.07279.2</t>
  </si>
  <si>
    <t>19/30</t>
  </si>
  <si>
    <t>MegaP_hMMP12_GluC_CB_QStar-XL_20080812.07280.07280.2</t>
  </si>
  <si>
    <t>MegaP_hMMP12_GluC_CB_QStar-XL_20080812.07281.07281.2</t>
  </si>
  <si>
    <t>MegaP_hMMP12_GluC_CB_QStar-XL_20080812.07283.07283.2</t>
  </si>
  <si>
    <t>MegaP_hMMP12_GluC_CB_QStar-XL_20080812.07284.07284.2</t>
  </si>
  <si>
    <t>MegaP_hMMP12_GluC_CB_QStar-XL_20080812.07305.07305.2</t>
  </si>
  <si>
    <t>MegaP_hMMP12_GluC_CB_QStar-XL_20080812.07307.07307.2</t>
  </si>
  <si>
    <t>MegaP_hMMP12_GluC_CB_QStar-XL_20080812.07322.07322.4</t>
  </si>
  <si>
    <t>23/90</t>
  </si>
  <si>
    <t>S.n[89.01]AVVEDLLYVLVGVDGR.Y</t>
  </si>
  <si>
    <t>sp|Q9BSJ2|GCP2_HUMAN</t>
  </si>
  <si>
    <t>Gamma-tubulin complex component 2 OS=Homo sapiens GN=TUBGCP2 PE=1 SV=2</t>
  </si>
  <si>
    <t>MegaP_hMMP12_GluC_CB_QStar-XL_20080812.07330.07330.2</t>
  </si>
  <si>
    <t>MegaP_hMMP12_GluC_CB_QStar-XL_20080812.07337.07337.2</t>
  </si>
  <si>
    <t>MegaP_hMMP12_GluC_CB_QStar-XL_20080812.07338.07338.2</t>
  </si>
  <si>
    <t>Q.n[89.01]LIVGVNK[156.13]MD.S</t>
  </si>
  <si>
    <t>MegaP_hMMP12_GluC_CB_QStar-XL_20080812.07347.07347.2</t>
  </si>
  <si>
    <t>MegaP_hMMP12_GluC_CB_QStar-XL_20080812.07349.07349.2</t>
  </si>
  <si>
    <t>MegaP_hMMP12_GluC_CB_QStar-XL_20080812.07352.07352.2</t>
  </si>
  <si>
    <t>MegaP_hMMP12_GluC_CB_QStar-XL_20080812.07354.07354.2</t>
  </si>
  <si>
    <t>MegaP_hMMP12_GluC_CB_QStar-XL_20080812.07356.07356.2</t>
  </si>
  <si>
    <t>MegaP_hMMP12_GluC_CB_QStar-XL_20080812.07359.07359.2</t>
  </si>
  <si>
    <t>MegaP_hMMP13_GluC_UdK_QStar-XL_20080502.01918.01918.4</t>
  </si>
  <si>
    <t>20/120</t>
  </si>
  <si>
    <t>MegaP_hMMP13_GluC_UdK_QStar-XL_20080502.01933.01933.3</t>
  </si>
  <si>
    <t>MegaP_hMMP13_GluC_UdK_QStar-XL_20080502.02006.02006.3</t>
  </si>
  <si>
    <t>MegaP_hMMP13_GluC_UdK_QStar-XL_20080502.02049.02049.4</t>
  </si>
  <si>
    <t>15/90</t>
  </si>
  <si>
    <t>D.n[89.01]VNK[156.13]PQGRAPAC[160.03]LQK[156.13]M[147.04]M[147.04].R</t>
  </si>
  <si>
    <t>sp|Q8IZF0|NALCN_HUMAN,sp|Q8IZF0-2|NALCN_HUMAN</t>
  </si>
  <si>
    <t>Sodium leak channel non-selective protein OS=Homo sapiens GN=NALCN PE=1 SV=1</t>
  </si>
  <si>
    <t>MegaP_hMMP13_GluC_UdK_QStar-XL_20080502.02166.02166.3</t>
  </si>
  <si>
    <t>MegaP_hMMP13_GluC_UdK_QStar-XL_20080502.02168.02168.3</t>
  </si>
  <si>
    <t>MegaP_hMMP13_GluC_UdK_QStar-XL_20080502.02205.02205.3</t>
  </si>
  <si>
    <t>MegaP_hMMP13_GluC_UdK_QStar-XL_20080502.02208.02208.3</t>
  </si>
  <si>
    <t>31/68</t>
  </si>
  <si>
    <t>MegaP_hMMP13_GluC_UdK_QStar-XL_20080502.02239.02239.3</t>
  </si>
  <si>
    <t>MegaP_hMMP13_GluC_UdK_QStar-XL_20080502.02259.02259.3</t>
  </si>
  <si>
    <t>MegaP_hMMP13_GluC_UdK_QStar-XL_20080502.02263.02263.3</t>
  </si>
  <si>
    <t>F.n[89.01]HQAQK[156.13]THYPAQQGE.Y</t>
  </si>
  <si>
    <t>MegaP_hMMP13_GluC_UdK_QStar-XL_20080502.02266.02266.2</t>
  </si>
  <si>
    <t>L.n[89.01]QSTAK[156.13]HVE.S</t>
  </si>
  <si>
    <t>sp|Q9UKY7|CDV3_HUMAN,sp|Q9UKY7-2|CDV3_HUMAN,sp|Q9UKY7-3|CDV3_HUMAN</t>
  </si>
  <si>
    <t>MegaP_hMMP13_GluC_UdK_QStar-XL_20080502.02274.02274.3</t>
  </si>
  <si>
    <t>G.n[89.01]C[160.03]NVDGRHPHD.L</t>
  </si>
  <si>
    <t>sp|P30050|RL12_HUMAN,sp|P30050-2|RL12_HUMAN</t>
  </si>
  <si>
    <t>60S ribosomal protein L12 OS=Homo sapiens GN=RPL12 PE=1 SV=1</t>
  </si>
  <si>
    <t>MegaP_hMMP13_GluC_UdK_QStar-XL_20080502.02294.02294.2</t>
  </si>
  <si>
    <t>MegaP_hMMP13_GluC_UdK_QStar-XL_20080502.02339.02339.4</t>
  </si>
  <si>
    <t>MegaP_hMMP13_GluC_UdK_QStar-XL_20080502.02345.02345.2</t>
  </si>
  <si>
    <t>W.n[89.01]SK[156.13]TGPVAK[156.13]E.L</t>
  </si>
  <si>
    <t>MegaP_hMMP13_GluC_UdK_QStar-XL_20080502.02368.02368.2</t>
  </si>
  <si>
    <t>MegaP_hMMP13_GluC_UdK_QStar-XL_20080502.02418.02418.3</t>
  </si>
  <si>
    <t>MegaP_hMMP13_GluC_UdK_QStar-XL_20080502.02494.02494.2</t>
  </si>
  <si>
    <t>R.n[89.01]TQAPTK[156.13]ASE.-</t>
  </si>
  <si>
    <t>sp|P47914|RL29_HUMAN</t>
  </si>
  <si>
    <t>60S ribosomal protein L29 OS=Homo sapiens GN=RPL29 PE=1 SV=2</t>
  </si>
  <si>
    <t>MegaP_hMMP13_GluC_UdK_QStar-XL_20080502.02518.02518.2</t>
  </si>
  <si>
    <t>E.n[29.04]YYDYGHGE.V</t>
  </si>
  <si>
    <t>sp|Q07666|KHDR1_HUMAN,sp|Q07666-2|KHDR1_HUMAN,sp|Q07666-3|KHDR1_HUMAN</t>
  </si>
  <si>
    <t>MegaP_hMMP13_GluC_UdK_QStar-XL_20080502.02573.02573.2</t>
  </si>
  <si>
    <t>MegaP_hMMP13_GluC_UdK_QStar-XL_20080502.02585.02585.2</t>
  </si>
  <si>
    <t>G.n[29.04]QPGGGIRFE.G</t>
  </si>
  <si>
    <t>sp|O94913|PCF11_HUMAN</t>
  </si>
  <si>
    <t>Pre-mRNA cleavage complex 2 protein Pcf11 OS=Homo sapiens GN=PCF11 PE=1 SV=3</t>
  </si>
  <si>
    <t>MegaP_hMMP13_GluC_UdK_QStar-XL_20080502.02587.02587.2</t>
  </si>
  <si>
    <t>MegaP_hMMP13_GluC_UdK_QStar-XL_20080502.02597.02597.3</t>
  </si>
  <si>
    <t>MegaP_hMMP13_GluC_UdK_QStar-XL_20080502.02613.02613.2</t>
  </si>
  <si>
    <t>MegaP_hMMP13_GluC_UdK_QStar-XL_20080502.02622.02622.2</t>
  </si>
  <si>
    <t>S.n[89.01]IQAHPNK[156.13]E.L</t>
  </si>
  <si>
    <t>sp|P34949|MPI_HUMAN,sp|P34949-2|MPI_HUMAN</t>
  </si>
  <si>
    <t>Mannose-6-phosphate isomerase OS=Homo sapiens GN=MPI PE=1 SV=2</t>
  </si>
  <si>
    <t>MegaP_hMMP13_GluC_UdK_QStar-XL_20080502.02635.02635.3</t>
  </si>
  <si>
    <t>sp|Q13885|TBB2A_HUMAN,sp|Q9BVA1|TBB2B_HUMAN,sp|Q13509|TBB3_HUMAN,sp|P04350|TBB4A_HUMAN,sp|P68371|TBB4B_HUMAN,sp|P07437|TBB5_HUMAN</t>
  </si>
  <si>
    <t>MegaP_hMMP13_GluC_UdK_QStar-XL_20080502.02682.02682.2</t>
  </si>
  <si>
    <t>MegaP_hMMP13_GluC_UdK_QStar-XL_20080502.02693.02693.3</t>
  </si>
  <si>
    <t>MegaP_hMMP13_GluC_UdK_QStar-XL_20080502.02702.02702.3</t>
  </si>
  <si>
    <t>MegaP_hMMP13_GluC_UdK_QStar-XL_20080502.02710.02710.3</t>
  </si>
  <si>
    <t>MegaP_hMMP13_GluC_UdK_QStar-XL_20080502.02745.02745.3</t>
  </si>
  <si>
    <t>MegaP_hMMP13_GluC_UdK_QStar-XL_20080502.02765.02765.3</t>
  </si>
  <si>
    <t>MegaP_hMMP13_GluC_UdK_QStar-XL_20080502.02785.02785.2</t>
  </si>
  <si>
    <t>MegaP_hMMP13_GluC_UdK_QStar-XL_20080502.02805.02805.2</t>
  </si>
  <si>
    <t>MegaP_hMMP13_GluC_UdK_QStar-XL_20080502.02847.02847.3</t>
  </si>
  <si>
    <t>MegaP_hMMP13_GluC_UdK_QStar-XL_20080502.02851.02851.3</t>
  </si>
  <si>
    <t>MegaP_hMMP13_GluC_UdK_QStar-XL_20080502.02853.02853.2</t>
  </si>
  <si>
    <t>MegaP_hMMP13_GluC_UdK_QStar-XL_20080502.02874.02874.2</t>
  </si>
  <si>
    <t>MegaP_hMMP13_GluC_UdK_QStar-XL_20080502.02877.02877.2</t>
  </si>
  <si>
    <t>Y.n[89.01]FNDSQRQATK[156.13]D.A</t>
  </si>
  <si>
    <t>sp|P08107|HSP71_HUMAN,sp|P38646|GRP75_HUMAN,sp|P34931|HS71L_HUMAN,sp|P54652|HSP72_HUMAN,sp|P17066|HSP76_HUMAN,sp|P11142|HSP7C_HUMAN,sp|P11142-2|HSP7C_HUMAN</t>
  </si>
  <si>
    <t>MegaP_hMMP13_GluC_UdK_QStar-XL_20080502.02885.02885.3</t>
  </si>
  <si>
    <t>MegaP_hMMP13_GluC_UdK_QStar-XL_20080502.02940.02940.3</t>
  </si>
  <si>
    <t>MegaP_hMMP13_GluC_UdK_QStar-XL_20080502.03004.03004.3</t>
  </si>
  <si>
    <t>R.n[89.01]LSAK[156.13]PAPPK[156.13]PEPK[156.13]P.K</t>
  </si>
  <si>
    <t>MegaP_hMMP13_GluC_UdK_QStar-XL_20080502.03052.03052.3</t>
  </si>
  <si>
    <t>MegaP_hMMP13_GluC_UdK_QStar-XL_20080502.03073.03073.2</t>
  </si>
  <si>
    <t>L.n[89.01]C[160.03]K[156.13]AGFAGDDAPRA.V</t>
  </si>
  <si>
    <t>sp|P62736|ACTA_HUMAN</t>
  </si>
  <si>
    <t>MegaP_hMMP13_GluC_UdK_QStar-XL_20080502.03088.03088.2</t>
  </si>
  <si>
    <t>S.n[89.01]SRSYVTTSTRTY.S</t>
  </si>
  <si>
    <t>MegaP_hMMP13_GluC_UdK_QStar-XL_20080502.03144.03144.3</t>
  </si>
  <si>
    <t>MegaP_hMMP13_GluC_UdK_QStar-XL_20080502.03187.03187.2</t>
  </si>
  <si>
    <t>MegaP_hMMP13_GluC_UdK_QStar-XL_20080502.03212.03212.2</t>
  </si>
  <si>
    <t>MegaP_hMMP13_GluC_UdK_QStar-XL_20080502.03230.03230.3</t>
  </si>
  <si>
    <t>A.n[89.01]LRDAK[156.13]LDK[156.13]AQIHD.L</t>
  </si>
  <si>
    <t>MegaP_hMMP13_GluC_UdK_QStar-XL_20080502.03254.03254.4</t>
  </si>
  <si>
    <t>MegaP_hMMP13_GluC_UdK_QStar-XL_20080502.03274.03274.4</t>
  </si>
  <si>
    <t>MegaP_hMMP13_GluC_UdK_QStar-XL_20080502.03287.03287.3</t>
  </si>
  <si>
    <t>MegaP_hMMP13_GluC_UdK_QStar-XL_20080502.03342.03342.3</t>
  </si>
  <si>
    <t>MegaP_hMMP13_GluC_UdK_QStar-XL_20080502.03404.03404.2</t>
  </si>
  <si>
    <t>MegaP_hMMP13_GluC_UdK_QStar-XL_20080502.03439.03439.2</t>
  </si>
  <si>
    <t>MegaP_hMMP13_GluC_UdK_QStar-XL_20080502.03440.03440.2</t>
  </si>
  <si>
    <t>G.n[89.01]C[160.03]YAK[156.13]NFGPK[156.13]G.F</t>
  </si>
  <si>
    <t>MegaP_hMMP13_GluC_UdK_QStar-XL_20080502.03497.03497.3</t>
  </si>
  <si>
    <t>MegaP_hMMP13_GluC_UdK_QStar-XL_20080502.03500.03500.3</t>
  </si>
  <si>
    <t>MegaP_hMMP13_GluC_UdK_QStar-XL_20080502.03505.03505.2</t>
  </si>
  <si>
    <t>MegaP_hMMP13_GluC_UdK_QStar-XL_20080502.03520.03520.3</t>
  </si>
  <si>
    <t>MegaP_hMMP13_GluC_UdK_QStar-XL_20080502.03521.03521.2</t>
  </si>
  <si>
    <t>MegaP_hMMP13_GluC_UdK_QStar-XL_20080502.03564.03564.2</t>
  </si>
  <si>
    <t>N.n[89.01]LIK[156.13]AC[160.03]PRPE.G</t>
  </si>
  <si>
    <t>MegaP_hMMP13_GluC_UdK_QStar-XL_20080502.03568.03568.3</t>
  </si>
  <si>
    <t>MegaP_hMMP13_GluC_UdK_QStar-XL_20080502.03586.03586.4</t>
  </si>
  <si>
    <t>24/150</t>
  </si>
  <si>
    <t>MegaP_hMMP13_GluC_UdK_QStar-XL_20080502.03619.03619.2</t>
  </si>
  <si>
    <t>MegaP_hMMP13_GluC_UdK_QStar-XL_20080502.03625.03625.3</t>
  </si>
  <si>
    <t>MegaP_hMMP13_GluC_UdK_QStar-XL_20080502.03641.03641.2</t>
  </si>
  <si>
    <t>MegaP_hMMP13_GluC_UdK_QStar-XL_20080502.03725.03725.2</t>
  </si>
  <si>
    <t>MegaP_hMMP13_GluC_UdK_QStar-XL_20080502.03746.03746.2</t>
  </si>
  <si>
    <t>MegaP_hMMP13_GluC_UdK_QStar-XL_20080502.03749.03749.4</t>
  </si>
  <si>
    <t>16/114</t>
  </si>
  <si>
    <t>T.n[89.01]QLSLLPRALQRPSAAAPQAE.N</t>
  </si>
  <si>
    <t>sp|Q15020|SART3_HUMAN</t>
  </si>
  <si>
    <t>Squamous cell carcinoma antigen recognized by T-cells 3 OS=Homo sapiens GN=SART3 PE=1 SV=1</t>
  </si>
  <si>
    <t>MegaP_hMMP13_GluC_UdK_QStar-XL_20080502.03765.03765.3</t>
  </si>
  <si>
    <t>A.n[89.01]HVTVK[156.13]K[156.13]LFVGGIK[156.13]E.D</t>
  </si>
  <si>
    <t>MegaP_hMMP13_GluC_UdK_QStar-XL_20080502.03774.03774.2</t>
  </si>
  <si>
    <t>MegaP_hMMP13_GluC_UdK_QStar-XL_20080502.03785.03785.3</t>
  </si>
  <si>
    <t>MegaP_hMMP13_GluC_UdK_QStar-XL_20080502.03801.03801.3</t>
  </si>
  <si>
    <t>MegaP_hMMP13_GluC_UdK_QStar-XL_20080502.03806.03806.4</t>
  </si>
  <si>
    <t>MegaP_hMMP13_GluC_UdK_QStar-XL_20080502.03829.03829.2</t>
  </si>
  <si>
    <t>MegaP_hMMP13_GluC_UdK_QStar-XL_20080502.03849.03849.2</t>
  </si>
  <si>
    <t>MegaP_hMMP13_GluC_UdK_QStar-XL_20080502.03853.03853.2</t>
  </si>
  <si>
    <t>MegaP_hMMP13_GluC_UdK_QStar-XL_20080502.03857.03857.2</t>
  </si>
  <si>
    <t>MegaP_hMMP13_GluC_UdK_QStar-XL_20080502.03858.03858.2</t>
  </si>
  <si>
    <t>D.n[89.01]LMAHMASK[156.13]E.-</t>
  </si>
  <si>
    <t>MegaP_hMMP13_GluC_UdK_QStar-XL_20080502.03869.03869.2</t>
  </si>
  <si>
    <t>MegaP_hMMP13_GluC_UdK_QStar-XL_20080502.03873.03873.2</t>
  </si>
  <si>
    <t>MegaP_hMMP13_GluC_UdK_QStar-XL_20080502.03874.03874.2</t>
  </si>
  <si>
    <t>MegaP_hMMP13_GluC_UdK_QStar-XL_20080502.03875.03875.3</t>
  </si>
  <si>
    <t>A.n[89.01]HLTVK[156.13]K[156.13]IFVGGIK[156.13]E.D</t>
  </si>
  <si>
    <t>MegaP_hMMP13_GluC_UdK_QStar-XL_20080502.03877.03877.2</t>
  </si>
  <si>
    <t>MegaP_hMMP13_GluC_UdK_QStar-XL_20080502.03878.03878.2</t>
  </si>
  <si>
    <t>MegaP_hMMP13_GluC_UdK_QStar-XL_20080502.03888.03888.2</t>
  </si>
  <si>
    <t>MegaP_hMMP13_GluC_UdK_QStar-XL_20080502.03902.03902.2</t>
  </si>
  <si>
    <t>MegaP_hMMP13_GluC_UdK_QStar-XL_20080502.03918.03918.2</t>
  </si>
  <si>
    <t>MegaP_hMMP13_GluC_UdK_QStar-XL_20080502.03947.03947.2</t>
  </si>
  <si>
    <t>P.n[89.01]LAK[156.13]VDATAE.T</t>
  </si>
  <si>
    <t>MegaP_hMMP13_GluC_UdK_QStar-XL_20080502.03962.03962.3</t>
  </si>
  <si>
    <t>G.n[89.01]VVVGK[156.13]DTLLTNK[156.13]HVVDATHGD.P</t>
  </si>
  <si>
    <t>MegaP_hMMP13_GluC_UdK_QStar-XL_20080502.03971.03971.3</t>
  </si>
  <si>
    <t>MegaP_hMMP13_GluC_UdK_QStar-XL_20080502.04036.04036.4</t>
  </si>
  <si>
    <t>13/132</t>
  </si>
  <si>
    <t>K.n[89.01]LARVTK[156.13]VLGRTGSQGQC[160.03]TQVRVE.F</t>
  </si>
  <si>
    <t>MegaP_hMMP13_GluC_UdK_QStar-XL_20080502.04078.04078.4</t>
  </si>
  <si>
    <t>15/108</t>
  </si>
  <si>
    <t>D.n[89.01]MRQTVAVGVIK[156.13]AVDK[156.13]K[156.13]AAG.A</t>
  </si>
  <si>
    <t>MegaP_hMMP13_GluC_UdK_QStar-XL_20080502.04080.04080.3</t>
  </si>
  <si>
    <t>MegaP_hMMP13_GluC_UdK_QStar-XL_20080502.04088.04088.2</t>
  </si>
  <si>
    <t>S.n[89.01]LAVC[160.03]K[156.13]AGAVE.K</t>
  </si>
  <si>
    <t>MegaP_hMMP13_GluC_UdK_QStar-XL_20080502.04091.04091.2</t>
  </si>
  <si>
    <t>MegaP_hMMP13_GluC_UdK_QStar-XL_20080502.04098.04098.2</t>
  </si>
  <si>
    <t>MegaP_hMMP13_GluC_UdK_QStar-XL_20080502.04117.04117.2</t>
  </si>
  <si>
    <t>MegaP_hMMP13_GluC_UdK_QStar-XL_20080502.04137.04137.2</t>
  </si>
  <si>
    <t>MegaP_hMMP13_GluC_UdK_QStar-XL_20080502.04143.04143.3</t>
  </si>
  <si>
    <t>MegaP_hMMP13_GluC_UdK_QStar-XL_20080502.04151.04151.2</t>
  </si>
  <si>
    <t>N.n[89.01]LGTIAK[156.13]SGTSE.F</t>
  </si>
  <si>
    <t>MegaP_hMMP13_GluC_UdK_QStar-XL_20080502.04157.04157.3</t>
  </si>
  <si>
    <t>MegaP_hMMP13_GluC_UdK_QStar-XL_20080502.04159.04159.3</t>
  </si>
  <si>
    <t>MegaP_hMMP13_GluC_UdK_QStar-XL_20080502.04161.04161.2</t>
  </si>
  <si>
    <t>MegaP_hMMP13_GluC_UdK_QStar-XL_20080502.04225.04225.2</t>
  </si>
  <si>
    <t>MegaP_hMMP13_GluC_UdK_QStar-XL_20080502.04230.04230.2</t>
  </si>
  <si>
    <t>MegaP_hMMP13_GluC_UdK_QStar-XL_20080502.04245.04245.2</t>
  </si>
  <si>
    <t>G.n[89.01]IK[156.13]VDK[156.13]GVVPLAGTNGE.T</t>
  </si>
  <si>
    <t>MegaP_hMMP13_GluC_UdK_QStar-XL_20080502.04249.04249.2</t>
  </si>
  <si>
    <t>MegaP_hMMP13_GluC_UdK_QStar-XL_20080502.04258.04258.2</t>
  </si>
  <si>
    <t>MegaP_hMMP13_GluC_UdK_QStar-XL_20080502.04280.04280.2</t>
  </si>
  <si>
    <t>P.n[89.01]RK[156.13]APLNIPGTPVLE.D</t>
  </si>
  <si>
    <t>sp|Q15003|CND2_HUMAN</t>
  </si>
  <si>
    <t>Condensin complex subunit 2 OS=Homo sapiens GN=NCAPH PE=1 SV=3</t>
  </si>
  <si>
    <t>MegaP_hMMP13_GluC_UdK_QStar-XL_20080502.04291.04291.4</t>
  </si>
  <si>
    <t>20/156</t>
  </si>
  <si>
    <t>MegaP_hMMP13_GluC_UdK_QStar-XL_20080502.04307.04307.2</t>
  </si>
  <si>
    <t>G.n[89.01]QRVIPRITIE.M</t>
  </si>
  <si>
    <t>sp|P11388|TOP2A_HUMAN,sp|P11388-2|TOP2A_HUMAN,sp|P11388-3|TOP2A_HUMAN,sp|P11388-4|TOP2A_HUMAN</t>
  </si>
  <si>
    <t>DNA topoisomerase 2-alpha OS=Homo sapiens GN=TOP2A PE=1 SV=3</t>
  </si>
  <si>
    <t>MegaP_hMMP13_GluC_UdK_QStar-XL_20080502.04323.04323.3</t>
  </si>
  <si>
    <t>MegaP_hMMP13_GluC_UdK_QStar-XL_20080502.04324.04324.3</t>
  </si>
  <si>
    <t>17/104</t>
  </si>
  <si>
    <t>MegaP_hMMP13_GluC_UdK_QStar-XL_20080502.04342.04342.3</t>
  </si>
  <si>
    <t>MegaP_hMMP13_GluC_UdK_QStar-XL_20080502.04351.04351.4</t>
  </si>
  <si>
    <t>20/126</t>
  </si>
  <si>
    <t>A.n[89.01]QVARPGGDTIFGK[156.13]IIRK[156.13]EIPAK[156.13].L</t>
  </si>
  <si>
    <t>MegaP_hMMP13_GluC_UdK_QStar-XL_20080502.04397.04397.2</t>
  </si>
  <si>
    <t>MegaP_hMMP13_GluC_UdK_QStar-XL_20080502.04403.04403.2</t>
  </si>
  <si>
    <t>MegaP_hMMP13_GluC_UdK_QStar-XL_20080502.04407.04407.3</t>
  </si>
  <si>
    <t>MegaP_hMMP13_GluC_UdK_QStar-XL_20080502.04416.04416.2</t>
  </si>
  <si>
    <t>15/14</t>
  </si>
  <si>
    <t>MegaP_hMMP13_GluC_UdK_QStar-XL_20080502.04499.04499.3</t>
  </si>
  <si>
    <t>A.n[89.01]NVSVVDLTC[160.03]RLEK[156.13]PAK[156.13].Y</t>
  </si>
  <si>
    <t>MegaP_hMMP13_GluC_UdK_QStar-XL_20080502.04523.04523.2</t>
  </si>
  <si>
    <t>MegaP_hMMP13_GluC_UdK_QStar-XL_20080502.04525.04525.3</t>
  </si>
  <si>
    <t>MegaP_hMMP13_GluC_UdK_QStar-XL_20080502.04538.04538.2</t>
  </si>
  <si>
    <t>MegaP_hMMP13_GluC_UdK_QStar-XL_20080502.04548.04548.3</t>
  </si>
  <si>
    <t>MegaP_hMMP13_GluC_UdK_QStar-XL_20080502.04559.04559.2</t>
  </si>
  <si>
    <t>MegaP_hMMP13_GluC_UdK_QStar-XL_20080502.04567.04567.3</t>
  </si>
  <si>
    <t>21/84</t>
  </si>
  <si>
    <t>MegaP_hMMP13_GluC_UdK_QStar-XL_20080502.04569.04569.2</t>
  </si>
  <si>
    <t>MegaP_hMMP13_GluC_UdK_QStar-XL_20080502.04584.04584.3</t>
  </si>
  <si>
    <t>MegaP_hMMP13_GluC_UdK_QStar-XL_20080502.04610.04610.2</t>
  </si>
  <si>
    <t>MegaP_hMMP13_GluC_UdK_QStar-XL_20080502.04611.04611.3</t>
  </si>
  <si>
    <t>E.n[29.04]IVK[156.13]K[156.13]HSQFIGYPITLF.V</t>
  </si>
  <si>
    <t>sp|P07900|HS90A_HUMAN,sp|Q58FG0|HS905_HUMAN,sp|P07900-2|HS90A_HUMAN</t>
  </si>
  <si>
    <t>MegaP_hMMP13_GluC_UdK_QStar-XL_20080502.04627.04627.3</t>
  </si>
  <si>
    <t>G.n[89.01]QSVGK[156.13]LGVLHPDVITK[156.13]FE.L</t>
  </si>
  <si>
    <t>MegaP_hMMP13_GluC_UdK_QStar-XL_20080502.04642.04642.3</t>
  </si>
  <si>
    <t>MegaP_hMMP13_GluC_UdK_QStar-XL_20080502.04722.04722.3</t>
  </si>
  <si>
    <t>G.n[89.01]LTSIANLPK[156.13]LNK[156.13]LK[156.13]K[156.13]LE.L</t>
  </si>
  <si>
    <t>sp|P39687|AN32A_HUMAN,sp|O95626|AN32D_HUMAN</t>
  </si>
  <si>
    <t>MegaP_hMMP13_GluC_UdK_QStar-XL_20080502.04724.04724.2</t>
  </si>
  <si>
    <t>MegaP_hMMP13_GluC_UdK_QStar-XL_20080502.04727.04727.2</t>
  </si>
  <si>
    <t>MegaP_hMMP13_GluC_UdK_QStar-XL_20080502.04732.04732.2</t>
  </si>
  <si>
    <t>P.n[89.01]NFSSLNLRE.T</t>
  </si>
  <si>
    <t>MegaP_hMMP13_GluC_UdK_QStar-XL_20080502.04740.04740.4</t>
  </si>
  <si>
    <t>MegaP_hMMP13_GluC_UdK_QStar-XL_20080502.04743.04743.2</t>
  </si>
  <si>
    <t>MegaP_hMMP13_GluC_UdK_QStar-XL_20080502.04771.04771.2</t>
  </si>
  <si>
    <t>MegaP_hMMP13_GluC_UdK_QStar-XL_20080502.04780.04780.2</t>
  </si>
  <si>
    <t>MegaP_hMMP13_GluC_UdK_QStar-XL_20080502.04791.04791.2</t>
  </si>
  <si>
    <t>MegaP_hMMP13_GluC_UdK_QStar-XL_20080502.04799.04799.2</t>
  </si>
  <si>
    <t>MegaP_hMMP13_GluC_UdK_QStar-XL_20080502.04811.04811.2</t>
  </si>
  <si>
    <t>MegaP_hMMP13_GluC_UdK_QStar-XL_20080502.04823.04823.2</t>
  </si>
  <si>
    <t>A.n[89.01]FTDTERLIGDAAK[156.13]N.Q</t>
  </si>
  <si>
    <t>MegaP_hMMP13_GluC_UdK_QStar-XL_20080502.04829.04829.4</t>
  </si>
  <si>
    <t>MegaP_hMMP13_GluC_UdK_QStar-XL_20080502.04834.04834.2</t>
  </si>
  <si>
    <t>G.n[89.01]LIHAVANNQDK[156.13]LGFE.D</t>
  </si>
  <si>
    <t>MegaP_hMMP13_GluC_UdK_QStar-XL_20080502.04848.04848.4</t>
  </si>
  <si>
    <t>MegaP_hMMP13_GluC_UdK_QStar-XL_20080502.04865.04865.4</t>
  </si>
  <si>
    <t>MegaP_hMMP13_GluC_UdK_QStar-XL_20080502.04866.04866.4</t>
  </si>
  <si>
    <t>MegaP_hMMP13_GluC_UdK_QStar-XL_20080502.04867.04867.2</t>
  </si>
  <si>
    <t>MegaP_hMMP13_GluC_UdK_QStar-XL_20080502.04883.04883.2</t>
  </si>
  <si>
    <t>MegaP_hMMP13_GluC_UdK_QStar-XL_20080502.04938.04938.2</t>
  </si>
  <si>
    <t>sp|P04908|H2A1B_HUMAN,sp|Q96QV6|H2A1A_HUMAN,sp|Q93077|H2A1C_HUMAN,sp|P20671|H2A1D_HUMAN,sp|Q96KK5|H2A1H_HUMAN,sp|Q99878|H2A1J_HUMAN,sp|P0C0S8|H2A1_HUMAN,sp|Q6FI13|H2A2A_HUMAN,sp|Q16777|H2A2C_HUMAN,sp|Q7L7L0|H2A3_HUMAN,sp|Q9BTM1|H2AJ_HUMAN,sp|Q9BTM1-2|H2AJ_HUMAN,sp|P16104|H2AX_HUMAN</t>
  </si>
  <si>
    <t>MegaP_hMMP13_GluC_UdK_QStar-XL_20080502.04954.04954.2</t>
  </si>
  <si>
    <t>MegaP_hMMP13_GluC_UdK_QStar-XL_20080502.04972.04972.2</t>
  </si>
  <si>
    <t>MegaP_hMMP13_GluC_UdK_QStar-XL_20080502.04974.04974.2</t>
  </si>
  <si>
    <t>MegaP_hMMP13_GluC_UdK_QStar-XL_20080502.04991.04991.2</t>
  </si>
  <si>
    <t>MegaP_hMMP13_GluC_UdK_QStar-XL_20080502.05003.05003.2</t>
  </si>
  <si>
    <t>MegaP_hMMP13_GluC_UdK_QStar-XL_20080502.05023.05023.2</t>
  </si>
  <si>
    <t>MegaP_hMMP13_GluC_UdK_QStar-XL_20080502.05041.05041.2</t>
  </si>
  <si>
    <t>MegaP_hMMP13_GluC_UdK_QStar-XL_20080502.05077.05077.2</t>
  </si>
  <si>
    <t>MegaP_hMMP13_GluC_UdK_QStar-XL_20080502.05096.05096.2</t>
  </si>
  <si>
    <t>MegaP_hMMP13_GluC_UdK_QStar-XL_20080502.05118.05118.2</t>
  </si>
  <si>
    <t>MegaP_hMMP13_GluC_UdK_QStar-XL_20080502.05140.05140.2</t>
  </si>
  <si>
    <t>MegaP_hMMP13_GluC_UdK_QStar-XL_20080502.05165.05165.2</t>
  </si>
  <si>
    <t>MegaP_hMMP13_GluC_UdK_QStar-XL_20080502.05240.05240.2</t>
  </si>
  <si>
    <t>MegaP_hMMP13_GluC_UdK_QStar-XL_20080502.05258.05258.2</t>
  </si>
  <si>
    <t>MegaP_hMMP13_GluC_UdK_QStar-XL_20080502.05296.05296.2</t>
  </si>
  <si>
    <t>MegaP_hMMP13_GluC_UdK_QStar-XL_20080502.05306.05306.2</t>
  </si>
  <si>
    <t>MegaP_hMMP13_GluC_UdK_QStar-XL_20080502.05362.05362.2</t>
  </si>
  <si>
    <t>E.n[29.04]SLRATLQRAP.S</t>
  </si>
  <si>
    <t>sp|Q15772|SPEG_HUMAN,sp|Q15772-1|SPEG_HUMAN</t>
  </si>
  <si>
    <t>Striated muscle preferentially expressed protein kinase OS=Homo sapiens GN=SPEG PE=1 SV=4</t>
  </si>
  <si>
    <t>MegaP_hMMP13_GluC_UdK_QStar-XL_20080502.05384.05384.2</t>
  </si>
  <si>
    <t>MegaP_hMMP13_GluC_UdK_QStar-XL_20080502.05406.05406.3</t>
  </si>
  <si>
    <t>MegaP_hMMP13_GluC_UdK_QStar-XL_20080502.05421.05421.3</t>
  </si>
  <si>
    <t>Q.n[89.01]ISEESHNIM[147.04]PSIDHIQGGNV.K</t>
  </si>
  <si>
    <t>sp|A4UGR9|XIRP2_HUMAN</t>
  </si>
  <si>
    <t>Xin actin-binding repeat-containing protein 2 OS=Homo sapiens GN=XIRP2 PE=1 SV=2</t>
  </si>
  <si>
    <t>MegaP_hMMP13_GluC_UdK_QStar-XL_20080502.05430.05430.2</t>
  </si>
  <si>
    <t>A.n[89.01]K[156.13]AAIDWFDGK[156.13]E.F</t>
  </si>
  <si>
    <t>MegaP_hMMP13_GluC_UdK_QStar-XL_20080502.05436.05436.2</t>
  </si>
  <si>
    <t>MegaP_hMMP13_GluC_UdK_QStar-XL_20080502.05442.05442.3</t>
  </si>
  <si>
    <t>MegaP_hMMP13_GluC_UdK_QStar-XL_20080502.05483.05483.2</t>
  </si>
  <si>
    <t>MegaP_hMMP13_GluC_UdK_QStar-XL_20080502.05485.05485.2</t>
  </si>
  <si>
    <t>Q.n[89.01]LAALK[156.13]QQLVASHLE.K</t>
  </si>
  <si>
    <t>MegaP_hMMP13_GluC_UdK_QStar-XL_20080502.05534.05534.2</t>
  </si>
  <si>
    <t>MegaP_hMMP13_GluC_UdK_QStar-XL_20080502.05544.05544.2</t>
  </si>
  <si>
    <t>MegaP_hMMP13_GluC_UdK_QStar-XL_20080502.05550.05550.2</t>
  </si>
  <si>
    <t>Y.n[89.01]LLAALGGNSSPSAK[156.13]D.L</t>
  </si>
  <si>
    <t>MegaP_hMMP13_GluC_UdK_QStar-XL_20080502.05552.05552.2</t>
  </si>
  <si>
    <t>MegaP_hMMP13_GluC_UdK_QStar-XL_20080502.05572.05572.2</t>
  </si>
  <si>
    <t>MegaP_hMMP13_GluC_UdK_QStar-XL_20080502.05574.05574.2</t>
  </si>
  <si>
    <t>MegaP_hMMP13_GluC_UdK_QStar-XL_20080502.05576.05576.3</t>
  </si>
  <si>
    <t>29/100</t>
  </si>
  <si>
    <t>MegaP_hMMP13_GluC_UdK_QStar-XL_20080502.05588.05588.2</t>
  </si>
  <si>
    <t>G.n[89.01]C[160.03]VVTNRFDQLFDDE.S</t>
  </si>
  <si>
    <t>sp|Q8NC51|PAIRB_HUMAN</t>
  </si>
  <si>
    <t>MegaP_hMMP13_GluC_UdK_QStar-XL_20080502.05637.05637.2</t>
  </si>
  <si>
    <t>MegaP_hMMP13_GluC_UdK_QStar-XL_20080502.05641.05641.2</t>
  </si>
  <si>
    <t>MegaP_hMMP13_GluC_UdK_QStar-XL_20080502.05655.05655.2</t>
  </si>
  <si>
    <t>MegaP_hMMP13_GluC_UdK_QStar-XL_20080502.05659.05659.2</t>
  </si>
  <si>
    <t>sp|P62736|ACTA_HUMAN,sp|P60709|ACTB_HUMAN,sp|P68032|ACTC_HUMAN,sp|P63261|ACTG_HUMAN,sp|P63267|ACTH_HUMAN,sp|P68133|ACTS_HUMAN,CON_P60712|P60712</t>
  </si>
  <si>
    <t>MegaP_hMMP13_GluC_UdK_QStar-XL_20080502.05664.05664.2</t>
  </si>
  <si>
    <t>MegaP_hMMP13_GluC_UdK_QStar-XL_20080502.05677.05677.2</t>
  </si>
  <si>
    <t>MegaP_hMMP13_GluC_UdK_QStar-XL_20080502.05722.05722.2</t>
  </si>
  <si>
    <t>MegaP_hMMP13_GluC_UdK_QStar-XL_20080502.05724.05724.2</t>
  </si>
  <si>
    <t>MegaP_hMMP13_GluC_UdK_QStar-XL_20080502.06628.06628.3</t>
  </si>
  <si>
    <t>MegaP_hMMP13_GluC_UdK_QStar-XL_20080502.06641.06641.2</t>
  </si>
  <si>
    <t>MegaP_hMMP13_GluC_UdK_QStar-XL_20080502.06642.06642.3</t>
  </si>
  <si>
    <t>MegaP_hMMP13_GluC_UdK_QStar-XL_20080502.06656.06656.3</t>
  </si>
  <si>
    <t>MegaP_hMMP13_GluC_UdK_QStar-XL_20080502.06660.06660.2</t>
  </si>
  <si>
    <t>MegaP_hMMP13_GluC_UdK_QStar-XL_20080502.06665.06665.2</t>
  </si>
  <si>
    <t>MegaP_hMMP13_GluC_UdK_QStar-XL_20080502.06675.06675.4</t>
  </si>
  <si>
    <t>20/96</t>
  </si>
  <si>
    <t>P.n[29.04]SVNAVANK[156.13]ATGGGYESD.D</t>
  </si>
  <si>
    <t>sp|Q13496|MTM1_HUMAN</t>
  </si>
  <si>
    <t>Myotubularin OS=Homo sapiens GN=MTM1 PE=1 SV=2</t>
  </si>
  <si>
    <t>MegaP_hMMP13_GluC_UdK_QStar-XL_20080502.06713.06713.4</t>
  </si>
  <si>
    <t>MegaP_hMMP13_GluC_UdK_QStar-XL_20080502.06741.06741.3</t>
  </si>
  <si>
    <t>MegaP_hMMP13_GluC_UdK_QStar-XL_20080502.06773.06773.2</t>
  </si>
  <si>
    <t>MegaP_hMMP13_GluC_UdK_QStar-XL_20080502.06777.06777.3</t>
  </si>
  <si>
    <t>MegaP_hMMP13_GluC_UdK_QStar-XL_20080502.06787.06787.2</t>
  </si>
  <si>
    <t>MegaP_hMMP13_GluC_UdK_QStar-XL_20080502.06791.06791.2</t>
  </si>
  <si>
    <t>MegaP_hMMP13_GluC_UdK_QStar-XL_20080502.06792.06792.2</t>
  </si>
  <si>
    <t>MegaP_hMMP13_GluC_UdK_QStar-XL_20080502.06793.06793.2</t>
  </si>
  <si>
    <t>W.n[89.01]LK[156.13]GGVVLK[156.13]E.D</t>
  </si>
  <si>
    <t>MegaP_hMMP13_GluC_UdK_QStar-XL_20080502.06818.06818.2</t>
  </si>
  <si>
    <t>MegaP_hMMP13_GluC_UdK_QStar-XL_20080502.06820.06820.2</t>
  </si>
  <si>
    <t>MegaP_hMMP13_GluC_UdK_QStar-XL_20080502.06830.06830.3</t>
  </si>
  <si>
    <t>MegaP_hMMP13_GluC_UdK_QStar-XL_20080502.06854.06854.3</t>
  </si>
  <si>
    <t>MegaP_hMMP13_GluC_UdK_QStar-XL_20080502.06862.06862.2</t>
  </si>
  <si>
    <t>MegaP_hMMP13_GluC_UdK_QStar-XL_20080502.06892.06892.4</t>
  </si>
  <si>
    <t>14/156</t>
  </si>
  <si>
    <t>M.n[89.01]ALK[156.13]HC[160.03]TEALLSLGQYSMADFTGPC[160.03]PLE.L</t>
  </si>
  <si>
    <t>sp|P42694|HELZ_HUMAN</t>
  </si>
  <si>
    <t>Probable helicase with zinc finger domain OS=Homo sapiens GN=HELZ PE=1 SV=2</t>
  </si>
  <si>
    <t>MegaP_hMMP13_GluC_UdK_QStar-XL_20080502.06898.06898.2</t>
  </si>
  <si>
    <t>MegaP_hMMP13_GluC_UdK_QStar-XL_20080502.06905.06905.2</t>
  </si>
  <si>
    <t>MegaP_hMMP13_GluC_UdK_QStar-XL_20080502.06907.06907.2</t>
  </si>
  <si>
    <t>MegaP_hMMP13_GluC_UdK_QStar-XL_20080502.06916.06916.4</t>
  </si>
  <si>
    <t>MegaP_hMMP13_GluC_UdK_QStar-XL_20080502.06921.06921.2</t>
  </si>
  <si>
    <t>MegaP_hMMP13_GluC_UdK_QStar-XL_20080502.06932.06932.2</t>
  </si>
  <si>
    <t>MegaP_hMMP13_GluC_UdK_QStar-XL_20080502.06934.06934.2</t>
  </si>
  <si>
    <t>MegaP_hMMP13_GluC_UdK_QStar-XL_20080502.06938.06938.2</t>
  </si>
  <si>
    <t>MegaP_hMMP13_GluC_UdK_QStar-XL_20080502.06950.06950.2</t>
  </si>
  <si>
    <t>MegaP_hMMP13_GluC_UdK_QStar-XL_20080502.06959.06959.2</t>
  </si>
  <si>
    <t>S.n[89.01]QLGADSLTSLRK[156.13]LAE.Q</t>
  </si>
  <si>
    <t>MegaP_hMMP13_GluC_UdK_QStar-XL_20080502.06964.06964.2</t>
  </si>
  <si>
    <t>MegaP_hMMP13_GluC_UdK_QStar-XL_20080502.06989.06989.2</t>
  </si>
  <si>
    <t>MegaP_hMMP14_GluC_GB_QStar-XL_20110617.01937.01937.3</t>
  </si>
  <si>
    <t>A.n[89.01]AK[156.13]AK[156.13]K[156.13]AAAK[156.13]K[156.13]K[156.13].-</t>
  </si>
  <si>
    <t>MegaP_hMMP14_GluC_GB_QStar-XL_20110617.01962.01962.3</t>
  </si>
  <si>
    <t>L.n[89.01]RTHTQRSPQS.L</t>
  </si>
  <si>
    <t>sp|P50281|MMP14_HUMAN</t>
  </si>
  <si>
    <t>Matrix metalloproteinase-14 OS=Homo sapiens GN=MMP14 PE=1 SV=3</t>
  </si>
  <si>
    <t>MegaP_hMMP14_GluC_GB_QStar-XL_20110617.01970.01970.3</t>
  </si>
  <si>
    <t>A.n[89.01]QK[156.13]GQK[156.13]APAQK[156.13].A</t>
  </si>
  <si>
    <t>MegaP_hMMP14_GluC_GB_QStar-XL_20110617.01978.01978.3</t>
  </si>
  <si>
    <t>15/32</t>
  </si>
  <si>
    <t>L.n[89.01]RRQAQQAGK[156.13].-</t>
  </si>
  <si>
    <t>MegaP_hMMP14_GluC_GB_QStar-XL_20110617.01998.01998.3</t>
  </si>
  <si>
    <t>E.n[29.04]YRPHHRVTE.G</t>
  </si>
  <si>
    <t>sp|O43491|E41L2_HUMAN,sp|O43491-4|E41L2_HUMAN</t>
  </si>
  <si>
    <t>Band 4.1-like protein 2 OS=Homo sapiens GN=EPB41L2 PE=1 SV=1</t>
  </si>
  <si>
    <t>MegaP_hMMP14_GluC_GB_QStar-XL_20110617.02030.02030.3</t>
  </si>
  <si>
    <t>E.n[29.04]QRYTC[160.03]HVQHE.G</t>
  </si>
  <si>
    <t>sp|P30443|1A01_HUMAN,sp|P01892|1A02_HUMAN,sp|P04439|1A03_HUMAN,sp|P13746|1A11_HUMAN,sp|P13746-2|1A11_HUMAN,sp|P30447|1A23_HUMAN,sp|P05534|1A24_HUMAN,sp|P18462|1A25_HUMAN,sp|P30450|1A26_HUMAN,sp|P30512|1A29_HUMAN,sp|P16188|1A30_HUMAN,sp|P16189|1A31_HUMAN,sp|P10314|1A32_HUMAN,sp|P16190|1A33_HUMAN,sp|P30453|1A34_HUMAN,sp|P30455|1A36_HUMAN,sp|P30456|1A43_HUMAN,sp|P30457|1A66_HUMAN,sp|P01891|1A68_HUMAN,sp|P10316|1A69_HUMAN,sp|P30459|1A74_HUMAN,sp|P01889|1B07_HUMAN,sp|P30460|1B08_HUMAN,sp|P30461|1B13_HUMAN,sp|P30462|1B14_HUMAN,sp|P30464|1B15_HUMAN,sp|P30466|1B18_HUMAN,sp|P03989|1B27_HUMAN,sp|P30685|1B35_HUMAN,sp|P18463|1B37_HUMAN,sp|Q95365|1B38_HUMAN,sp|P30475|1B39_HUMAN,sp|Q04826|1B40_HUMAN,sp|P30479|1B41_HUMAN,sp|P30480|1B42_HUMAN,sp|P30481|1B44_HUMAN,sp|P30483|1B45_HUMAN,sp|P30484|1B46_HUMAN,sp|P30485|1B47_HUMAN,sp|P30486|1B48_HUMAN,sp|P30487|1B49_HUMAN,sp|P30488|1B50_HUMAN,sp|P18464|1B51_HUMAN,sp|P30490|1B52_HUMAN,sp|P30491|1B53_HUMAN,sp|P30492|1B54_HUMAN,sp|P30493|1B55_HUMAN,sp|P30495|1B56_HUMAN,sp|P18465|1B57_HUMAN,sp|P10319|1B58_HUMAN,sp|Q29940|1B59_HUMAN,sp|Q29836|1B67_HUMAN,sp|Q31612|1B73_HUMAN,sp|P30498|1B78_HUMAN,sp|Q31610|1B81_HUMAN,sp|Q29718|1B82_HUMAN,sp|P30499|1C01_HUMAN,sp|P30501|1C02_HUMAN,sp|P04222|1C03_HUMAN,sp|P30504|1C04_HUMAN,sp|Q9TNN7|1C05_HUMAN,sp|Q29963|1C06_HUMAN,sp|P30505|1C08_HUMAN,sp|P30508|1C12_HUMAN,sp|P30510|1C14_HUMAN,sp|Q07000|1C15_HUMAN,sp|Q29960|1C16_HUMAN,sp|Q29960-2|1C16_HUMAN,sp|Q95604|1C17_HUMAN,sp|Q29865|1C18_HUMAN,sp|P13747|HLAE_HUMAN,sp|P30511|HLAF_HUMAN,sp|P30511-3|HLAF_HUMAN,sp|P17693|HLAG_HUMAN,sp|P01893|HLAH_HUMAN</t>
  </si>
  <si>
    <t>HLA class I histocompatibility antigen, A-1 alpha chain OS=Homo sapiens GN=HLA-A PE=1 SV=1</t>
  </si>
  <si>
    <t>MegaP_hMMP14_GluC_GB_QStar-XL_20110617.02038.02038.3</t>
  </si>
  <si>
    <t>MegaP_hMMP14_GluC_GB_QStar-XL_20110617.02042.02042.3</t>
  </si>
  <si>
    <t>MegaP_hMMP14_GluC_GB_QStar-XL_20110617.02093.02093.4</t>
  </si>
  <si>
    <t>MegaP_hMMP14_GluC_GB_QStar-XL_20110617.02102.02102.2</t>
  </si>
  <si>
    <t>E.n[29.04]HGYISRC[160.03].F</t>
  </si>
  <si>
    <t>sp|P04792|HSPB1_HUMAN</t>
  </si>
  <si>
    <t>Heat shock protein beta-1 OS=Homo sapiens GN=HSPB1 PE=1 SV=2</t>
  </si>
  <si>
    <t>MegaP_hMMP14_GluC_GB_QStar-XL_20110617.02151.02151.3</t>
  </si>
  <si>
    <t>MegaP_hMMP14_GluC_GB_QStar-XL_20110617.02165.02165.3</t>
  </si>
  <si>
    <t>MegaP_hMMP14_GluC_GB_QStar-XL_20110617.02177.02177.3</t>
  </si>
  <si>
    <t>17/36</t>
  </si>
  <si>
    <t>P.n[89.01]VK[156.13]RGPPPRSG.G</t>
  </si>
  <si>
    <t>sp|P38159|RBMX_HUMAN</t>
  </si>
  <si>
    <t>RNA-binding motif protein, X chromosome OS=Homo sapiens GN=RBMX PE=1 SV=3</t>
  </si>
  <si>
    <t>MegaP_hMMP14_GluC_GB_QStar-XL_20110617.02187.02187.3</t>
  </si>
  <si>
    <t>MegaP_hMMP14_GluC_GB_QStar-XL_20110617.02189.02189.3</t>
  </si>
  <si>
    <t>E.n[29.04]GTK[156.13]AVTK[156.13]YT.S</t>
  </si>
  <si>
    <t>sp|P33778|H2B1B_HUMAN,sp|Q96A08|H2B1A_HUMAN,sp|P62807|H2B1C_HUMAN,sp|P58876|H2B1D_HUMAN,sp|Q93079|H2B1H_HUMAN,sp|P06899|H2B1J_HUMAN,sp|O60814|H2B1K_HUMAN,sp|Q99880|H2B1L_HUMAN,sp|Q99879|H2B1M_HUMAN,sp|Q99877|H2B1N_HUMAN,sp|P23527|H2B1O_HUMAN,sp|Q16778|H2B2E_HUMAN,sp|Q5QNW6|H2B2F_HUMAN,sp|Q5QNW6-2|H2B2F_HUMAN,sp|Q8N257|H2B3B_HUMAN,sp|P57053|H2BFS_HUMAN</t>
  </si>
  <si>
    <t>MegaP_hMMP14_GluC_GB_QStar-XL_20110617.02202.02202.4</t>
  </si>
  <si>
    <t>E.n[29.04]ASRLAHYNK[156.13]RSTITSRE.L</t>
  </si>
  <si>
    <t>sp|P33778|H2B1B_HUMAN,sp|P62807|H2B1C_HUMAN,sp|P58876|H2B1D_HUMAN,sp|Q93079|H2B1H_HUMAN,sp|P06899|H2B1J_HUMAN,sp|O60814|H2B1K_HUMAN,sp|Q99880|H2B1L_HUMAN,sp|Q99879|H2B1M_HUMAN,sp|Q99877|H2B1N_HUMAN,sp|P23527|H2B1O_HUMAN,sp|Q16778|H2B2E_HUMAN,sp|Q5QNW6|H2B2F_HUMAN,sp|Q5QNW6-2|H2B2F_HUMAN,sp|Q8N257|H2B3B_HUMAN</t>
  </si>
  <si>
    <t>MegaP_hMMP14_GluC_GB_QStar-XL_20110617.02209.02209.3</t>
  </si>
  <si>
    <t>10/32</t>
  </si>
  <si>
    <t>E.n[29.04]AMLK[156.13]HRDYE.T</t>
  </si>
  <si>
    <t>sp|O43707|ACTN4_HUMAN,sp|O43707-2|ACTN4_HUMAN</t>
  </si>
  <si>
    <t>Alpha-actinin-4 OS=Homo sapiens GN=ACTN4 PE=1 SV=2</t>
  </si>
  <si>
    <t>MegaP_hMMP14_GluC_GB_QStar-XL_20110617.02259.02259.2</t>
  </si>
  <si>
    <t>G.n[89.01]QK[156.13]AAPAPK[156.13]A.Q</t>
  </si>
  <si>
    <t>MegaP_hMMP14_GluC_GB_QStar-XL_20110617.02265.02265.2</t>
  </si>
  <si>
    <t>MegaP_hMMP14_GluC_GB_QStar-XL_20110617.02282.02282.3</t>
  </si>
  <si>
    <t>L.n[89.01]RK[156.13]GNYSERVG.A</t>
  </si>
  <si>
    <t>MegaP_hMMP14_GluC_GB_QStar-XL_20110617.02286.02286.2</t>
  </si>
  <si>
    <t>MegaP_hMMP14_GluC_GB_QStar-XL_20110617.02301.02301.2</t>
  </si>
  <si>
    <t>MegaP_hMMP14_GluC_GB_QStar-XL_20110617.02307.02307.2</t>
  </si>
  <si>
    <t>A.n[89.01]YRNTAQRQE.L</t>
  </si>
  <si>
    <t>sp|P09525|ANXA4_HUMAN</t>
  </si>
  <si>
    <t>Annexin A4 OS=Homo sapiens GN=ANXA4 PE=1 SV=4</t>
  </si>
  <si>
    <t>MegaP_hMMP14_GluC_GB_QStar-XL_20110617.02309.02309.3</t>
  </si>
  <si>
    <t>D.n[89.01]LRTHTQRSPQS.L</t>
  </si>
  <si>
    <t>MegaP_hMMP14_GluC_GB_QStar-XL_20110617.02317.02317.3</t>
  </si>
  <si>
    <t>8/36</t>
  </si>
  <si>
    <t>D.n[89.01]NNIAQVPK[156.13]QT.D</t>
  </si>
  <si>
    <t>sp|Q14207|NPAT_HUMAN</t>
  </si>
  <si>
    <t>Protein NPAT OS=Homo sapiens GN=NPAT PE=1 SV=3</t>
  </si>
  <si>
    <t>MegaP_hMMP14_GluC_GB_QStar-XL_20110617.02339.02339.2</t>
  </si>
  <si>
    <t>MegaP_hMMP14_GluC_GB_QStar-XL_20110617.02350.02350.3</t>
  </si>
  <si>
    <t>MegaP_hMMP14_GluC_GB_QStar-XL_20110617.02353.02353.3</t>
  </si>
  <si>
    <t>MegaP_hMMP14_GluC_GB_QStar-XL_20110617.02362.02362.2</t>
  </si>
  <si>
    <t>E.n[29.04]GNDLYHE.M</t>
  </si>
  <si>
    <t>sp|P06576|ATPB_HUMAN</t>
  </si>
  <si>
    <t>ATP synthase subunit beta, mitochondrial OS=Homo sapiens GN=ATP5B PE=1 SV=3</t>
  </si>
  <si>
    <t>MegaP_hMMP14_GluC_GB_QStar-XL_20110617.02386.02386.3</t>
  </si>
  <si>
    <t>MegaP_hMMP14_GluC_GB_QStar-XL_20110617.02387.02387.4</t>
  </si>
  <si>
    <t>19/126</t>
  </si>
  <si>
    <t>G.n[29.04]PVPDPARAPDPPAPDSAYC[160.03]SSS.S</t>
  </si>
  <si>
    <t>sp|Q99501|GA2L1_HUMAN</t>
  </si>
  <si>
    <t>GAS2-like protein 1 OS=Homo sapiens GN=GAS2L1 PE=1 SV=2</t>
  </si>
  <si>
    <t>MegaP_hMMP14_GluC_GB_QStar-XL_20110617.02394.02394.2</t>
  </si>
  <si>
    <t>L.n[29.04]AQGAANGINFLHE.N</t>
  </si>
  <si>
    <t>sp|Q9NWZ3|IRAK4_HUMAN,sp|Q9NWZ3-2|IRAK4_HUMAN</t>
  </si>
  <si>
    <t>Interleukin-1 receptor-associated kinase 4 OS=Homo sapiens GN=IRAK4 PE=1 SV=1</t>
  </si>
  <si>
    <t>MegaP_hMMP14_GluC_GB_QStar-XL_20110617.02434.02434.4</t>
  </si>
  <si>
    <t>16/150</t>
  </si>
  <si>
    <t>E.n[29.04]C[160.03]NQC[160.03]K[156.13]APK[156.13]PDGPGGGPGGSHMGGNYG.D</t>
  </si>
  <si>
    <t>sp|P35637|FUS_HUMAN,sp|P35637-2|FUS_HUMAN</t>
  </si>
  <si>
    <t>MegaP_hMMP14_GluC_GB_QStar-XL_20110617.02469.02469.2</t>
  </si>
  <si>
    <t>MegaP_hMMP14_GluC_GB_QStar-XL_20110617.02474.02474.4</t>
  </si>
  <si>
    <t>21/96</t>
  </si>
  <si>
    <t>D.n[89.01]MK[156.13]THK[156.13]NPALK[156.13]AQSGPVR.S</t>
  </si>
  <si>
    <t>MegaP_hMMP14_GluC_GB_QStar-XL_20110617.02485.02485.3</t>
  </si>
  <si>
    <t>N.n[89.01]K[156.13]HVVDATHGDPHA.L</t>
  </si>
  <si>
    <t>MegaP_hMMP14_GluC_GB_QStar-XL_20110617.02505.02505.3</t>
  </si>
  <si>
    <t>sp|P60709|ACTB_HUMAN,sp|Q9BYX7|ACTBM_HUMAN,sp|P63261|ACTG_HUMAN,sp|Q6S8J3|POTEE_HUMAN,sp|P0CG38|POTEI_HUMAN,sp|P0CG39|POTEJ_HUMAN,CON_P60712|P60712</t>
  </si>
  <si>
    <t>MegaP_hMMP14_GluC_GB_QStar-XL_20110617.02509.02509.3</t>
  </si>
  <si>
    <t>MegaP_hMMP14_GluC_GB_QStar-XL_20110617.02517.02517.2</t>
  </si>
  <si>
    <t>MegaP_hMMP14_GluC_GB_QStar-XL_20110617.02529.02529.2</t>
  </si>
  <si>
    <t>C.n[89.01]RTLQPSLPE.E</t>
  </si>
  <si>
    <t>sp|Q8NF50|DOCK8_HUMAN,sp|Q8NF50-2|DOCK8_HUMAN,sp|Q8NF50-3|DOCK8_HUMAN,sp|Q8NF50-4|DOCK8_HUMAN</t>
  </si>
  <si>
    <t>Dedicator of cytokinesis protein 8 OS=Homo sapiens GN=DOCK8 PE=1 SV=3</t>
  </si>
  <si>
    <t>MegaP_hMMP14_GluC_GB_QStar-XL_20110617.02545.02545.3</t>
  </si>
  <si>
    <t>MegaP_hMMP14_GluC_GB_QStar-XL_20110617.02562.02562.3</t>
  </si>
  <si>
    <t>MegaP_hMMP14_GluC_GB_QStar-XL_20110617.02565.02565.3</t>
  </si>
  <si>
    <t>MegaP_hMMP14_GluC_GB_QStar-XL_20110617.02589.02589.2</t>
  </si>
  <si>
    <t>A.n[89.01]C[160.03]TQK[156.13]FSHE.E</t>
  </si>
  <si>
    <t>MegaP_hMMP14_GluC_GB_QStar-XL_20110617.02594.02594.2</t>
  </si>
  <si>
    <t>MegaP_hMMP14_GluC_GB_QStar-XL_20110617.02622.02622.3</t>
  </si>
  <si>
    <t>A.n[89.01]LK[156.13]TMK[156.13]QH.-</t>
  </si>
  <si>
    <t>sp|O75844|FACE1_HUMAN</t>
  </si>
  <si>
    <t>CAAX prenyl protease 1 homolog OS=Homo sapiens GN=ZMPSTE24 PE=1 SV=2</t>
  </si>
  <si>
    <t>MegaP_hMMP14_GluC_GB_QStar-XL_20110617.02657.02657.3</t>
  </si>
  <si>
    <t>MegaP_hMMP14_GluC_GB_QStar-XL_20110617.02665.02665.4</t>
  </si>
  <si>
    <t>18/132</t>
  </si>
  <si>
    <t>E.n[29.04]AANVTGPGGVPVQGSK[156.13]YAADRNH.Y</t>
  </si>
  <si>
    <t>MegaP_hMMP14_GluC_GB_QStar-XL_20110617.02674.02674.3</t>
  </si>
  <si>
    <t>10/72</t>
  </si>
  <si>
    <t>C.n[29.04]K[156.13]VIDEQDEDEVLNAPMLPS.K</t>
  </si>
  <si>
    <t>sp|Q9BXL7|CAR11_HUMAN</t>
  </si>
  <si>
    <t>Caspase recruitment domain-containing protein 11 OS=Homo sapiens GN=CARD11 PE=1 SV=3</t>
  </si>
  <si>
    <t>MegaP_hMMP14_GluC_GB_QStar-XL_20110617.02693.02693.3</t>
  </si>
  <si>
    <t>MegaP_hMMP14_GluC_GB_QStar-XL_20110617.02702.02702.4</t>
  </si>
  <si>
    <t>D.n[29.04]VMVSTFHK[156.13]YSGK[156.13]E.G</t>
  </si>
  <si>
    <t>MegaP_hMMP14_GluC_GB_QStar-XL_20110617.02734.02734.3</t>
  </si>
  <si>
    <t>MegaP_hMMP14_GluC_GB_QStar-XL_20110617.02747.02747.3</t>
  </si>
  <si>
    <t>D.n[29.04]GC[160.03]HAYLSK[156.13]NSLDC[160.03]E.L</t>
  </si>
  <si>
    <t>MegaP_hMMP14_GluC_GB_QStar-XL_20110617.02773.02773.2</t>
  </si>
  <si>
    <t>MegaP_hMMP14_GluC_GB_QStar-XL_20110617.02775.02775.2</t>
  </si>
  <si>
    <t>P.n[89.01]VTAQK[156.13]YRC[160.03]E.L</t>
  </si>
  <si>
    <t>MegaP_hMMP14_GluC_GB_QStar-XL_20110617.02798.02798.2</t>
  </si>
  <si>
    <t>F.n[89.01]FRNGDTASPK[156.13]E.Y</t>
  </si>
  <si>
    <t>MegaP_hMMP14_GluC_GB_QStar-XL_20110617.02802.02802.2</t>
  </si>
  <si>
    <t>L.n[29.04]SPPSGVPLE.R</t>
  </si>
  <si>
    <t>sp|Q5BKX5|CS054_HUMAN</t>
  </si>
  <si>
    <t>UPF0692 protein C19orf54 OS=Homo sapiens GN=C19orf54 PE=1 SV=2</t>
  </si>
  <si>
    <t>MegaP_hMMP14_GluC_GB_QStar-XL_20110617.02807.02807.2</t>
  </si>
  <si>
    <t>A.n[89.01]LK[156.13]AQSGPVR.S</t>
  </si>
  <si>
    <t>MegaP_hMMP14_GluC_GB_QStar-XL_20110617.02877.02877.4</t>
  </si>
  <si>
    <t>G.n[89.01]LQRAK[156.13]TGTDK[156.13]TLVK[156.13]E.V</t>
  </si>
  <si>
    <t>sp|Q14019|COTL1_HUMAN</t>
  </si>
  <si>
    <t>Coactosin-like protein OS=Homo sapiens GN=COTL1 PE=1 SV=3</t>
  </si>
  <si>
    <t>MegaP_hMMP14_GluC_GB_QStar-XL_20110617.02938.02938.3</t>
  </si>
  <si>
    <t>N.n[89.01]YARGHYTIGK[156.13]E.L</t>
  </si>
  <si>
    <t>MegaP_hMMP14_GluC_GB_QStar-XL_20110617.02945.02945.4</t>
  </si>
  <si>
    <t>23/96</t>
  </si>
  <si>
    <t>A.n[89.01]LK[156.13]HVSDDMK[156.13]THK[156.13]NPALK[156.13].A</t>
  </si>
  <si>
    <t>MegaP_hMMP14_GluC_GB_QStar-XL_20110617.02955.02955.4</t>
  </si>
  <si>
    <t>A.n[89.01]IK[156.13]K[156.13]LYQVK[156.13]GK[156.13]K[156.13]NIRATE.R</t>
  </si>
  <si>
    <t>MegaP_hMMP14_GluC_GB_QStar-XL_20110617.02974.02974.3</t>
  </si>
  <si>
    <t>Y.n[89.01]K[156.13]VLK[156.13]QVHPD.T</t>
  </si>
  <si>
    <t>MegaP_hMMP14_GluC_GB_QStar-XL_20110617.03005.03005.3</t>
  </si>
  <si>
    <t>MegaP_hMMP14_GluC_GB_QStar-XL_20110617.03013.03013.2</t>
  </si>
  <si>
    <t>MegaP_hMMP14_GluC_GB_QStar-XL_20110617.03018.03018.3</t>
  </si>
  <si>
    <t>MegaP_hMMP14_GluC_GB_QStar-XL_20110617.03041.03041.3</t>
  </si>
  <si>
    <t>MegaP_hMMP14_GluC_GB_QStar-XL_20110617.03043.03043.3</t>
  </si>
  <si>
    <t>E.n[29.04]VSK[156.13]IVQTYHVNMAG.T</t>
  </si>
  <si>
    <t>sp|P12814|ACTN1_HUMAN,sp|P12814-2|ACTN1_HUMAN,sp|P12814-3|ACTN1_HUMAN,sp|P12814-4|ACTN1_HUMAN</t>
  </si>
  <si>
    <t>Alpha-actinin-1 OS=Homo sapiens GN=ACTN1 PE=1 SV=2</t>
  </si>
  <si>
    <t>MegaP_hMMP14_GluC_GB_QStar-XL_20110617.03061.03061.3</t>
  </si>
  <si>
    <t>MegaP_hMMP14_GluC_GB_QStar-XL_20110617.03062.03062.2</t>
  </si>
  <si>
    <t>MegaP_hMMP14_GluC_GB_QStar-XL_20110617.03089.03089.2</t>
  </si>
  <si>
    <t>F.n[89.01]YTNRVLK[156.13]E.Y</t>
  </si>
  <si>
    <t>MegaP_hMMP14_GluC_GB_QStar-XL_20110617.03090.03090.2</t>
  </si>
  <si>
    <t>MegaP_hMMP14_GluC_GB_QStar-XL_20110617.03098.03098.3</t>
  </si>
  <si>
    <t>MegaP_hMMP14_GluC_GB_QStar-XL_20110617.03126.03126.2</t>
  </si>
  <si>
    <t>MegaP_hMMP14_GluC_GB_QStar-XL_20110617.03131.03131.3</t>
  </si>
  <si>
    <t>MegaP_hMMP14_GluC_GB_QStar-XL_20110617.03145.03145.3</t>
  </si>
  <si>
    <t>MegaP_hMMP14_GluC_GB_QStar-XL_20110617.03150.03150.3</t>
  </si>
  <si>
    <t>MegaP_hMMP14_GluC_GB_QStar-XL_20110617.03151.03151.3</t>
  </si>
  <si>
    <t>G.n[89.01]FQRK[156.13]AVVVC[160.03]PK[156.13]DE.D</t>
  </si>
  <si>
    <t>MegaP_hMMP14_GluC_GB_QStar-XL_20110617.03186.03186.2</t>
  </si>
  <si>
    <t>MegaP_hMMP14_GluC_GB_QStar-XL_20110617.03202.03202.2</t>
  </si>
  <si>
    <t>MegaP_hMMP14_GluC_GB_QStar-XL_20110617.03221.03221.2</t>
  </si>
  <si>
    <t>MegaP_hMMP14_GluC_GB_QStar-XL_20110617.03231.03231.2</t>
  </si>
  <si>
    <t>G.n[89.01]VFQHGK[156.13]VE.L</t>
  </si>
  <si>
    <t>MegaP_hMMP14_GluC_GB_QStar-XL_20110617.03235.03235.3</t>
  </si>
  <si>
    <t>MegaP_hMMP14_GluC_GB_QStar-XL_20110617.03237.03237.3</t>
  </si>
  <si>
    <t>MegaP_hMMP14_GluC_GB_QStar-XL_20110617.03251.03251.3</t>
  </si>
  <si>
    <t>T.n[89.01]VSLPPGLEYLSQ.L</t>
  </si>
  <si>
    <t>sp|A0PG75|PLS5_HUMAN</t>
  </si>
  <si>
    <t>Phospholipid scramblase family member 5 OS=Homo sapiens GN=PLSCR5 PE=2 SV=2</t>
  </si>
  <si>
    <t>MegaP_hMMP14_GluC_GB_QStar-XL_20110617.03285.03285.2</t>
  </si>
  <si>
    <t>MegaP_hMMP14_GluC_GB_QStar-XL_20110617.03290.03290.3</t>
  </si>
  <si>
    <t>MegaP_hMMP14_GluC_GB_QStar-XL_20110617.03298.03298.3</t>
  </si>
  <si>
    <t>D.n[29.04]AAMFYTNRVLK[156.13]E.Y</t>
  </si>
  <si>
    <t>MegaP_hMMP14_GluC_GB_QStar-XL_20110617.03314.03314.3</t>
  </si>
  <si>
    <t>D.n[29.04]DMK[156.13]THK[156.13]NPALK[156.13].A</t>
  </si>
  <si>
    <t>MegaP_hMMP14_GluC_GB_QStar-XL_20110617.03321.03321.3</t>
  </si>
  <si>
    <t>MegaP_hMMP14_GluC_GB_QStar-XL_20110617.03334.03334.3</t>
  </si>
  <si>
    <t>MegaP_hMMP14_GluC_GB_QStar-XL_20110617.03337.03337.3</t>
  </si>
  <si>
    <t>S.n[89.01]IMK[156.13]C[160.03]DVDIRK[156.13]D.L</t>
  </si>
  <si>
    <t>MegaP_hMMP14_GluC_GB_QStar-XL_20110617.03373.03373.4</t>
  </si>
  <si>
    <t>MegaP_hMMP14_GluC_GB_QStar-XL_20110617.03374.03374.3</t>
  </si>
  <si>
    <t>MegaP_hMMP14_GluC_GB_QStar-XL_20110617.03385.03385.4</t>
  </si>
  <si>
    <t>16/126</t>
  </si>
  <si>
    <t>MegaP_hMMP14_GluC_GB_QStar-XL_20110617.03405.03405.2</t>
  </si>
  <si>
    <t>MegaP_hMMP14_GluC_GB_QStar-XL_20110617.03427.03427.2</t>
  </si>
  <si>
    <t>MegaP_hMMP14_GluC_GB_QStar-XL_20110617.03450.03450.2</t>
  </si>
  <si>
    <t>MegaP_hMMP14_GluC_GB_QStar-XL_20110617.03466.03466.2</t>
  </si>
  <si>
    <t>MegaP_hMMP14_GluC_GB_QStar-XL_20110617.03469.03469.2</t>
  </si>
  <si>
    <t>H.n[89.01]FNPRFNAHG.D</t>
  </si>
  <si>
    <t>MegaP_hMMP14_GluC_GB_QStar-XL_20110617.03486.03486.2</t>
  </si>
  <si>
    <t>G.n[89.01]LYVK[156.13]TRDGSDYE.G</t>
  </si>
  <si>
    <t>sp|Q14697|GANAB_HUMAN,sp|Q14697-2|GANAB_HUMAN</t>
  </si>
  <si>
    <t>Neutral alpha-glucosidase AB OS=Homo sapiens GN=GANAB PE=1 SV=3</t>
  </si>
  <si>
    <t>MegaP_hMMP14_GluC_GB_QStar-XL_20110617.03501.03501.2</t>
  </si>
  <si>
    <t>MegaP_hMMP14_GluC_GB_QStar-XL_20110617.03505.03505.3</t>
  </si>
  <si>
    <t>MegaP_hMMP14_GluC_GB_QStar-XL_20110617.03525.03525.3</t>
  </si>
  <si>
    <t>MegaP_hMMP14_GluC_GB_QStar-XL_20110617.03537.03537.2</t>
  </si>
  <si>
    <t>MegaP_hMMP14_GluC_GB_QStar-XL_20110617.03542.03542.2</t>
  </si>
  <si>
    <t>MegaP_hMMP14_GluC_GB_QStar-XL_20110617.03554.03554.2</t>
  </si>
  <si>
    <t>MegaP_hMMP14_GluC_GB_QStar-XL_20110617.03555.03555.2</t>
  </si>
  <si>
    <t>MegaP_hMMP14_GluC_GB_QStar-XL_20110617.03557.03557.4</t>
  </si>
  <si>
    <t>MegaP_hMMP14_GluC_GB_QStar-XL_20110617.03561.03561.2</t>
  </si>
  <si>
    <t>sp|P07237|PDIA1_HUMAN,sp|Q13087|PDIA2_HUMAN,sp|Q13087-2|PDIA2_HUMAN,sp|P30101|PDIA3_HUMAN,sp|P13667|PDIA4_HUMAN,sp|Q15084|PDIA6_HUMAN,sp|Q15084-2|PDIA6_HUMAN,sp|Q96JJ7|TMX3_HUMAN,sp|Q96JJ7-2|TMX3_HUMAN</t>
  </si>
  <si>
    <t>MegaP_hMMP14_GluC_GB_QStar-XL_20110617.03591.03591.2</t>
  </si>
  <si>
    <t>G.n[89.01]C[160.03]HVVNIGAEDLK[156.13]E.G</t>
  </si>
  <si>
    <t>MegaP_hMMP14_GluC_GB_QStar-XL_20110617.03597.03597.2</t>
  </si>
  <si>
    <t>MegaP_hMMP14_GluC_GB_QStar-XL_20110617.03625.03625.3</t>
  </si>
  <si>
    <t>MegaP_hMMP14_GluC_GB_QStar-XL_20110617.03637.03637.3</t>
  </si>
  <si>
    <t>13/64</t>
  </si>
  <si>
    <t>G.n[89.01]WK[156.13]VTRK[156.13]DGNASGTTLLE.A</t>
  </si>
  <si>
    <t>MegaP_hMMP14_GluC_GB_QStar-XL_20110617.03655.03655.2</t>
  </si>
  <si>
    <t>MegaP_hMMP14_GluC_GB_QStar-XL_20110617.03658.03658.2</t>
  </si>
  <si>
    <t>N.n[89.01]MK[156.13]LTRAQFE.G</t>
  </si>
  <si>
    <t>MegaP_hMMP14_GluC_GB_QStar-XL_20110617.03661.03661.3</t>
  </si>
  <si>
    <t>E.n[29.04]TQLLVSRK[156.13]SRPK[156.13].S</t>
  </si>
  <si>
    <t>sp|P46013|KI67_HUMAN</t>
  </si>
  <si>
    <t>Antigen KI-67 OS=Homo sapiens GN=MKI67 PE=1 SV=2</t>
  </si>
  <si>
    <t>MegaP_hMMP14_GluC_GB_QStar-XL_20110617.03685.03685.4</t>
  </si>
  <si>
    <t>18/90</t>
  </si>
  <si>
    <t>S.n[89.01]LK[156.13]NK[156.13]LRRGDLPFVVPR.R</t>
  </si>
  <si>
    <t>MegaP_hMMP14_GluC_GB_QStar-XL_20110617.03713.03713.2</t>
  </si>
  <si>
    <t>21/24</t>
  </si>
  <si>
    <t>MegaP_hMMP14_GluC_GB_QStar-XL_20110617.03718.03718.2</t>
  </si>
  <si>
    <t>MegaP_hMMP14_GluC_GB_QStar-XL_20110617.03726.03726.2</t>
  </si>
  <si>
    <t>P.n[89.01]LMLK[156.13]PGK[156.13]PAG.R</t>
  </si>
  <si>
    <t>sp|Q99829|CPNE1_HUMAN</t>
  </si>
  <si>
    <t>Copine-1 OS=Homo sapiens GN=CPNE1 PE=1 SV=1</t>
  </si>
  <si>
    <t>MegaP_hMMP14_GluC_GB_QStar-XL_20110617.03730.03730.2</t>
  </si>
  <si>
    <t>MegaP_hMMP14_GluC_GB_QStar-XL_20110617.03734.03734.3</t>
  </si>
  <si>
    <t>A.n[89.01]YK[156.13]LVLIRHGE.S</t>
  </si>
  <si>
    <t>sp|P18669|PGAM1_HUMAN,sp|Q8N0Y7|PGAM4_HUMAN</t>
  </si>
  <si>
    <t>MegaP_hMMP14_GluC_GB_QStar-XL_20110617.03745.03745.2</t>
  </si>
  <si>
    <t>MegaP_hMMP14_GluC_GB_QStar-XL_20110617.03766.03766.3</t>
  </si>
  <si>
    <t>W.n[89.01]FRLYK[156.13]VPDGK[156.13]PE.N</t>
  </si>
  <si>
    <t>sp|Q9H2U2|IPYR2_HUMAN,sp|Q9H2U2-2|IPYR2_HUMAN,sp|Q9H2U2-3|IPYR2_HUMAN,sp|Q9H2U2-4|IPYR2_HUMAN,sp|Q9H2U2-6|IPYR2_HUMAN</t>
  </si>
  <si>
    <t>Inorganic pyrophosphatase 2, mitochondrial OS=Homo sapiens GN=PPA2 PE=1 SV=2</t>
  </si>
  <si>
    <t>MegaP_hMMP14_GluC_GB_QStar-XL_20110617.03774.03774.3</t>
  </si>
  <si>
    <t>MegaP_hMMP14_GluC_GB_QStar-XL_20110617.03779.03779.3</t>
  </si>
  <si>
    <t>T.n[89.01]MWESK[156.13]GK[156.13]ITYLK[156.13]GE.A</t>
  </si>
  <si>
    <t>MegaP_hMMP14_GluC_GB_QStar-XL_20110617.03781.03781.2</t>
  </si>
  <si>
    <t>MegaP_hMMP14_GluC_GB_QStar-XL_20110617.03782.03782.2</t>
  </si>
  <si>
    <t>Q.n[29.04]TPPMIGEE.A</t>
  </si>
  <si>
    <t>sp|Q969Q6|P2R3C_HUMAN</t>
  </si>
  <si>
    <t>Serine\threonine-protein phosphatase 2A regulatory subunit B'' subunit gamma OS=Homo sapiens GN=PPP2R3C PE=1 SV=1</t>
  </si>
  <si>
    <t>MegaP_hMMP14_GluC_GB_QStar-XL_20110617.03787.03787.2</t>
  </si>
  <si>
    <t>A.n[89.01]MK[156.13]QVAGTMK[156.13]LE.L</t>
  </si>
  <si>
    <t>MegaP_hMMP14_GluC_GB_QStar-XL_20110617.03789.03789.2</t>
  </si>
  <si>
    <t>M.n[89.01]FYTNRVLK[156.13]E.Y</t>
  </si>
  <si>
    <t>MegaP_hMMP14_GluC_GB_QStar-XL_20110617.03795.03795.3</t>
  </si>
  <si>
    <t>MegaP_hMMP14_GluC_GB_QStar-XL_20110617.03799.03799.3</t>
  </si>
  <si>
    <t>A.n[89.01]TMWESK[156.13]GK[156.13]ITYLK[156.13]GE.A</t>
  </si>
  <si>
    <t>MegaP_hMMP14_GluC_GB_QStar-XL_20110617.03803.03803.4</t>
  </si>
  <si>
    <t>18/108</t>
  </si>
  <si>
    <t>MegaP_hMMP14_GluC_GB_QStar-XL_20110617.03809.03809.3</t>
  </si>
  <si>
    <t>MegaP_hMMP14_GluC_GB_QStar-XL_20110617.03811.03811.2</t>
  </si>
  <si>
    <t>MegaP_hMMP14_GluC_GB_QStar-XL_20110617.03815.03815.3</t>
  </si>
  <si>
    <t>N.n[89.01]FMHLK[156.13]PISRE.L</t>
  </si>
  <si>
    <t>sp|Q01081|U2AF1_HUMAN,sp|Q01081-2|U2AF1_HUMAN,sp|Q01081-4|U2AF1_HUMAN</t>
  </si>
  <si>
    <t>Splicing factor U2AF 35 kDa subunit OS=Homo sapiens GN=U2AF1 PE=1 SV=3</t>
  </si>
  <si>
    <t>MegaP_hMMP14_GluC_GB_QStar-XL_20110617.03817.03817.2</t>
  </si>
  <si>
    <t>MegaP_hMMP14_GluC_GB_QStar-XL_20110617.03830.03830.3</t>
  </si>
  <si>
    <t>R.n[89.01]K[156.13]LPFQRLVRE.L</t>
  </si>
  <si>
    <t>sp|P68431|H31_HUMAN,sp|Q71DI3|H32_HUMAN,sp|P84243|H33_HUMAN,sp|Q6NXT2|H3C_HUMAN</t>
  </si>
  <si>
    <t>Histone H3.1 OS=Homo sapiens GN=HIST1H3A PE=1 SV=2</t>
  </si>
  <si>
    <t>MegaP_hMMP14_GluC_GB_QStar-XL_20110617.03842.03842.2</t>
  </si>
  <si>
    <t>MegaP_hMMP14_GluC_GB_QStar-XL_20110617.03845.03845.3</t>
  </si>
  <si>
    <t>MegaP_hMMP14_GluC_GB_QStar-XL_20110617.03853.03853.2</t>
  </si>
  <si>
    <t>MegaP_hMMP14_GluC_GB_QStar-XL_20110617.03867.03867.2</t>
  </si>
  <si>
    <t>G.n[89.01]ILNVSAVDK[156.13]STGK[156.13]E.N</t>
  </si>
  <si>
    <t>MegaP_hMMP14_GluC_GB_QStar-XL_20110617.03887.03887.2</t>
  </si>
  <si>
    <t>A.n[89.01]LK[156.13]K[156.13]ALAAGGYDVE.K</t>
  </si>
  <si>
    <t>MegaP_hMMP14_GluC_GB_QStar-XL_20110617.03898.03898.2</t>
  </si>
  <si>
    <t>N.n[89.01]LNTLVVK[156.13]K[156.13]SDVE.A</t>
  </si>
  <si>
    <t>sp|O60812|HNRCL_HUMAN,sp|P07910|HNRPC_HUMAN,sp|P07910-2|HNRPC_HUMAN,sp|P07910-3|HNRPC_HUMAN,sp|P07910-4|HNRPC_HUMAN</t>
  </si>
  <si>
    <t>Heterogeneous nuclear ribonucleoprotein C-like 1 OS=Homo sapiens GN=HNRNPCL1 PE=1 SV=1</t>
  </si>
  <si>
    <t>MegaP_hMMP14_GluC_GB_QStar-XL_20110617.03901.03901.2</t>
  </si>
  <si>
    <t>MegaP_hMMP14_GluC_GB_QStar-XL_20110617.03905.03905.3</t>
  </si>
  <si>
    <t>MegaP_hMMP14_GluC_GB_QStar-XL_20110617.03938.03938.3</t>
  </si>
  <si>
    <t>MegaP_hMMP14_GluC_GB_QStar-XL_20110617.03939.03939.3</t>
  </si>
  <si>
    <t>N.n[89.01]ILK[156.13]DK[156.13]DPPIPVAK[156.13]IDATS.A</t>
  </si>
  <si>
    <t>MegaP_hMMP14_GluC_GB_QStar-XL_20110617.03942.03942.3</t>
  </si>
  <si>
    <t>MegaP_hMMP14_GluC_GB_QStar-XL_20110617.03943.03943.2</t>
  </si>
  <si>
    <t>MegaP_hMMP14_GluC_GB_QStar-XL_20110617.03950.03950.2</t>
  </si>
  <si>
    <t>MegaP_hMMP14_GluC_GB_QStar-XL_20110617.03958.03958.2</t>
  </si>
  <si>
    <t>MegaP_hMMP14_GluC_GB_QStar-XL_20110617.03966.03966.3</t>
  </si>
  <si>
    <t>MegaP_hMMP14_GluC_GB_QStar-XL_20110617.03969.03969.4</t>
  </si>
  <si>
    <t>F.n[89.01]LRRGGFEEPVLLK[156.13]NIRE.N</t>
  </si>
  <si>
    <t>sp|Q9Y3Z3|SAMH1_HUMAN,sp|Q9Y3Z3-2|SAMH1_HUMAN,sp|Q9Y3Z3-3|SAMH1_HUMAN,sp|Q9Y3Z3-4|SAMH1_HUMAN</t>
  </si>
  <si>
    <t>Deoxynucleoside triphosphate triphosphohydrolase SAMHD1 OS=Homo sapiens GN=SAMHD1 PE=1 SV=2</t>
  </si>
  <si>
    <t>MegaP_hMMP14_GluC_GB_QStar-XL_20110617.03974.03974.3</t>
  </si>
  <si>
    <t>G.n[89.01]LYTK[156.13]TQDPAK[156.13]APNTPDILE.L</t>
  </si>
  <si>
    <t>sp|P00966|ASSY_HUMAN</t>
  </si>
  <si>
    <t>Argininosuccinate synthase OS=Homo sapiens GN=ASS1 PE=1 SV=2</t>
  </si>
  <si>
    <t>MegaP_hMMP14_GluC_GB_QStar-XL_20110617.03975.03975.3</t>
  </si>
  <si>
    <t>MegaP_hMMP14_GluC_GB_QStar-XL_20110617.03985.03985.2</t>
  </si>
  <si>
    <t>MegaP_hMMP14_GluC_GB_QStar-XL_20110617.03987.03987.4</t>
  </si>
  <si>
    <t>MegaP_hMMP14_GluC_GB_QStar-XL_20110617.04003.04003.3</t>
  </si>
  <si>
    <t>MegaP_hMMP14_GluC_GB_QStar-XL_20110617.04010.04010.3</t>
  </si>
  <si>
    <t>A.n[89.01]MK[156.13]K[156.13]VVQQLRLE.A</t>
  </si>
  <si>
    <t>sp|P63218|GBG5_HUMAN</t>
  </si>
  <si>
    <t>Guanine nucleotide-binding protein G(I)\G(S)\G(O) subunit gamma-5 OS=Homo sapiens GN=GNG5 PE=1 SV=3</t>
  </si>
  <si>
    <t>MegaP_hMMP14_GluC_GB_QStar-XL_20110617.04030.04030.2</t>
  </si>
  <si>
    <t>S.n[89.01]LTVHLIHE.V</t>
  </si>
  <si>
    <t>MegaP_hMMP14_GluC_GB_QStar-XL_20110617.04033.04033.3</t>
  </si>
  <si>
    <t>MegaP_hMMP14_GluC_GB_QStar-XL_20110617.04039.04039.2</t>
  </si>
  <si>
    <t>G.n[89.01]VMTK[156.13]LIPRN.T</t>
  </si>
  <si>
    <t>MegaP_hMMP14_GluC_GB_QStar-XL_20110617.04090.04090.3</t>
  </si>
  <si>
    <t>N.n[89.01]LC[160.03]LHFNPRFNAHG.D</t>
  </si>
  <si>
    <t>MegaP_hMMP14_GluC_GB_QStar-XL_20110617.04094.04094.3</t>
  </si>
  <si>
    <t>H.n[89.01]VTVK[156.13]K[156.13]LFVGGIK[156.13]E.D</t>
  </si>
  <si>
    <t>MegaP_hMMP14_GluC_GB_QStar-XL_20110617.04106.04106.2</t>
  </si>
  <si>
    <t>MegaP_hMMP14_GluC_GB_QStar-XL_20110617.04118.04118.2</t>
  </si>
  <si>
    <t>T.n[89.01]LIVRPDNTYE.V</t>
  </si>
  <si>
    <t>MegaP_hMMP14_GluC_GB_QStar-XL_20110617.04125.04125.2</t>
  </si>
  <si>
    <t>A.n[89.01]LTQK[156.13]GLK[156.13]NVFDE.A</t>
  </si>
  <si>
    <t>sp|P60953|CDC42_HUMAN</t>
  </si>
  <si>
    <t>MegaP_hMMP14_GluC_GB_QStar-XL_20110617.04126.04126.3</t>
  </si>
  <si>
    <t>MegaP_hMMP14_GluC_GB_QStar-XL_20110617.04155.04155.2</t>
  </si>
  <si>
    <t>MegaP_hMMP14_GluC_GB_QStar-XL_20110617.04158.04158.3</t>
  </si>
  <si>
    <t>MegaP_hMMP14_GluC_GB_QStar-XL_20110617.04159.04159.2</t>
  </si>
  <si>
    <t>L.n[89.01]WNGQK[156.13]LVTTVTE.L</t>
  </si>
  <si>
    <t>MegaP_hMMP14_GluC_GB_QStar-XL_20110617.04161.04161.3</t>
  </si>
  <si>
    <t>MegaP_hMMP14_GluC_GB_QStar-XL_20110617.04167.04167.2</t>
  </si>
  <si>
    <t>A.n[89.01]LK[156.13]AFPSAINQ.D</t>
  </si>
  <si>
    <t>MegaP_hMMP14_GluC_GB_QStar-XL_20110617.04170.04170.3</t>
  </si>
  <si>
    <t>C.n[89.01]FTRK[156.13]YTLPPGVDPTQVSSSLSPE.G</t>
  </si>
  <si>
    <t>MegaP_hMMP14_GluC_GB_QStar-XL_20110617.04173.04173.3</t>
  </si>
  <si>
    <t>MegaP_hMMP14_GluC_GB_QStar-XL_20110617.04177.04177.2</t>
  </si>
  <si>
    <t>MegaP_hMMP14_GluC_GB_QStar-XL_20110617.04182.04182.2</t>
  </si>
  <si>
    <t>21/38</t>
  </si>
  <si>
    <t>MegaP_hMMP14_GluC_GB_QStar-XL_20110617.04185.04185.2</t>
  </si>
  <si>
    <t>MegaP_hMMP14_GluC_GB_QStar-XL_20110617.04190.04190.2</t>
  </si>
  <si>
    <t>MegaP_hMMP14_GluC_GB_QStar-XL_20110617.04195.04195.3</t>
  </si>
  <si>
    <t>G.n[89.01]IQVVGDDLTVTNPK[156.13]RIAK[156.13]AVNE.K</t>
  </si>
  <si>
    <t>MegaP_hMMP14_GluC_GB_QStar-XL_20110617.04197.04197.2</t>
  </si>
  <si>
    <t>A.n[89.01]LK[156.13]AFPSAINQD.N</t>
  </si>
  <si>
    <t>MegaP_hMMP14_GluC_GB_QStar-XL_20110617.04199.04199.2</t>
  </si>
  <si>
    <t>MegaP_hMMP14_GluC_GB_QStar-XL_20110617.04209.04209.3</t>
  </si>
  <si>
    <t>MegaP_hMMP14_GluC_GB_QStar-XL_20110617.04210.04210.2</t>
  </si>
  <si>
    <t>MegaP_hMMP14_GluC_GB_QStar-XL_20110617.04214.04214.3</t>
  </si>
  <si>
    <t>sp|P31946|1433B_HUMAN</t>
  </si>
  <si>
    <t>MegaP_hMMP14_GluC_GB_QStar-XL_20110617.04217.04217.3</t>
  </si>
  <si>
    <t>MegaP_hMMP14_GluC_GB_QStar-XL_20110617.04218.04218.2</t>
  </si>
  <si>
    <t>MegaP_hMMP14_GluC_GB_QStar-XL_20110617.04221.04221.2</t>
  </si>
  <si>
    <t>MegaP_hMMP14_GluC_GB_QStar-XL_20110617.04225.04225.2</t>
  </si>
  <si>
    <t>MegaP_hMMP14_GluC_GB_QStar-XL_20110617.04230.04230.3</t>
  </si>
  <si>
    <t>MegaP_hMMP14_GluC_GB_QStar-XL_20110617.04233.04233.3</t>
  </si>
  <si>
    <t>A.n[89.01]LK[156.13]AFPSAINQDNYPN.G</t>
  </si>
  <si>
    <t>MegaP_hMMP14_GluC_GB_QStar-XL_20110617.04234.04234.2</t>
  </si>
  <si>
    <t>MegaP_hMMP14_GluC_GB_QStar-XL_20110617.04237.04237.4</t>
  </si>
  <si>
    <t>17/162</t>
  </si>
  <si>
    <t>N.n[89.01]ITVTGYPGDK[156.13]PVATMWESK[156.13]GK[156.13]ITYLK[156.13]GE.A</t>
  </si>
  <si>
    <t>MegaP_hMMP14_GluC_GB_QStar-XL_20110617.04245.04245.3</t>
  </si>
  <si>
    <t>Y.n[89.01]LK[156.13]MK[156.13]GDYFRYLAE.V</t>
  </si>
  <si>
    <t>sp|P27348|1433T_HUMAN</t>
  </si>
  <si>
    <t>14-3-3 protein theta OS=Homo sapiens GN=YWHAQ PE=1 SV=1</t>
  </si>
  <si>
    <t>MegaP_hMMP14_GluC_GB_QStar-XL_20110617.04251.04251.3</t>
  </si>
  <si>
    <t>P.n[89.01]C[160.03]K[156.13]MIK[156.13]PFFHSLSE.K</t>
  </si>
  <si>
    <t>sp|P10599|THIO_HUMAN</t>
  </si>
  <si>
    <t>Thioredoxin OS=Homo sapiens GN=TXN PE=1 SV=3</t>
  </si>
  <si>
    <t>MegaP_hMMP14_GluC_GB_QStar-XL_20110617.04253.04253.2</t>
  </si>
  <si>
    <t>MegaP_hMMP14_GluC_GB_QStar-XL_20110617.04262.04262.2</t>
  </si>
  <si>
    <t>MegaP_hMMP14_GluC_GB_QStar-XL_20110617.04266.04266.2</t>
  </si>
  <si>
    <t>MegaP_hMMP14_GluC_GB_QStar-XL_20110617.04274.04274.2</t>
  </si>
  <si>
    <t>MegaP_hMMP14_GluC_GB_QStar-XL_20110617.04282.04282.2</t>
  </si>
  <si>
    <t>MegaP_hMMP14_GluC_GB_QStar-XL_20110617.04285.04285.2</t>
  </si>
  <si>
    <t>MegaP_hMMP14_GluC_GB_QStar-XL_20110617.04289.04289.2</t>
  </si>
  <si>
    <t>MegaP_hMMP14_GluC_GB_QStar-XL_20110617.04294.04294.2</t>
  </si>
  <si>
    <t>K.n[89.01]LVLIRHGE.S</t>
  </si>
  <si>
    <t>MegaP_hMMP14_GluC_GB_QStar-XL_20110617.04317.04317.2</t>
  </si>
  <si>
    <t>MegaP_hMMP14_GluC_GB_QStar-XL_20110617.04318.04318.3</t>
  </si>
  <si>
    <t>N.n[89.01]MTFPSDSM[147.04]SED.C</t>
  </si>
  <si>
    <t>sp|O00748|EST2_HUMAN,sp|O00748-2|EST2_HUMAN</t>
  </si>
  <si>
    <t>Cocaine esterase OS=Homo sapiens GN=CES2 PE=1 SV=1</t>
  </si>
  <si>
    <t>MegaP_hMMP14_GluC_GB_QStar-XL_20110617.04319.04319.2</t>
  </si>
  <si>
    <t>MegaP_hMMP14_GluC_GB_QStar-XL_20110617.04321.04321.2</t>
  </si>
  <si>
    <t>MegaP_hMMP14_GluC_GB_QStar-XL_20110617.04325.04325.2</t>
  </si>
  <si>
    <t>MegaP_hMMP14_GluC_GB_QStar-XL_20110617.04330.04330.2</t>
  </si>
  <si>
    <t>MegaP_hMMP14_GluC_GB_QStar-XL_20110617.04339.04339.2</t>
  </si>
  <si>
    <t>MegaP_hMMP14_GluC_GB_QStar-XL_20110617.04343.04343.3</t>
  </si>
  <si>
    <t>MegaP_hMMP14_GluC_GB_QStar-XL_20110617.04354.04354.2</t>
  </si>
  <si>
    <t>MegaP_hMMP14_GluC_GB_QStar-XL_20110617.04355.04355.2</t>
  </si>
  <si>
    <t>MegaP_hMMP14_GluC_GB_QStar-XL_20110617.04358.04358.2</t>
  </si>
  <si>
    <t>MegaP_hMMP14_GluC_GB_QStar-XL_20110617.04359.04359.2</t>
  </si>
  <si>
    <t>MegaP_hMMP14_GluC_GB_QStar-XL_20110617.04363.04363.2</t>
  </si>
  <si>
    <t>F.n[29.04]HIQSISAILFI.Y</t>
  </si>
  <si>
    <t>sp|Q9BY07|S4A5_HUMAN</t>
  </si>
  <si>
    <t>Electrogenic sodium bicarbonate cotransporter 4 OS=Homo sapiens GN=SLC4A5 PE=2 SV=2</t>
  </si>
  <si>
    <t>MegaP_hMMP14_GluC_GB_QStar-XL_20110617.04366.04366.3</t>
  </si>
  <si>
    <t>MegaP_hMMP14_GluC_GB_QStar-XL_20110617.04378.04378.3</t>
  </si>
  <si>
    <t>MegaP_hMMP14_GluC_GB_QStar-XL_20110617.04382.04382.2</t>
  </si>
  <si>
    <t>C.n[89.01]K[156.13]MINLSVPDTIDE.R</t>
  </si>
  <si>
    <t>sp|P13796|PLSL_HUMAN,sp|P13797|PLST_HUMAN</t>
  </si>
  <si>
    <t>MegaP_hMMP14_GluC_GB_QStar-XL_20110617.04393.04393.2</t>
  </si>
  <si>
    <t>MegaP_hMMP14_GluC_GB_QStar-XL_20110617.04395.04395.2</t>
  </si>
  <si>
    <t>MegaP_hMMP14_GluC_GB_QStar-XL_20110617.04398.04398.2</t>
  </si>
  <si>
    <t>N.n[89.01]LC[160.03]LHFNPRFN.A</t>
  </si>
  <si>
    <t>MegaP_hMMP14_GluC_GB_QStar-XL_20110617.04399.04399.2</t>
  </si>
  <si>
    <t>W.n[89.01]IVLK[156.13]EPISVSSE.Q</t>
  </si>
  <si>
    <t>MegaP_hMMP14_GluC_GB_QStar-XL_20110617.04413.04413.3</t>
  </si>
  <si>
    <t>MegaP_hMMP14_GluC_GB_QStar-XL_20110617.04418.04418.2</t>
  </si>
  <si>
    <t>G.n[89.01]FTAEQITK[156.13]YSGEGDLA.L</t>
  </si>
  <si>
    <t>MegaP_hMMP14_GluC_GB_QStar-XL_20110617.04421.04421.3</t>
  </si>
  <si>
    <t>G.n[89.01]MC[160.03]K[156.13]AGFAGDDAPRAVFPSIVG.R</t>
  </si>
  <si>
    <t>MegaP_hMMP14_GluC_GB_QStar-XL_20110617.04429.04429.2</t>
  </si>
  <si>
    <t>MegaP_hMMP14_GluC_GB_QStar-XL_20110617.04430.04430.2</t>
  </si>
  <si>
    <t>MegaP_hMMP14_GluC_GB_QStar-XL_20110617.04431.04431.3</t>
  </si>
  <si>
    <t>S.n[89.01]LRAPLDIPIPDPPPK[156.13]DDE.M</t>
  </si>
  <si>
    <t>sp|Q9UL46|PSME2_HUMAN</t>
  </si>
  <si>
    <t>Proteasome activator complex subunit 2 OS=Homo sapiens GN=PSME2 PE=1 SV=4</t>
  </si>
  <si>
    <t>MegaP_hMMP14_GluC_GB_QStar-XL_20110617.04445.04445.2</t>
  </si>
  <si>
    <t>M.n[89.01]LQVLGPK[156.13]PALPAGTE.D</t>
  </si>
  <si>
    <t>sp|P06396|GELS_HUMAN,sp|P06396-2|GELS_HUMAN,sp|P06396-3|GELS_HUMAN</t>
  </si>
  <si>
    <t>Gelsolin OS=Homo sapiens GN=GSN PE=1 SV=1</t>
  </si>
  <si>
    <t>MegaP_hMMP14_GluC_GB_QStar-XL_20110617.04457.04457.3</t>
  </si>
  <si>
    <t>MegaP_hMMP14_GluC_GB_QStar-XL_20110617.04458.04458.2</t>
  </si>
  <si>
    <t>MegaP_hMMP14_GluC_GB_QStar-XL_20110617.04461.04461.3</t>
  </si>
  <si>
    <t>13/80</t>
  </si>
  <si>
    <t>MegaP_hMMP14_GluC_GB_QStar-XL_20110617.04466.04466.2</t>
  </si>
  <si>
    <t>MegaP_hMMP14_GluC_GB_QStar-XL_20110617.04481.04481.3</t>
  </si>
  <si>
    <t>MegaP_hMMP14_GluC_GB_QStar-XL_20110617.04485.04485.3</t>
  </si>
  <si>
    <t>MegaP_hMMP14_GluC_GB_QStar-XL_20110617.04486.04486.3</t>
  </si>
  <si>
    <t>MegaP_hMMP14_GluC_GB_QStar-XL_20110617.04489.04489.2</t>
  </si>
  <si>
    <t>MegaP_hMMP14_GluC_GB_QStar-XL_20110617.04494.04494.2</t>
  </si>
  <si>
    <t>N.n[89.01]IGK[156.13]LAQFE.P</t>
  </si>
  <si>
    <t>MegaP_hMMP14_GluC_GB_QStar-XL_20110617.04497.04497.3</t>
  </si>
  <si>
    <t>11/80</t>
  </si>
  <si>
    <t>MegaP_hMMP14_GluC_GB_QStar-XL_20110617.04521.04521.3</t>
  </si>
  <si>
    <t>MegaP_hMMP14_GluC_GB_QStar-XL_20110617.04523.04523.3</t>
  </si>
  <si>
    <t>A.n[89.01]LK[156.13]AFPSAINQDNYPNGGFTAEQITK[156.13]Y.S</t>
  </si>
  <si>
    <t>MegaP_hMMP14_GluC_GB_QStar-XL_20110617.04525.04525.2</t>
  </si>
  <si>
    <t>MegaP_hMMP14_GluC_GB_QStar-XL_20110617.04527.04527.2</t>
  </si>
  <si>
    <t>sp|Q9UMS0|NFU1_HUMAN,sp|Q9UMS0-3|NFU1_HUMAN</t>
  </si>
  <si>
    <t>MegaP_hMMP14_GluC_GB_QStar-XL_20110617.04541.04541.3</t>
  </si>
  <si>
    <t>MegaP_hMMP14_GluC_GB_QStar-XL_20110617.04553.04553.2</t>
  </si>
  <si>
    <t>MegaP_hMMP14_GluC_GB_QStar-XL_20110617.04578.04578.2</t>
  </si>
  <si>
    <t>MegaP_hMMP14_GluC_GB_QStar-XL_20110617.04579.04579.2</t>
  </si>
  <si>
    <t>MegaP_hMMP14_GluC_GB_QStar-XL_20110617.04586.04586.2</t>
  </si>
  <si>
    <t>P.n[89.01]LRFTPPQPAEPWS.F</t>
  </si>
  <si>
    <t>sp|P23141|EST1_HUMAN</t>
  </si>
  <si>
    <t>Liver carboxylesterase 1 OS=Homo sapiens GN=CES1 PE=1 SV=2</t>
  </si>
  <si>
    <t>MegaP_hMMP14_GluC_GB_QStar-XL_20110617.04587.04587.2</t>
  </si>
  <si>
    <t>T.n[89.01]VLSGGTTMYPGIAD.R</t>
  </si>
  <si>
    <t>MegaP_hMMP14_GluC_GB_QStar-XL_20110617.04589.04589.3</t>
  </si>
  <si>
    <t>11/64</t>
  </si>
  <si>
    <t>S.n[89.01]ISSFK[156.13]DPK[156.13]ISTSLPVLD.L</t>
  </si>
  <si>
    <t>MegaP_hMMP14_GluC_GB_QStar-XL_20110617.04606.04606.3</t>
  </si>
  <si>
    <t>S.n[89.01]VYIK[156.13]GFPTDATLDDIK[156.13]E.W</t>
  </si>
  <si>
    <t>MegaP_hMMP14_GluC_GB_QStar-XL_20110617.04609.04609.2</t>
  </si>
  <si>
    <t>H.n[89.01]LLLVAK[156.13]QTAK[156.13]AE.G</t>
  </si>
  <si>
    <t>sp|Q9BX68|HINT2_HUMAN</t>
  </si>
  <si>
    <t>Histidine triad nucleotide-binding protein 2, mitochondrial OS=Homo sapiens GN=HINT2 PE=1 SV=1</t>
  </si>
  <si>
    <t>MegaP_hMMP14_GluC_GB_QStar-XL_20110617.04617.04617.2</t>
  </si>
  <si>
    <t>MegaP_hMMP14_GluC_GB_QStar-XL_20110617.04619.04619.2</t>
  </si>
  <si>
    <t>G.n[89.01]IRAVLLGPPGAG.K</t>
  </si>
  <si>
    <t>MegaP_hMMP14_GluC_GB_QStar-XL_20110617.04621.04621.3</t>
  </si>
  <si>
    <t>G.n[89.01]LIVPDNPPYDK[156.13]GAFRIE.L</t>
  </si>
  <si>
    <t>MegaP_hMMP14_GluC_GB_QStar-XL_20110617.04631.04631.2</t>
  </si>
  <si>
    <t>N.n[89.01]LK[156.13]APLDIPVPD.P</t>
  </si>
  <si>
    <t>MegaP_hMMP14_GluC_GB_QStar-XL_20110617.04651.04651.2</t>
  </si>
  <si>
    <t>MegaP_hMMP14_GluC_GB_QStar-XL_20110617.04661.04661.2</t>
  </si>
  <si>
    <t>S.n[89.01]VVLMSHLGRPD.G</t>
  </si>
  <si>
    <t>MegaP_hMMP14_GluC_GB_QStar-XL_20110617.04670.04670.2</t>
  </si>
  <si>
    <t>MegaP_hMMP14_GluC_GB_QStar-XL_20110617.04677.04677.2</t>
  </si>
  <si>
    <t>A.n[89.01]GFAGDDAPRAVFPSIVG.R</t>
  </si>
  <si>
    <t>MegaP_hMMP14_GluC_GB_QStar-XL_20110617.04678.04678.2</t>
  </si>
  <si>
    <t>MegaP_hMMP14_GluC_GB_QStar-XL_20110617.04702.04702.2</t>
  </si>
  <si>
    <t>S.n[89.01]FFMPAAK[156.13]LK[156.13]E.R</t>
  </si>
  <si>
    <t>MegaP_hMMP14_GluC_GB_QStar-XL_20110617.04706.04706.2</t>
  </si>
  <si>
    <t>P.n[89.01]ILSK[156.13]LEPQIASASE.Y</t>
  </si>
  <si>
    <t>sp|O60664|PLIN3_HUMAN,sp|O60664-3|PLIN3_HUMAN,sp|O60664-4|PLIN3_HUMAN</t>
  </si>
  <si>
    <t>MegaP_hMMP14_GluC_GB_QStar-XL_20110617.04714.04714.2</t>
  </si>
  <si>
    <t>MegaP_hMMP14_GluC_GB_QStar-XL_20110617.04719.04719.3</t>
  </si>
  <si>
    <t>A.n[89.01]IRVIC[160.03]AEEPYIC[160.03]K[156.13]DFPE.T</t>
  </si>
  <si>
    <t>sp|P49915|GUAA_HUMAN</t>
  </si>
  <si>
    <t>GMP synthase [glutamine-hydrolyzing] OS=Homo sapiens GN=GMPS PE=1 SV=1</t>
  </si>
  <si>
    <t>MegaP_hMMP14_GluC_GB_QStar-XL_20110617.04730.04730.2</t>
  </si>
  <si>
    <t>A.n[89.01]MFFK[156.13]PHWDE.K</t>
  </si>
  <si>
    <t>sp|P50454|SERPH_HUMAN</t>
  </si>
  <si>
    <t>Serpin H1 OS=Homo sapiens GN=SERPINH1 PE=1 SV=2</t>
  </si>
  <si>
    <t>MegaP_hMMP14_GluC_GB_QStar-XL_20110617.04741.04741.2</t>
  </si>
  <si>
    <t>MegaP_hMMP14_GluC_GB_QStar-XL_20110617.04745.04745.2</t>
  </si>
  <si>
    <t>N.n[89.01]ITVTGYPGDK[156.13]PVATMWE.S</t>
  </si>
  <si>
    <t>MegaP_hMMP14_GluC_GB_QStar-XL_20110617.04747.04747.2</t>
  </si>
  <si>
    <t>MegaP_hMMP14_GluC_GB_QStar-XL_20110617.04762.04762.2</t>
  </si>
  <si>
    <t>Q.n[89.01]LLLTADDRVNP.C</t>
  </si>
  <si>
    <t>MegaP_hMMP14_GluC_GB_QStar-XL_20110617.04783.04783.3</t>
  </si>
  <si>
    <t>S.n[89.01]LIK[156.13]SWK[156.13]K[156.13]LLDGPSTE.K</t>
  </si>
  <si>
    <t>sp|P23193|TCEA1_HUMAN,sp|P23193-2|TCEA1_HUMAN</t>
  </si>
  <si>
    <t>Transcription elongation factor A protein 1 OS=Homo sapiens GN=TCEA1 PE=1 SV=2</t>
  </si>
  <si>
    <t>MegaP_hMMP14_GluC_GB_QStar-XL_20110617.04790.04790.2</t>
  </si>
  <si>
    <t>T.n[89.01]IVLRGATQQILDE.A</t>
  </si>
  <si>
    <t>MegaP_hMMP14_GluC_GB_QStar-XL_20110617.04795.04795.2</t>
  </si>
  <si>
    <t>A.n[89.01]VWLPAMK[156.13]AK[156.13]GLE.L</t>
  </si>
  <si>
    <t>sp|Q10567|AP1B1_HUMAN,sp|Q10567-2|AP1B1_HUMAN,sp|Q10567-3|AP1B1_HUMAN</t>
  </si>
  <si>
    <t>AP-1 complex subunit beta-1 OS=Homo sapiens GN=AP1B1 PE=1 SV=2</t>
  </si>
  <si>
    <t>MegaP_hMMP14_GluC_GB_QStar-XL_20110617.04802.04802.2</t>
  </si>
  <si>
    <t>G.n[89.01]VLSSTLRTLPTLQE.L</t>
  </si>
  <si>
    <t>sp|P13489|RINI_HUMAN</t>
  </si>
  <si>
    <t>Ribonuclease inhibitor OS=Homo sapiens GN=RNH1 PE=1 SV=2</t>
  </si>
  <si>
    <t>MegaP_hMMP14_GluC_GB_QStar-XL_20110617.04814.04814.2</t>
  </si>
  <si>
    <t>G.n[89.01]ILSPSIVLTK[156.13]AQE.A</t>
  </si>
  <si>
    <t>sp|Q92835|SHIP1_HUMAN,sp|Q92835-2|SHIP1_HUMAN,sp|Q92835-3|SHIP1_HUMAN</t>
  </si>
  <si>
    <t>Phosphatidylinositol 3,4,5-trisphosphate 5-phosphatase 1 OS=Homo sapiens GN=INPP5D PE=1 SV=2</t>
  </si>
  <si>
    <t>MegaP_hMMP14_GluC_GB_QStar-XL_20110617.04815.04815.2</t>
  </si>
  <si>
    <t>N.n[89.01]MFLQAVK[156.13]E.N</t>
  </si>
  <si>
    <t>sp|O60610|DIAP1_HUMAN,sp|O60610-2|DIAP1_HUMAN,sp|O60610-3|DIAP1_HUMAN</t>
  </si>
  <si>
    <t>Protein diaphanous homolog 1 OS=Homo sapiens GN=DIAPH1 PE=1 SV=2</t>
  </si>
  <si>
    <t>MegaP_hMMP14_GluC_GB_QStar-XL_20110617.04833.04833.2</t>
  </si>
  <si>
    <t>MegaP_hMMP14_GluC_GB_QStar-XL_20110617.04837.04837.3</t>
  </si>
  <si>
    <t>H.n[89.01]LYRGIFPVLC[160.03]K[156.13]DPVQE.A</t>
  </si>
  <si>
    <t>sp|P14618|KPYM_HUMAN,sp|P14618-2|KPYM_HUMAN,sp|P14618-3|KPYM_HUMAN</t>
  </si>
  <si>
    <t>MegaP_hMMP14_GluC_GB_QStar-XL_20110617.04849.04849.2</t>
  </si>
  <si>
    <t>S.n[89.01]MFLK[156.13]GARLIPE.M</t>
  </si>
  <si>
    <t>MegaP_hMMP14_GluC_GB_QStar-XL_20110617.04867.04867.2</t>
  </si>
  <si>
    <t>K.n[89.01]VK[156.13]LAAVDATVNQVLA.S</t>
  </si>
  <si>
    <t>sp|Q15084|PDIA6_HUMAN</t>
  </si>
  <si>
    <t>Protein disulfide-isomerase A6 OS=Homo sapiens GN=PDIA6 PE=1 SV=1</t>
  </si>
  <si>
    <t>MegaP_hMMP14_GluC_GB_QStar-XL_20110617.04871.04871.2</t>
  </si>
  <si>
    <t>MegaP_hMMP14_GluC_GB_QStar-XL_20110617.04889.04889.2</t>
  </si>
  <si>
    <t>N.n[89.01]FK[156.13]NYQFFIGE.N</t>
  </si>
  <si>
    <t>MegaP_hMMP14_GluC_GB_QStar-XL_20110617.04898.04898.2</t>
  </si>
  <si>
    <t>G.n[89.01]IK[156.13]AVDSLVPIG.R</t>
  </si>
  <si>
    <t>sp|P25705|ATPA_HUMAN</t>
  </si>
  <si>
    <t>MegaP_hMMP14_GluC_GB_QStar-XL_20110617.04905.04905.2</t>
  </si>
  <si>
    <t>MegaP_hMMP14_GluC_GB_QStar-XL_20110617.04913.04913.3</t>
  </si>
  <si>
    <t>MegaP_hMMP14_GluC_GB_QStar-XL_20110617.04918.04918.2</t>
  </si>
  <si>
    <t>C.n[89.01]LLLK[156.13]VNQIGSVTE.S</t>
  </si>
  <si>
    <t>MegaP_hMMP14_GluC_GB_QStar-XL_20110617.04923.04923.2</t>
  </si>
  <si>
    <t>MegaP_hMMP14_GluC_GB_QStar-XL_20110617.04941.04941.2</t>
  </si>
  <si>
    <t>MegaP_hMMP14_GluC_GB_QStar-XL_20110617.04942.04942.2</t>
  </si>
  <si>
    <t>MegaP_hMMP14_GluC_GB_QStar-XL_20110617.04949.04949.2</t>
  </si>
  <si>
    <t>MegaP_hMMP14_GluC_GB_QStar-XL_20110617.04953.04953.2</t>
  </si>
  <si>
    <t>MegaP_hMMP14_GluC_GB_QStar-XL_20110617.04955.04955.2</t>
  </si>
  <si>
    <t>MegaP_hMMP14_GluC_GB_QStar-XL_20110617.04962.04962.2</t>
  </si>
  <si>
    <t>MegaP_hMMP14_GluC_GB_QStar-XL_20110617.04973.04973.2</t>
  </si>
  <si>
    <t>L.n[89.01]LFLPK[156.13]SVSDYD.G</t>
  </si>
  <si>
    <t>MegaP_hMMP14_GluC_GB_QStar-XL_20110617.04977.04977.2</t>
  </si>
  <si>
    <t>MegaP_hMMP14_GluC_GB_QStar-XL_20110617.04982.04982.2</t>
  </si>
  <si>
    <t>Q.n[89.01]MALLDQTK[156.13]TLAE.S</t>
  </si>
  <si>
    <t>MegaP_hMMP14_GluC_GB_QStar-XL_20110617.04985.04985.3</t>
  </si>
  <si>
    <t>MegaP_hMMP14_GluC_GB_QStar-XL_20110617.04986.04986.2</t>
  </si>
  <si>
    <t>MegaP_hMMP14_GluC_GB_QStar-XL_20110617.04998.04998.2</t>
  </si>
  <si>
    <t>sp|P08238|HS90B_HUMAN,sp|Q58FF8|H90B2_HUMAN,sp|Q58FF6|H90B4_HUMAN,sp|Q14568|HS902_HUMAN,sp|P07900|HS90A_HUMAN,sp|P07900-2|HS90A_HUMAN</t>
  </si>
  <si>
    <t>MegaP_hMMP14_GluC_GB_QStar-XL_20110617.05033.05033.2</t>
  </si>
  <si>
    <t>MegaP_hMMP14_GluC_GB_QStar-XL_20110617.05037.05037.2</t>
  </si>
  <si>
    <t>MegaP_hMMP14_GluC_GB_QStar-XL_20110617.05039.05039.2</t>
  </si>
  <si>
    <t>G.n[89.01]LNVLRVINEPTA.A</t>
  </si>
  <si>
    <t>MegaP_hMMP14_GluC_GB_QStar-XL_20110617.05043.05043.2</t>
  </si>
  <si>
    <t>MegaP_hMMP14_GluC_GB_QStar-XL_20110617.05047.05047.2</t>
  </si>
  <si>
    <t>MegaP_hMMP14_GluC_GB_QStar-XL_20110617.05049.05049.2</t>
  </si>
  <si>
    <t>MegaP_hMMP14_GluC_GB_QStar-XL_20110617.05067.05067.2</t>
  </si>
  <si>
    <t>MegaP_hMMP14_GluC_GB_QStar-XL_20110617.05073.05073.2</t>
  </si>
  <si>
    <t>MegaP_hMMP14_GluC_GB_QStar-XL_20110617.05077.05077.2</t>
  </si>
  <si>
    <t>MegaP_hMMP14_GluC_GB_QStar-XL_20110617.05085.05085.2</t>
  </si>
  <si>
    <t>MegaP_hMMP14_GluC_GB_QStar-XL_20110617.05090.05090.3</t>
  </si>
  <si>
    <t>G.n[89.01]ILLYGPPGTGK[156.13]TLIARAVANE.T</t>
  </si>
  <si>
    <t>MegaP_hMMP14_GluC_GB_QStar-XL_20110617.05091.05091.2</t>
  </si>
  <si>
    <t>G.n[89.01]LLLASVGRLSH.Y</t>
  </si>
  <si>
    <t>MegaP_hMMP14_GluC_GB_QStar-XL_20110617.05102.05102.2</t>
  </si>
  <si>
    <t>S.n[89.01]ILAAFSK[156.13]ATS.-</t>
  </si>
  <si>
    <t>sp|P54819-2|KAD2_HUMAN,sp|P54819-5|KAD2_HUMAN</t>
  </si>
  <si>
    <t>Isoform 2 of Adenylate kinase 2, mitochondrial OS=Homo sapiens GN=AK2</t>
  </si>
  <si>
    <t>MegaP_hMMP14_GluC_GB_QStar-XL_20110617.05107.05107.2</t>
  </si>
  <si>
    <t>MegaP_hMMP14_GluC_GB_QStar-XL_20110617.05113.05113.2</t>
  </si>
  <si>
    <t>MegaP_hMMP14_GluC_GB_QStar-XL_20110617.05117.05117.2</t>
  </si>
  <si>
    <t>MegaP_hMMP14_GluC_GB_QStar-XL_20110617.05121.05121.2</t>
  </si>
  <si>
    <t>R.n[89.01]ALVILAK[156.13]GAEE.M</t>
  </si>
  <si>
    <t>MegaP_hMMP14_GluC_GB_QStar-XL_20110617.05125.05125.2</t>
  </si>
  <si>
    <t>MegaP_hMMP14_GluC_GB_QStar-XL_20110617.05143.05143.2</t>
  </si>
  <si>
    <t>R.n[89.01]ILFLDPSGK[156.13]VHPE.L</t>
  </si>
  <si>
    <t>sp|O95881|TXD12_HUMAN</t>
  </si>
  <si>
    <t>Thioredoxin domain-containing protein 12 OS=Homo sapiens GN=TXNDC12 PE=1 SV=1</t>
  </si>
  <si>
    <t>MegaP_hMMP14_GluC_GB_QStar-XL_20110617.05149.05149.2</t>
  </si>
  <si>
    <t>MegaP_hMMP14_GluC_GB_QStar-XL_20110617.05153.05153.2</t>
  </si>
  <si>
    <t>MegaP_hMMP14_GluC_GB_QStar-XL_20110617.05185.05185.2</t>
  </si>
  <si>
    <t>MegaP_hMMP14_GluC_GB_QStar-XL_20110617.05220.05220.2</t>
  </si>
  <si>
    <t>MegaP_hMMP14_GluC_GB_QStar-XL_20110617.05231.05231.2</t>
  </si>
  <si>
    <t>P.n[89.01]LFLAQLK[156.13]DEC[160.03]PE.V</t>
  </si>
  <si>
    <t>MegaP_hMMP14_GluC_GB_QStar-XL_20110617.05256.05256.2</t>
  </si>
  <si>
    <t>MegaP_hMMP14_GluC_GB_QStar-XL_20110617.05261.05261.2</t>
  </si>
  <si>
    <t>20/24</t>
  </si>
  <si>
    <t>G.n[89.01]LK[156.13]FMQASEDLLK[156.13]E.H</t>
  </si>
  <si>
    <t>sp|P15531|NDKA_HUMAN,sp|P15531-2|NDKA_HUMAN,sp|P22392-2|NDKB_HUMAN</t>
  </si>
  <si>
    <t>MegaP_hMMP14_GluC_GB_QStar-XL_20110617.05270.05270.2</t>
  </si>
  <si>
    <t>G.n[89.01]LFIIDPNGVIK[156.13]H.L</t>
  </si>
  <si>
    <t>MegaP_hMMP14_GluC_GB_QStar-XL_20110617.05272.05272.2</t>
  </si>
  <si>
    <t>MegaP_hMMP14_GluC_GB_QStar-XL_20110617.05290.05290.2</t>
  </si>
  <si>
    <t>MegaP_hMMP14_GluC_GB_QStar-XL_20110617.05295.05295.2</t>
  </si>
  <si>
    <t>MegaP_hMMP14_GluC_GB_QStar-XL_20110617.05296.05296.2</t>
  </si>
  <si>
    <t>T.n[89.01]LAGK[156.13]ITGMLLE.L</t>
  </si>
  <si>
    <t>sp|P11940|PABP1_HUMAN</t>
  </si>
  <si>
    <t>MegaP_hMMP14_GluC_GB_QStar-XL_20110617.05306.05306.2</t>
  </si>
  <si>
    <t>MegaP_hMMP14_GluC_GB_QStar-XL_20110617.05328.05328.2</t>
  </si>
  <si>
    <t>sp|P11940|PABP1_HUMAN,sp|P11940-2|PABP1_HUMAN,sp|Q9H361|PABP3_HUMAN,sp|Q13310|PABP4_HUMAN,sp|Q13310-2|PABP4_HUMAN,sp|Q13310-3|PABP4_HUMAN,sp|Q4VXU2|PAP1L_HUMAN</t>
  </si>
  <si>
    <t>MegaP_hMMP14_GluC_GB_QStar-XL_20110617.05343.05343.2</t>
  </si>
  <si>
    <t>MegaP_hMMP14_GluC_GB_QStar-XL_20110617.05368.05368.2</t>
  </si>
  <si>
    <t>G.n[89.01]VLLFGPPGTGK[156.13]TLC[160.03].A</t>
  </si>
  <si>
    <t>sp|P35998|PRS7_HUMAN</t>
  </si>
  <si>
    <t>26S protease regulatory subunit 7 OS=Homo sapiens GN=PSMC2 PE=1 SV=3</t>
  </si>
  <si>
    <t>MegaP_hMMP14_GluC_GB_QStar-XL_20110617.05396.05396.2</t>
  </si>
  <si>
    <t>N.n[89.01]LVSPVLFQE.A</t>
  </si>
  <si>
    <t>MegaP_hMMP14_GluC_GB_QStar-XL_20110617.05423.05423.2</t>
  </si>
  <si>
    <t>MegaP_hMMP14_GluC_GB_QStar-XL_20110617.05463.05463.2</t>
  </si>
  <si>
    <t>P.n[89.01]LSSLTPLIMAAK[156.13]E.A</t>
  </si>
  <si>
    <t>sp|Q13177|PAK2_HUMAN</t>
  </si>
  <si>
    <t>Serine\threonine-protein kinase PAK 2 OS=Homo sapiens GN=PAK2 PE=1 SV=3</t>
  </si>
  <si>
    <t>MegaP_hMMP14_GluC_GB_QStar-XL_20110617.05529.05529.2</t>
  </si>
  <si>
    <t>S.n[89.01]LIILMPHHVEPLE.R</t>
  </si>
  <si>
    <t>MegaP_hMMP14_GluC_GB_QStar-XL_20110617.05599.05599.2</t>
  </si>
  <si>
    <t>P.n[89.01]LQVARVLAK[156.13]LAE.K</t>
  </si>
  <si>
    <t>sp|P38117|ETFB_HUMAN,sp|P38117-2|ETFB_HUMAN</t>
  </si>
  <si>
    <t>Electron transfer flavoprotein subunit beta OS=Homo sapiens GN=ETFB PE=1 SV=3</t>
  </si>
  <si>
    <t>retention
time (sec)</t>
  </si>
  <si>
    <t>MMP1</t>
  </si>
  <si>
    <t>MMP2</t>
  </si>
  <si>
    <t>MMP3</t>
  </si>
  <si>
    <t>MMP7</t>
  </si>
  <si>
    <t>MMP8</t>
  </si>
  <si>
    <t>MMP9</t>
  </si>
  <si>
    <t>MMP12</t>
  </si>
  <si>
    <t>MMP13</t>
  </si>
  <si>
    <t>MMP14</t>
  </si>
  <si>
    <t>Peptides were identified by LC-MS/MS spectrum-to-sequence assignment with Mascot and X! Tandem, and further analysed by iProphet within TPP at a false-discovery rate of 1%. iProphet probability score, spectrum ID, peptide sequence, and scores by Mascot (ionscore, identity score, homology score) and X! Tandem (hyperscore, nextscore, bscore, yscore) are shown together with other peptide and peptide-spectrum match measures. One exemplary accession number of a matching UniProt protein entry is listed. K[156.13] denotes lysine labeled by heavy-dimethyl, C[160.03] and M[147.04] represent carbamidomethylated cysteine and oxidized methionine, respectively, and n[89.01] indicates thioacylated N-termini. Data were further processed and rendered non-redundant for generation of cleavage specificity profiles via WebPICS (http://clipserve.clip.ubc.ca/pics/) and iceLogo (http://iomics.ugent.be/icelogoserver/).</t>
  </si>
  <si>
    <t>Human MMP</t>
  </si>
  <si>
    <t>Number of cleavage sites</t>
  </si>
  <si>
    <t>Total</t>
  </si>
  <si>
    <t>start scan</t>
  </si>
  <si>
    <t>calculated neutral
peptide mass</t>
  </si>
  <si>
    <t>precursor neutral mass</t>
  </si>
  <si>
    <t>m/z ratio</t>
  </si>
  <si>
    <t>protein description</t>
  </si>
  <si>
    <t>mass diff</t>
  </si>
  <si>
    <t>Supplementary Table 2: Human MMP cleavage sites identified by PICS in GluC-generated human proteome libraries</t>
  </si>
  <si>
    <t>Supplementary Table 2a: Human MMP1 cleavage sites identified by PICS in GluC-generated human proteome libraries</t>
  </si>
  <si>
    <t>Supplementary Table S2b: Human MMP2 cleavage sites identified by PICS in GluC-generated human proteome libraries</t>
  </si>
  <si>
    <t>Supplementary Table S2c: Human MMP3 cleavage sites identified by PICS in GluC-generated human proteome libraries</t>
  </si>
  <si>
    <t>Supplementary Table S2d: Human MMP7 cleavage sites identified by PICS in GluC-generated human proteome libraries</t>
  </si>
  <si>
    <t>Supplementary Table S2e: Human MMP8 cleavage sites identified by PICS in GluC-generated human proteome libraries</t>
  </si>
  <si>
    <t>Supplementary Table S2f: Human MMP9 cleavage sites identified by PICS in GluC-generated human proteome libraries</t>
  </si>
  <si>
    <t>Supplementary Table S2g: Human MMP12 cleavage sites identified by PICS in GluC-generated human proteome libraries</t>
  </si>
  <si>
    <t>Supplementary Table S2h: Human MMP13 cleavage sites identified by PICS in GluC-generated human proteome libraries</t>
  </si>
  <si>
    <t>Supplementary Table S2i: Human MMP14 cleavage sites identified by PICS in GluC-generated human proteome libraries</t>
  </si>
  <si>
    <t xml:space="preserve">Unique P6-to-P6' cleavage sites </t>
  </si>
  <si>
    <t>back to index</t>
  </si>
  <si>
    <t>Eckhard et al.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</si>
</sst>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1"/>
      <color rgb="FF006100"/>
      <name val="Calibri"/>
      <family val="2"/>
      <scheme val="minor"/>
    </font>
    <font>
      <u/>
      <sz val="11"/>
      <color theme="11"/>
      <name val="Calibri"/>
      <family val="2"/>
      <scheme val="minor"/>
    </font>
    <font>
      <sz val="8"/>
      <name val="Calibri"/>
      <family val="2"/>
      <scheme val="minor"/>
    </font>
    <font>
      <b/>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cellStyleXfs>
  <cellXfs count="35">
    <xf numFmtId="0" fontId="0" fillId="0" borderId="0" xfId="0"/>
    <xf numFmtId="164" fontId="0" fillId="0" borderId="0" xfId="0" applyNumberFormat="1" applyAlignment="1">
      <alignment horizontal="center"/>
    </xf>
    <xf numFmtId="0" fontId="0" fillId="0" borderId="0" xfId="0" applyAlignment="1">
      <alignment horizontal="center"/>
    </xf>
    <xf numFmtId="49" fontId="0" fillId="0" borderId="0" xfId="0" applyNumberFormat="1" applyAlignment="1">
      <alignment horizontal="center"/>
    </xf>
    <xf numFmtId="2" fontId="0" fillId="0" borderId="0" xfId="0" applyNumberFormat="1" applyAlignment="1">
      <alignment horizontal="center"/>
    </xf>
    <xf numFmtId="11" fontId="0" fillId="0" borderId="0" xfId="0" applyNumberFormat="1" applyAlignment="1">
      <alignment horizontal="center"/>
    </xf>
    <xf numFmtId="165" fontId="0" fillId="0" borderId="0" xfId="0" applyNumberFormat="1" applyAlignment="1">
      <alignment horizontal="center"/>
    </xf>
    <xf numFmtId="164" fontId="16" fillId="0" borderId="0" xfId="0" applyNumberFormat="1" applyFont="1" applyAlignment="1">
      <alignment horizontal="center" vertical="center" wrapText="1"/>
    </xf>
    <xf numFmtId="0" fontId="16" fillId="0" borderId="0" xfId="0" applyFont="1" applyAlignment="1">
      <alignment horizontal="center" vertical="center" wrapText="1"/>
    </xf>
    <xf numFmtId="0" fontId="0" fillId="0" borderId="0" xfId="0" applyAlignment="1"/>
    <xf numFmtId="0" fontId="0" fillId="0" borderId="0" xfId="0" applyAlignment="1">
      <alignment vertical="center"/>
    </xf>
    <xf numFmtId="0" fontId="0" fillId="0" borderId="0" xfId="0" applyAlignment="1">
      <alignment horizontal="center" vertical="center"/>
    </xf>
    <xf numFmtId="0" fontId="16" fillId="0" borderId="0" xfId="0" applyFont="1" applyAlignment="1">
      <alignment vertical="center"/>
    </xf>
    <xf numFmtId="0" fontId="0" fillId="0" borderId="0" xfId="0" applyAlignment="1">
      <alignment horizontal="right" vertical="center"/>
    </xf>
    <xf numFmtId="0" fontId="16" fillId="0" borderId="0" xfId="0" applyFont="1" applyAlignment="1">
      <alignment horizontal="center" vertical="center"/>
    </xf>
    <xf numFmtId="0" fontId="16" fillId="0" borderId="0" xfId="0" applyFont="1" applyAlignment="1">
      <alignment horizontal="left" vertical="center"/>
    </xf>
    <xf numFmtId="0" fontId="19" fillId="2" borderId="0" xfId="0" applyFont="1" applyFill="1" applyAlignment="1">
      <alignment horizontal="center" vertical="center"/>
    </xf>
    <xf numFmtId="3" fontId="19" fillId="2" borderId="0" xfId="0" applyNumberFormat="1" applyFont="1" applyFill="1" applyAlignment="1">
      <alignment horizontal="center" vertical="center"/>
    </xf>
    <xf numFmtId="0" fontId="16" fillId="0" borderId="0" xfId="0" applyFont="1" applyAlignment="1">
      <alignment horizontal="right" vertical="center" wrapText="1"/>
    </xf>
    <xf numFmtId="0" fontId="0" fillId="0" borderId="0" xfId="0" applyAlignment="1">
      <alignment horizontal="right"/>
    </xf>
    <xf numFmtId="0" fontId="18" fillId="0" borderId="0" xfId="42" applyAlignment="1">
      <alignment horizontal="center" vertical="center"/>
    </xf>
    <xf numFmtId="0" fontId="0" fillId="0" borderId="0" xfId="0" applyAlignment="1">
      <alignment horizontal="left" vertical="top" wrapText="1"/>
    </xf>
    <xf numFmtId="2" fontId="0" fillId="0" borderId="0" xfId="0" applyNumberFormat="1" applyAlignment="1">
      <alignment horizontal="left" vertical="top" wrapText="1"/>
    </xf>
    <xf numFmtId="165" fontId="0" fillId="0" borderId="0" xfId="0" applyNumberFormat="1" applyAlignment="1">
      <alignment horizontal="left" vertical="top" wrapText="1"/>
    </xf>
    <xf numFmtId="11" fontId="0" fillId="0" borderId="0" xfId="0" applyNumberFormat="1" applyAlignment="1">
      <alignment horizontal="left" vertical="top" wrapText="1"/>
    </xf>
    <xf numFmtId="164" fontId="0" fillId="0" borderId="0" xfId="0" applyNumberFormat="1" applyAlignment="1">
      <alignment horizontal="left" vertical="top" wrapText="1"/>
    </xf>
    <xf numFmtId="164" fontId="18" fillId="0" borderId="0" xfId="42" applyNumberFormat="1" applyAlignment="1">
      <alignment horizontal="center"/>
    </xf>
    <xf numFmtId="164" fontId="22" fillId="0" borderId="0" xfId="0" applyNumberFormat="1" applyFont="1" applyAlignment="1">
      <alignment horizontal="center" vertical="center" wrapText="1"/>
    </xf>
    <xf numFmtId="0" fontId="22" fillId="0" borderId="0" xfId="0" applyFont="1" applyAlignment="1">
      <alignment horizontal="center" vertical="center" wrapText="1"/>
    </xf>
    <xf numFmtId="49" fontId="22" fillId="0" borderId="0" xfId="0" applyNumberFormat="1" applyFont="1" applyAlignment="1">
      <alignment horizontal="center" vertical="center" wrapText="1"/>
    </xf>
    <xf numFmtId="2" fontId="22" fillId="0" borderId="0" xfId="0" applyNumberFormat="1" applyFont="1" applyAlignment="1">
      <alignment horizontal="center" vertical="center" wrapText="1"/>
    </xf>
    <xf numFmtId="165" fontId="22" fillId="0" borderId="0" xfId="0" applyNumberFormat="1" applyFont="1" applyAlignment="1">
      <alignment horizontal="center" vertical="center" wrapText="1"/>
    </xf>
    <xf numFmtId="11" fontId="22" fillId="0" borderId="0" xfId="0" applyNumberFormat="1" applyFont="1" applyAlignment="1">
      <alignment horizontal="center" vertical="center" wrapText="1"/>
    </xf>
    <xf numFmtId="0" fontId="16" fillId="0" borderId="0" xfId="0" applyFont="1" applyAlignment="1">
      <alignment horizontal="right"/>
    </xf>
    <xf numFmtId="164" fontId="0" fillId="0" borderId="0" xfId="0" applyNumberFormat="1" applyFont="1" applyAlignment="1">
      <alignment horizontal="left" vertical="top"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4"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tabSelected="1" zoomScale="150" zoomScaleNormal="150" zoomScalePageLayoutView="150" workbookViewId="0"/>
  </sheetViews>
  <sheetFormatPr defaultColWidth="8.85546875" defaultRowHeight="20.100000000000001" customHeight="1" x14ac:dyDescent="0.25"/>
  <cols>
    <col min="1" max="1" width="16.7109375" style="13" customWidth="1"/>
    <col min="2" max="4" width="8.7109375" style="11" customWidth="1"/>
    <col min="5" max="5" width="7.7109375" style="11" customWidth="1"/>
    <col min="6" max="10" width="8.7109375" style="11" customWidth="1"/>
    <col min="11" max="11" width="8.140625" style="14" customWidth="1"/>
    <col min="12" max="16384" width="8.85546875" style="10"/>
  </cols>
  <sheetData>
    <row r="1" spans="1:11" ht="20.100000000000001" customHeight="1" x14ac:dyDescent="0.25">
      <c r="A1" s="19"/>
      <c r="B1"/>
      <c r="C1"/>
      <c r="D1"/>
      <c r="E1"/>
      <c r="F1"/>
      <c r="G1"/>
      <c r="H1"/>
      <c r="I1"/>
      <c r="J1"/>
      <c r="K1" s="33" t="s">
        <v>5406</v>
      </c>
    </row>
    <row r="4" spans="1:11" ht="20.100000000000001" customHeight="1" x14ac:dyDescent="0.25">
      <c r="A4" s="12" t="s">
        <v>5394</v>
      </c>
    </row>
    <row r="6" spans="1:11" s="12" customFormat="1" ht="32.1" customHeight="1" x14ac:dyDescent="0.25">
      <c r="A6" s="14" t="s">
        <v>5385</v>
      </c>
      <c r="B6" s="20" t="s">
        <v>5375</v>
      </c>
      <c r="C6" s="20" t="s">
        <v>5376</v>
      </c>
      <c r="D6" s="20" t="s">
        <v>5377</v>
      </c>
      <c r="E6" s="20" t="s">
        <v>5378</v>
      </c>
      <c r="F6" s="20" t="s">
        <v>5379</v>
      </c>
      <c r="G6" s="20" t="s">
        <v>5380</v>
      </c>
      <c r="H6" s="20" t="s">
        <v>5381</v>
      </c>
      <c r="I6" s="20" t="s">
        <v>5382</v>
      </c>
      <c r="J6" s="20" t="s">
        <v>5383</v>
      </c>
      <c r="K6" s="16" t="s">
        <v>5387</v>
      </c>
    </row>
    <row r="7" spans="1:11" customFormat="1" ht="32.1" customHeight="1" x14ac:dyDescent="0.25">
      <c r="A7" s="18" t="s">
        <v>5386</v>
      </c>
      <c r="B7" s="11">
        <v>134</v>
      </c>
      <c r="C7" s="11">
        <v>270</v>
      </c>
      <c r="D7" s="11">
        <v>168</v>
      </c>
      <c r="E7" s="11">
        <v>176</v>
      </c>
      <c r="F7" s="11">
        <v>128</v>
      </c>
      <c r="G7" s="11">
        <v>168</v>
      </c>
      <c r="H7" s="11">
        <v>136</v>
      </c>
      <c r="I7" s="11">
        <v>135</v>
      </c>
      <c r="J7" s="11">
        <v>235</v>
      </c>
      <c r="K7" s="17">
        <f>SUM(B7:J7)</f>
        <v>1550</v>
      </c>
    </row>
    <row r="8" spans="1:11" customFormat="1" ht="32.1" customHeight="1" x14ac:dyDescent="0.25">
      <c r="A8" s="18" t="s">
        <v>5404</v>
      </c>
      <c r="B8" s="11">
        <v>126</v>
      </c>
      <c r="C8" s="11">
        <v>246</v>
      </c>
      <c r="D8" s="11">
        <v>151</v>
      </c>
      <c r="E8" s="11">
        <v>163</v>
      </c>
      <c r="F8" s="11">
        <v>120</v>
      </c>
      <c r="G8" s="11">
        <v>146</v>
      </c>
      <c r="H8" s="11">
        <v>124</v>
      </c>
      <c r="I8" s="11">
        <v>130</v>
      </c>
      <c r="J8" s="11">
        <v>213</v>
      </c>
      <c r="K8" s="17">
        <f>SUM(B8:J8)</f>
        <v>1419</v>
      </c>
    </row>
    <row r="9" spans="1:11" ht="20.100000000000001" customHeight="1" x14ac:dyDescent="0.25">
      <c r="A9"/>
      <c r="B9"/>
      <c r="C9"/>
      <c r="D9"/>
      <c r="E9"/>
    </row>
    <row r="10" spans="1:11" customFormat="1" ht="20.100000000000001" customHeight="1" x14ac:dyDescent="0.25">
      <c r="F10" s="11"/>
      <c r="G10" s="11"/>
      <c r="H10" s="11"/>
      <c r="I10" s="15"/>
      <c r="J10" s="11"/>
      <c r="K10" s="14"/>
    </row>
    <row r="11" spans="1:11" ht="20.100000000000001" customHeight="1" x14ac:dyDescent="0.25">
      <c r="A11"/>
      <c r="B11"/>
      <c r="C11"/>
      <c r="D11"/>
      <c r="E11"/>
    </row>
  </sheetData>
  <phoneticPr fontId="21" type="noConversion"/>
  <hyperlinks>
    <hyperlink ref="B6" location="'MMP1-G'!A1" display="MMP1"/>
    <hyperlink ref="C6" location="'MMP2-G'!A1" display="MMP2"/>
    <hyperlink ref="D6" location="'MMP3-G'!A1" display="MMP3"/>
    <hyperlink ref="E6" location="'MMP7-G'!A1" display="MMP7"/>
    <hyperlink ref="F6" location="'MMP8-G'!A1" display="MMP8"/>
    <hyperlink ref="G6" location="'MMP9-G'!A1" display="MMP9"/>
    <hyperlink ref="H6" location="'MMP12-G'!A1" display="MMP12"/>
    <hyperlink ref="I6" location="'MMP13-G'!A1" display="MMP13"/>
    <hyperlink ref="J6" location="'MMP14-G'!A1" display="MMP14"/>
  </hyperlinks>
  <pageMargins left="0.39000000000000007" right="0.39000000000000007" top="0.39000000000000007" bottom="0.39000000000000007" header="0" footer="0"/>
  <pageSetup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V192"/>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1"/>
    <col min="16" max="19" width="15.7109375" style="6"/>
    <col min="20" max="20" width="15.7109375" style="5"/>
    <col min="21" max="22" width="15.7109375" style="1"/>
    <col min="23" max="16384" width="15.7109375" style="2"/>
  </cols>
  <sheetData>
    <row r="1" spans="1:22" ht="15" customHeight="1" x14ac:dyDescent="0.25">
      <c r="A1" s="12" t="s">
        <v>5395</v>
      </c>
      <c r="J1" s="26" t="s">
        <v>5405</v>
      </c>
    </row>
    <row r="2" spans="1:22" s="21" customFormat="1" ht="90" customHeight="1" x14ac:dyDescent="0.25">
      <c r="A2" s="34" t="s">
        <v>5384</v>
      </c>
      <c r="B2" s="34"/>
      <c r="C2" s="34"/>
      <c r="D2" s="34"/>
      <c r="E2" s="34"/>
      <c r="F2" s="34"/>
      <c r="G2" s="34"/>
      <c r="H2" s="34"/>
      <c r="I2" s="34"/>
      <c r="N2" s="22"/>
      <c r="O2" s="1"/>
      <c r="P2" s="23"/>
      <c r="Q2" s="23"/>
      <c r="R2" s="23"/>
      <c r="S2" s="23"/>
      <c r="T2" s="24"/>
      <c r="U2" s="25"/>
      <c r="V2" s="25"/>
    </row>
    <row r="3" spans="1:22" s="8" customFormat="1" ht="45" customHeight="1" x14ac:dyDescent="0.25">
      <c r="A3" s="27" t="s">
        <v>0</v>
      </c>
      <c r="B3" s="28" t="s">
        <v>1</v>
      </c>
      <c r="C3" s="28" t="s">
        <v>5388</v>
      </c>
      <c r="D3" s="29" t="s">
        <v>12</v>
      </c>
      <c r="E3" s="28" t="s">
        <v>2</v>
      </c>
      <c r="F3" s="28" t="s">
        <v>3</v>
      </c>
      <c r="G3" s="7" t="s">
        <v>5389</v>
      </c>
      <c r="H3" s="28" t="s">
        <v>4</v>
      </c>
      <c r="I3" s="28" t="s">
        <v>663</v>
      </c>
      <c r="J3" s="27" t="s">
        <v>5390</v>
      </c>
      <c r="K3" s="27" t="s">
        <v>5391</v>
      </c>
      <c r="L3" s="28" t="s">
        <v>5392</v>
      </c>
      <c r="M3" s="28" t="s">
        <v>5</v>
      </c>
      <c r="N3" s="30" t="s">
        <v>5374</v>
      </c>
      <c r="O3" s="7" t="s">
        <v>6</v>
      </c>
      <c r="P3" s="31" t="s">
        <v>7</v>
      </c>
      <c r="Q3" s="31" t="s">
        <v>8</v>
      </c>
      <c r="R3" s="31" t="s">
        <v>9</v>
      </c>
      <c r="S3" s="31" t="s">
        <v>10</v>
      </c>
      <c r="T3" s="32" t="s">
        <v>11</v>
      </c>
      <c r="U3" s="27" t="s">
        <v>5393</v>
      </c>
      <c r="V3" s="27" t="s">
        <v>13</v>
      </c>
    </row>
    <row r="4" spans="1:22" x14ac:dyDescent="0.25">
      <c r="A4" s="1">
        <v>0.99509999999999998</v>
      </c>
      <c r="B4" s="9" t="s">
        <v>14</v>
      </c>
      <c r="C4" s="2">
        <v>1934</v>
      </c>
      <c r="D4" s="3" t="s">
        <v>15</v>
      </c>
      <c r="E4" s="9" t="s">
        <v>16</v>
      </c>
      <c r="F4" s="9" t="s">
        <v>17</v>
      </c>
      <c r="G4" s="1">
        <v>1509.7827</v>
      </c>
      <c r="H4" s="2">
        <v>789</v>
      </c>
      <c r="I4" s="2">
        <v>3</v>
      </c>
      <c r="J4" s="1">
        <v>1509.7927</v>
      </c>
      <c r="K4" s="1">
        <v>504.26819999999998</v>
      </c>
      <c r="L4" s="9" t="s">
        <v>18</v>
      </c>
      <c r="M4" s="2">
        <v>6.77</v>
      </c>
      <c r="N4" s="4">
        <v>2077.04</v>
      </c>
      <c r="O4" s="1">
        <v>6.610239022276903</v>
      </c>
      <c r="P4" s="6">
        <v>30.3</v>
      </c>
      <c r="Q4" s="6">
        <v>23</v>
      </c>
      <c r="R4" s="6">
        <v>11.8</v>
      </c>
      <c r="S4" s="6">
        <v>10.6</v>
      </c>
      <c r="T4" s="5">
        <v>1.6E-2</v>
      </c>
      <c r="U4" s="1">
        <v>0.01</v>
      </c>
      <c r="V4" s="1">
        <v>3.8302</v>
      </c>
    </row>
    <row r="5" spans="1:22" x14ac:dyDescent="0.25">
      <c r="A5" s="1">
        <v>0.99170000000000003</v>
      </c>
      <c r="B5" s="9" t="s">
        <v>19</v>
      </c>
      <c r="C5" s="2">
        <v>1939</v>
      </c>
      <c r="D5" s="3" t="s">
        <v>20</v>
      </c>
      <c r="E5" s="9" t="s">
        <v>21</v>
      </c>
      <c r="F5" s="9" t="s">
        <v>22</v>
      </c>
      <c r="G5" s="1">
        <v>1525.7777000000001</v>
      </c>
      <c r="H5" s="2">
        <v>322</v>
      </c>
      <c r="I5" s="2">
        <v>3</v>
      </c>
      <c r="J5" s="1">
        <v>1525.7897</v>
      </c>
      <c r="K5" s="1">
        <v>509.59980000000002</v>
      </c>
      <c r="L5" s="9" t="s">
        <v>23</v>
      </c>
      <c r="M5" s="2">
        <v>6.77</v>
      </c>
      <c r="N5" s="4">
        <v>2086.4899999999998</v>
      </c>
      <c r="O5" s="1">
        <v>7.8492966441509591</v>
      </c>
      <c r="P5" s="6">
        <v>33.700000000000003</v>
      </c>
      <c r="Q5" s="6">
        <v>26.2</v>
      </c>
      <c r="R5" s="6">
        <v>11.8</v>
      </c>
      <c r="S5" s="6">
        <v>11.2</v>
      </c>
      <c r="T5" s="5">
        <v>2.1999999999999999E-2</v>
      </c>
      <c r="U5" s="1">
        <v>1.2E-2</v>
      </c>
      <c r="V5" s="1">
        <v>3.5516000000000001</v>
      </c>
    </row>
    <row r="6" spans="1:22" x14ac:dyDescent="0.25">
      <c r="A6" s="1">
        <v>0.99980000000000002</v>
      </c>
      <c r="B6" s="9" t="s">
        <v>24</v>
      </c>
      <c r="C6" s="2">
        <v>2126</v>
      </c>
      <c r="D6" s="3" t="s">
        <v>25</v>
      </c>
      <c r="E6" s="9" t="s">
        <v>26</v>
      </c>
      <c r="F6" s="9" t="s">
        <v>27</v>
      </c>
      <c r="G6" s="1">
        <v>1338.7516000000001</v>
      </c>
      <c r="H6" s="2">
        <v>7</v>
      </c>
      <c r="I6" s="2">
        <v>3</v>
      </c>
      <c r="J6" s="1">
        <v>1338.7439999999999</v>
      </c>
      <c r="K6" s="1">
        <v>447.25779999999997</v>
      </c>
      <c r="L6" s="9" t="s">
        <v>28</v>
      </c>
      <c r="M6" s="2">
        <v>10.3</v>
      </c>
      <c r="N6" s="4">
        <v>2428.38</v>
      </c>
      <c r="O6" s="1">
        <v>-5.6641456746720422</v>
      </c>
      <c r="P6" s="6">
        <v>30</v>
      </c>
      <c r="Q6" s="6">
        <v>19.3</v>
      </c>
      <c r="R6" s="6">
        <v>10.7</v>
      </c>
      <c r="S6" s="6">
        <v>11.4</v>
      </c>
      <c r="T6" s="5">
        <v>6.8999999999999997E-4</v>
      </c>
      <c r="U6" s="1">
        <v>-7.6E-3</v>
      </c>
      <c r="V6" s="1">
        <v>7.0593000000000004</v>
      </c>
    </row>
    <row r="7" spans="1:22" x14ac:dyDescent="0.25">
      <c r="A7" s="1">
        <v>0.98950000000000005</v>
      </c>
      <c r="B7" s="9" t="s">
        <v>29</v>
      </c>
      <c r="C7" s="2">
        <v>2132</v>
      </c>
      <c r="D7" s="3" t="s">
        <v>30</v>
      </c>
      <c r="E7" s="9" t="s">
        <v>31</v>
      </c>
      <c r="F7" s="9" t="s">
        <v>27</v>
      </c>
      <c r="G7" s="1">
        <v>1168.6856</v>
      </c>
      <c r="H7" s="2">
        <v>557</v>
      </c>
      <c r="I7" s="2">
        <v>3</v>
      </c>
      <c r="J7" s="1">
        <v>1168.6925000000001</v>
      </c>
      <c r="K7" s="1">
        <v>390.56909999999999</v>
      </c>
      <c r="L7" s="9" t="s">
        <v>28</v>
      </c>
      <c r="M7" s="2">
        <v>8.5399999999999991</v>
      </c>
      <c r="N7" s="4">
        <v>2442.0500000000002</v>
      </c>
      <c r="O7" s="1">
        <v>5.8888427169481661</v>
      </c>
      <c r="P7" s="6">
        <v>28.8</v>
      </c>
      <c r="Q7" s="6">
        <v>20.9</v>
      </c>
      <c r="R7" s="6">
        <v>8</v>
      </c>
      <c r="S7" s="6">
        <v>11.6</v>
      </c>
      <c r="T7" s="5">
        <v>2.5999999999999999E-2</v>
      </c>
      <c r="U7" s="1">
        <v>6.8999999999999999E-3</v>
      </c>
      <c r="V7" s="1">
        <v>4.2431000000000001</v>
      </c>
    </row>
    <row r="8" spans="1:22" x14ac:dyDescent="0.25">
      <c r="A8" s="1">
        <v>0.99270000000000003</v>
      </c>
      <c r="B8" s="9" t="s">
        <v>32</v>
      </c>
      <c r="C8" s="2">
        <v>2135</v>
      </c>
      <c r="D8" s="3" t="s">
        <v>33</v>
      </c>
      <c r="E8" s="9" t="s">
        <v>34</v>
      </c>
      <c r="F8" s="9" t="s">
        <v>35</v>
      </c>
      <c r="G8" s="1">
        <v>956.47490000000005</v>
      </c>
      <c r="H8" s="2">
        <v>991</v>
      </c>
      <c r="I8" s="2">
        <v>2</v>
      </c>
      <c r="J8" s="1">
        <v>956.47439999999995</v>
      </c>
      <c r="K8" s="1">
        <v>479.24470000000002</v>
      </c>
      <c r="L8" s="9" t="s">
        <v>36</v>
      </c>
      <c r="M8" s="2">
        <v>8.44</v>
      </c>
      <c r="N8" s="4">
        <v>2443.1</v>
      </c>
      <c r="O8" s="1">
        <v>-0.52165417791787783</v>
      </c>
      <c r="P8" s="6">
        <v>41.6</v>
      </c>
      <c r="Q8" s="6">
        <v>29.7</v>
      </c>
      <c r="R8" s="6">
        <v>10</v>
      </c>
      <c r="S8" s="6">
        <v>10.9</v>
      </c>
      <c r="T8" s="5">
        <v>1.0999999999999999E-2</v>
      </c>
      <c r="U8" s="1">
        <v>-5.0000000000000001E-4</v>
      </c>
      <c r="V8" s="1">
        <v>4.5693000000000001</v>
      </c>
    </row>
    <row r="9" spans="1:22" x14ac:dyDescent="0.25">
      <c r="A9" s="1">
        <v>0.99670000000000003</v>
      </c>
      <c r="B9" s="9" t="s">
        <v>37</v>
      </c>
      <c r="C9" s="2">
        <v>2154</v>
      </c>
      <c r="D9" s="3" t="s">
        <v>38</v>
      </c>
      <c r="E9" s="9" t="s">
        <v>39</v>
      </c>
      <c r="F9" s="9" t="s">
        <v>27</v>
      </c>
      <c r="G9" s="1">
        <v>1537.8472999999999</v>
      </c>
      <c r="H9" s="2">
        <v>377</v>
      </c>
      <c r="I9" s="2">
        <v>3</v>
      </c>
      <c r="J9" s="1">
        <v>1537.8447000000001</v>
      </c>
      <c r="K9" s="1">
        <v>513.62300000000005</v>
      </c>
      <c r="L9" s="9" t="s">
        <v>28</v>
      </c>
      <c r="M9" s="2">
        <v>10.3</v>
      </c>
      <c r="N9" s="4">
        <v>2479.83</v>
      </c>
      <c r="O9" s="1">
        <v>-1.6873595354309805</v>
      </c>
      <c r="P9" s="6">
        <v>31</v>
      </c>
      <c r="Q9" s="6">
        <v>21.7</v>
      </c>
      <c r="R9" s="6">
        <v>12.2</v>
      </c>
      <c r="S9" s="6">
        <v>12.1</v>
      </c>
      <c r="T9" s="5">
        <v>2.3E-2</v>
      </c>
      <c r="U9" s="1">
        <v>-2.5999999999999999E-3</v>
      </c>
      <c r="V9" s="1">
        <v>4.1100000000000003</v>
      </c>
    </row>
    <row r="10" spans="1:22" x14ac:dyDescent="0.25">
      <c r="A10" s="1">
        <v>0.98899999999999999</v>
      </c>
      <c r="B10" s="9" t="s">
        <v>40</v>
      </c>
      <c r="C10" s="2">
        <v>2219</v>
      </c>
      <c r="D10" s="3" t="s">
        <v>41</v>
      </c>
      <c r="E10" s="9" t="s">
        <v>42</v>
      </c>
      <c r="F10" s="9" t="s">
        <v>43</v>
      </c>
      <c r="G10" s="1">
        <v>1808.9786999999999</v>
      </c>
      <c r="H10" s="2">
        <v>781</v>
      </c>
      <c r="I10" s="2">
        <v>3</v>
      </c>
      <c r="J10" s="1">
        <v>1809.0012999999999</v>
      </c>
      <c r="K10" s="1">
        <v>604.00019999999995</v>
      </c>
      <c r="L10" s="9" t="s">
        <v>44</v>
      </c>
      <c r="M10" s="2">
        <v>8.51</v>
      </c>
      <c r="N10" s="4">
        <v>2601.3200000000002</v>
      </c>
      <c r="O10" s="1">
        <v>12.472402051081</v>
      </c>
      <c r="P10" s="6">
        <v>30.1</v>
      </c>
      <c r="Q10" s="6">
        <v>22.5</v>
      </c>
      <c r="R10" s="6">
        <v>7.9</v>
      </c>
      <c r="S10" s="6">
        <v>8.8000000000000007</v>
      </c>
      <c r="T10" s="5">
        <v>3.3000000000000002E-2</v>
      </c>
      <c r="U10" s="1">
        <v>2.2599999999999999E-2</v>
      </c>
      <c r="V10" s="1">
        <v>3.2654000000000001</v>
      </c>
    </row>
    <row r="11" spans="1:22" x14ac:dyDescent="0.25">
      <c r="A11" s="1">
        <v>0.97440000000000004</v>
      </c>
      <c r="B11" s="9" t="s">
        <v>45</v>
      </c>
      <c r="C11" s="2">
        <v>2247</v>
      </c>
      <c r="D11" s="3" t="s">
        <v>46</v>
      </c>
      <c r="E11" s="9" t="s">
        <v>47</v>
      </c>
      <c r="F11" s="9" t="s">
        <v>48</v>
      </c>
      <c r="G11" s="1">
        <v>1557.8336999999999</v>
      </c>
      <c r="H11" s="2">
        <v>787</v>
      </c>
      <c r="I11" s="2">
        <v>3</v>
      </c>
      <c r="J11" s="1">
        <v>1557.8381999999999</v>
      </c>
      <c r="K11" s="1">
        <v>520.28520000000003</v>
      </c>
      <c r="L11" s="9" t="s">
        <v>49</v>
      </c>
      <c r="M11" s="2">
        <v>8.18</v>
      </c>
      <c r="N11" s="4">
        <v>2652.57</v>
      </c>
      <c r="O11" s="1">
        <v>2.8830341512693418</v>
      </c>
      <c r="P11" s="6">
        <v>29</v>
      </c>
      <c r="Q11" s="6">
        <v>22.9</v>
      </c>
      <c r="R11" s="6">
        <v>8.8000000000000007</v>
      </c>
      <c r="S11" s="6">
        <v>11.7</v>
      </c>
      <c r="T11" s="5">
        <v>8.5999999999999993E-2</v>
      </c>
      <c r="U11" s="1">
        <v>4.4999999999999997E-3</v>
      </c>
      <c r="V11" s="1">
        <v>2.7277</v>
      </c>
    </row>
    <row r="12" spans="1:22" x14ac:dyDescent="0.25">
      <c r="A12" s="1">
        <v>0.99670000000000003</v>
      </c>
      <c r="B12" s="9" t="s">
        <v>50</v>
      </c>
      <c r="C12" s="2">
        <v>2287</v>
      </c>
      <c r="D12" s="3" t="s">
        <v>51</v>
      </c>
      <c r="E12" s="9" t="s">
        <v>52</v>
      </c>
      <c r="F12" s="9" t="s">
        <v>53</v>
      </c>
      <c r="G12" s="1">
        <v>1307.6216999999999</v>
      </c>
      <c r="H12" s="2">
        <v>208</v>
      </c>
      <c r="I12" s="2">
        <v>2</v>
      </c>
      <c r="J12" s="1">
        <v>1307.6352999999999</v>
      </c>
      <c r="K12" s="1">
        <v>654.81809999999996</v>
      </c>
      <c r="L12" s="9" t="s">
        <v>54</v>
      </c>
      <c r="M12" s="2">
        <v>8.1999999999999993</v>
      </c>
      <c r="N12" s="4">
        <v>2725.92</v>
      </c>
      <c r="O12" s="1">
        <v>10.384563285590303</v>
      </c>
      <c r="P12" s="6">
        <v>52.4</v>
      </c>
      <c r="Q12" s="6">
        <v>38.200000000000003</v>
      </c>
      <c r="R12" s="6">
        <v>9.1999999999999993</v>
      </c>
      <c r="S12" s="6">
        <v>9.5</v>
      </c>
      <c r="T12" s="5">
        <v>2.4000000000000001E-4</v>
      </c>
      <c r="U12" s="1">
        <v>1.3599999999999999E-2</v>
      </c>
      <c r="V12" s="1">
        <v>5.9882999999999997</v>
      </c>
    </row>
    <row r="13" spans="1:22" x14ac:dyDescent="0.25">
      <c r="A13" s="1">
        <v>0.99970000000000003</v>
      </c>
      <c r="B13" s="9" t="s">
        <v>55</v>
      </c>
      <c r="C13" s="2">
        <v>2288</v>
      </c>
      <c r="D13" s="3" t="s">
        <v>56</v>
      </c>
      <c r="E13" s="9" t="s">
        <v>57</v>
      </c>
      <c r="F13" s="9" t="s">
        <v>58</v>
      </c>
      <c r="G13" s="1">
        <v>1470.7946999999999</v>
      </c>
      <c r="H13" s="2">
        <v>645</v>
      </c>
      <c r="I13" s="2">
        <v>3</v>
      </c>
      <c r="J13" s="1">
        <v>1470.8083999999999</v>
      </c>
      <c r="K13" s="1">
        <v>491.2722</v>
      </c>
      <c r="L13" s="9" t="s">
        <v>59</v>
      </c>
      <c r="M13" s="2">
        <v>8.6</v>
      </c>
      <c r="N13" s="4">
        <v>2728.02</v>
      </c>
      <c r="O13" s="1">
        <v>9.2955934951472248</v>
      </c>
      <c r="P13" s="6">
        <v>44.6</v>
      </c>
      <c r="Q13" s="6">
        <v>28.7</v>
      </c>
      <c r="R13" s="6">
        <v>11.1</v>
      </c>
      <c r="S13" s="6">
        <v>11.1</v>
      </c>
      <c r="T13" s="5">
        <v>2.1000000000000001E-4</v>
      </c>
      <c r="U13" s="1">
        <v>1.37E-2</v>
      </c>
      <c r="V13" s="1">
        <v>6.8749000000000002</v>
      </c>
    </row>
    <row r="14" spans="1:22" x14ac:dyDescent="0.25">
      <c r="A14" s="1">
        <v>0.99770000000000003</v>
      </c>
      <c r="B14" s="9" t="s">
        <v>60</v>
      </c>
      <c r="C14" s="2">
        <v>2346</v>
      </c>
      <c r="D14" s="3" t="s">
        <v>61</v>
      </c>
      <c r="E14" s="9" t="s">
        <v>62</v>
      </c>
      <c r="F14" s="9" t="s">
        <v>63</v>
      </c>
      <c r="G14" s="1">
        <v>1674.7746999999999</v>
      </c>
      <c r="H14" s="2">
        <v>676</v>
      </c>
      <c r="I14" s="2">
        <v>3</v>
      </c>
      <c r="J14" s="1">
        <v>1674.7863</v>
      </c>
      <c r="K14" s="1">
        <v>559.26549999999997</v>
      </c>
      <c r="L14" s="9" t="s">
        <v>64</v>
      </c>
      <c r="M14" s="2">
        <v>6.76</v>
      </c>
      <c r="N14" s="4">
        <v>2833.58</v>
      </c>
      <c r="O14" s="1">
        <v>6.9138301337498316</v>
      </c>
      <c r="P14" s="6">
        <v>32.6</v>
      </c>
      <c r="Q14" s="6">
        <v>20.3</v>
      </c>
      <c r="R14" s="6">
        <v>7.4</v>
      </c>
      <c r="S14" s="6">
        <v>7.3</v>
      </c>
      <c r="T14" s="5">
        <v>1.1000000000000001E-3</v>
      </c>
      <c r="U14" s="1">
        <v>1.1599999999999999E-2</v>
      </c>
      <c r="V14" s="1">
        <v>5.6662999999999997</v>
      </c>
    </row>
    <row r="15" spans="1:22" x14ac:dyDescent="0.25">
      <c r="A15" s="1">
        <v>0.99609999999999999</v>
      </c>
      <c r="B15" s="9" t="s">
        <v>65</v>
      </c>
      <c r="C15" s="2">
        <v>2380</v>
      </c>
      <c r="D15" s="3" t="s">
        <v>20</v>
      </c>
      <c r="E15" s="9" t="s">
        <v>66</v>
      </c>
      <c r="F15" s="9" t="s">
        <v>67</v>
      </c>
      <c r="G15" s="1">
        <v>1448.8827000000001</v>
      </c>
      <c r="H15" s="2">
        <v>935</v>
      </c>
      <c r="I15" s="2">
        <v>3</v>
      </c>
      <c r="J15" s="1">
        <v>1448.7781</v>
      </c>
      <c r="K15" s="1">
        <v>483.96820000000002</v>
      </c>
      <c r="L15" s="9" t="s">
        <v>28</v>
      </c>
      <c r="M15" s="2">
        <v>11.17</v>
      </c>
      <c r="N15" s="4">
        <v>2896.43</v>
      </c>
      <c r="O15" s="1">
        <v>-72.043300916602917</v>
      </c>
      <c r="P15" s="6">
        <v>34.799999999999997</v>
      </c>
      <c r="Q15" s="6">
        <v>22.9</v>
      </c>
      <c r="R15" s="6">
        <v>8.5</v>
      </c>
      <c r="S15" s="6">
        <v>13.2</v>
      </c>
      <c r="T15" s="5">
        <v>5.8E-4</v>
      </c>
      <c r="U15" s="1">
        <v>-0.1046</v>
      </c>
      <c r="V15" s="1">
        <v>6.2306999999999997</v>
      </c>
    </row>
    <row r="16" spans="1:22" x14ac:dyDescent="0.25">
      <c r="A16" s="1">
        <v>0.97399999999999998</v>
      </c>
      <c r="B16" s="9" t="s">
        <v>68</v>
      </c>
      <c r="C16" s="2">
        <v>2382</v>
      </c>
      <c r="D16" s="3" t="s">
        <v>69</v>
      </c>
      <c r="E16" s="9" t="s">
        <v>70</v>
      </c>
      <c r="F16" s="9" t="s">
        <v>71</v>
      </c>
      <c r="G16" s="1">
        <v>1108.5335</v>
      </c>
      <c r="H16" s="2">
        <v>1001</v>
      </c>
      <c r="I16" s="2">
        <v>2</v>
      </c>
      <c r="J16" s="1">
        <v>1108.5263</v>
      </c>
      <c r="K16" s="1">
        <v>555.274</v>
      </c>
      <c r="L16" s="9" t="s">
        <v>72</v>
      </c>
      <c r="M16" s="2">
        <v>8.59</v>
      </c>
      <c r="N16" s="4">
        <v>2897.48</v>
      </c>
      <c r="O16" s="1">
        <v>-6.4832857292075623</v>
      </c>
      <c r="P16" s="6">
        <v>37.700000000000003</v>
      </c>
      <c r="Q16" s="6">
        <v>28.7</v>
      </c>
      <c r="R16" s="6">
        <v>10.4</v>
      </c>
      <c r="S16" s="6">
        <v>10.1</v>
      </c>
      <c r="T16" s="5">
        <v>5.0999999999999997E-2</v>
      </c>
      <c r="U16" s="1">
        <v>-7.1999999999999998E-3</v>
      </c>
      <c r="V16" s="1">
        <v>3.2604000000000002</v>
      </c>
    </row>
    <row r="17" spans="1:22" x14ac:dyDescent="0.25">
      <c r="A17" s="1">
        <v>0.99439999999999995</v>
      </c>
      <c r="B17" s="9" t="s">
        <v>73</v>
      </c>
      <c r="C17" s="2">
        <v>2407</v>
      </c>
      <c r="D17" s="3" t="s">
        <v>25</v>
      </c>
      <c r="E17" s="9" t="s">
        <v>74</v>
      </c>
      <c r="F17" s="9" t="s">
        <v>75</v>
      </c>
      <c r="G17" s="1">
        <v>1133.5636999999999</v>
      </c>
      <c r="H17" s="2">
        <v>768</v>
      </c>
      <c r="I17" s="2">
        <v>3</v>
      </c>
      <c r="J17" s="1">
        <v>1133.5266999999999</v>
      </c>
      <c r="K17" s="1">
        <v>378.86180000000002</v>
      </c>
      <c r="L17" s="9" t="s">
        <v>76</v>
      </c>
      <c r="M17" s="2">
        <v>4.24</v>
      </c>
      <c r="N17" s="4">
        <v>2945.78</v>
      </c>
      <c r="O17" s="1">
        <v>-32.553647090662956</v>
      </c>
      <c r="P17" s="6">
        <v>29.7</v>
      </c>
      <c r="Q17" s="6">
        <v>20.7</v>
      </c>
      <c r="R17" s="6">
        <v>10.199999999999999</v>
      </c>
      <c r="S17" s="6">
        <v>10.4</v>
      </c>
      <c r="T17" s="5">
        <v>5.3E-3</v>
      </c>
      <c r="U17" s="1">
        <v>-3.6999999999999998E-2</v>
      </c>
      <c r="V17" s="1">
        <v>5.4306000000000001</v>
      </c>
    </row>
    <row r="18" spans="1:22" x14ac:dyDescent="0.25">
      <c r="A18" s="1">
        <v>0.99670000000000003</v>
      </c>
      <c r="B18" s="9" t="s">
        <v>77</v>
      </c>
      <c r="C18" s="2">
        <v>2546</v>
      </c>
      <c r="D18" s="3" t="s">
        <v>78</v>
      </c>
      <c r="E18" s="9" t="s">
        <v>79</v>
      </c>
      <c r="F18" s="9" t="s">
        <v>80</v>
      </c>
      <c r="G18" s="1">
        <v>1140.5237</v>
      </c>
      <c r="H18" s="2">
        <v>392</v>
      </c>
      <c r="I18" s="2">
        <v>2</v>
      </c>
      <c r="J18" s="1">
        <v>1140.5359000000001</v>
      </c>
      <c r="K18" s="1">
        <v>571.26909999999998</v>
      </c>
      <c r="L18" s="9" t="s">
        <v>81</v>
      </c>
      <c r="M18" s="2">
        <v>5.47</v>
      </c>
      <c r="N18" s="4">
        <v>3197.2</v>
      </c>
      <c r="O18" s="1">
        <v>10.677979957256573</v>
      </c>
      <c r="P18" s="6">
        <v>40.200000000000003</v>
      </c>
      <c r="Q18" s="6">
        <v>28.5</v>
      </c>
      <c r="R18" s="6">
        <v>10.7</v>
      </c>
      <c r="S18" s="6">
        <v>11.7</v>
      </c>
      <c r="T18" s="5">
        <v>4.0999999999999999E-4</v>
      </c>
      <c r="U18" s="1">
        <v>1.2200000000000001E-2</v>
      </c>
      <c r="V18" s="1">
        <v>5.8188000000000004</v>
      </c>
    </row>
    <row r="19" spans="1:22" x14ac:dyDescent="0.25">
      <c r="A19" s="1">
        <v>0.99039999999999995</v>
      </c>
      <c r="B19" s="9" t="s">
        <v>82</v>
      </c>
      <c r="C19" s="2">
        <v>2608</v>
      </c>
      <c r="D19" s="3" t="s">
        <v>83</v>
      </c>
      <c r="E19" s="9" t="s">
        <v>84</v>
      </c>
      <c r="F19" s="9" t="s">
        <v>85</v>
      </c>
      <c r="G19" s="1">
        <v>842.46500000000003</v>
      </c>
      <c r="H19" s="2">
        <v>394</v>
      </c>
      <c r="I19" s="2">
        <v>2</v>
      </c>
      <c r="J19" s="1">
        <v>842.46040000000005</v>
      </c>
      <c r="K19" s="1">
        <v>422.2398</v>
      </c>
      <c r="L19" s="9" t="s">
        <v>86</v>
      </c>
      <c r="M19" s="2">
        <v>6.78</v>
      </c>
      <c r="N19" s="4">
        <v>3307.48</v>
      </c>
      <c r="O19" s="1">
        <v>-5.4471416479450774</v>
      </c>
      <c r="P19" s="6">
        <v>28.6</v>
      </c>
      <c r="Q19" s="6">
        <v>20.3</v>
      </c>
      <c r="R19" s="6">
        <v>10.199999999999999</v>
      </c>
      <c r="S19" s="6">
        <v>10.6</v>
      </c>
      <c r="T19" s="5">
        <v>2.9000000000000001E-2</v>
      </c>
      <c r="U19" s="1">
        <v>-4.5999999999999999E-3</v>
      </c>
      <c r="V19" s="1">
        <v>4.2961</v>
      </c>
    </row>
    <row r="20" spans="1:22" x14ac:dyDescent="0.25">
      <c r="A20" s="1">
        <v>0.99680000000000002</v>
      </c>
      <c r="B20" s="9" t="s">
        <v>87</v>
      </c>
      <c r="C20" s="2">
        <v>2658</v>
      </c>
      <c r="D20" s="3" t="s">
        <v>88</v>
      </c>
      <c r="E20" s="9" t="s">
        <v>89</v>
      </c>
      <c r="F20" s="9" t="s">
        <v>90</v>
      </c>
      <c r="G20" s="1">
        <v>1263.6379999999999</v>
      </c>
      <c r="H20" s="2">
        <v>731</v>
      </c>
      <c r="I20" s="2">
        <v>2</v>
      </c>
      <c r="J20" s="1">
        <v>1263.6396999999999</v>
      </c>
      <c r="K20" s="1">
        <v>632.82629999999995</v>
      </c>
      <c r="L20" s="9" t="s">
        <v>91</v>
      </c>
      <c r="M20" s="2">
        <v>6.22</v>
      </c>
      <c r="N20" s="4">
        <v>3405.36</v>
      </c>
      <c r="O20" s="1">
        <v>1.3431805852569656</v>
      </c>
      <c r="P20" s="6">
        <v>61.9</v>
      </c>
      <c r="Q20" s="6">
        <v>37.1</v>
      </c>
      <c r="R20" s="6">
        <v>9.3000000000000007</v>
      </c>
      <c r="S20" s="6">
        <v>10.6</v>
      </c>
      <c r="T20" s="5">
        <v>2.5000000000000001E-4</v>
      </c>
      <c r="U20" s="1">
        <v>1.6999999999999999E-3</v>
      </c>
      <c r="V20" s="1">
        <v>6.3339999999999996</v>
      </c>
    </row>
    <row r="21" spans="1:22" x14ac:dyDescent="0.25">
      <c r="A21" s="1">
        <v>0.99619999999999997</v>
      </c>
      <c r="B21" s="9" t="s">
        <v>92</v>
      </c>
      <c r="C21" s="2">
        <v>2695</v>
      </c>
      <c r="D21" s="3" t="s">
        <v>93</v>
      </c>
      <c r="E21" s="9" t="s">
        <v>89</v>
      </c>
      <c r="F21" s="9" t="s">
        <v>90</v>
      </c>
      <c r="G21" s="1">
        <v>1263.6379999999999</v>
      </c>
      <c r="H21" s="2">
        <v>655</v>
      </c>
      <c r="I21" s="2">
        <v>2</v>
      </c>
      <c r="J21" s="1">
        <v>1263.644</v>
      </c>
      <c r="K21" s="1">
        <v>632.82629999999995</v>
      </c>
      <c r="L21" s="9" t="s">
        <v>91</v>
      </c>
      <c r="M21" s="2">
        <v>6.22</v>
      </c>
      <c r="N21" s="4">
        <v>3473.47</v>
      </c>
      <c r="O21" s="1">
        <v>4.7406373597304663</v>
      </c>
      <c r="P21" s="6">
        <v>51.5</v>
      </c>
      <c r="Q21" s="6">
        <v>30.2</v>
      </c>
      <c r="R21" s="6">
        <v>9.1999999999999993</v>
      </c>
      <c r="S21" s="6">
        <v>10.6</v>
      </c>
      <c r="T21" s="5">
        <v>5.6999999999999998E-4</v>
      </c>
      <c r="U21" s="1">
        <v>6.0000000000000001E-3</v>
      </c>
      <c r="V21" s="1">
        <v>5.9988000000000001</v>
      </c>
    </row>
    <row r="22" spans="1:22" x14ac:dyDescent="0.25">
      <c r="A22" s="1">
        <v>0.99419999999999997</v>
      </c>
      <c r="B22" s="9" t="s">
        <v>94</v>
      </c>
      <c r="C22" s="2">
        <v>2702</v>
      </c>
      <c r="D22" s="3" t="s">
        <v>95</v>
      </c>
      <c r="E22" s="9" t="s">
        <v>96</v>
      </c>
      <c r="F22" s="9" t="s">
        <v>97</v>
      </c>
      <c r="G22" s="1">
        <v>1205.5135</v>
      </c>
      <c r="H22" s="2">
        <v>1015</v>
      </c>
      <c r="I22" s="2">
        <v>2</v>
      </c>
      <c r="J22" s="1">
        <v>1205.5169000000001</v>
      </c>
      <c r="K22" s="1">
        <v>603.76400000000001</v>
      </c>
      <c r="L22" s="9" t="s">
        <v>98</v>
      </c>
      <c r="M22" s="2">
        <v>5.05</v>
      </c>
      <c r="N22" s="4">
        <v>3483.94</v>
      </c>
      <c r="O22" s="1">
        <v>2.8156696987564676</v>
      </c>
      <c r="P22" s="6">
        <v>30.9</v>
      </c>
      <c r="Q22" s="6">
        <v>22.6</v>
      </c>
      <c r="R22" s="6">
        <v>12</v>
      </c>
      <c r="S22" s="6">
        <v>13.7</v>
      </c>
      <c r="T22" s="5">
        <v>1.1999999999999999E-3</v>
      </c>
      <c r="U22" s="1">
        <v>3.3999999999999998E-3</v>
      </c>
      <c r="V22" s="1">
        <v>4.9402999999999997</v>
      </c>
    </row>
    <row r="23" spans="1:22" x14ac:dyDescent="0.25">
      <c r="A23" s="1">
        <v>0.98119999999999996</v>
      </c>
      <c r="B23" s="9" t="s">
        <v>99</v>
      </c>
      <c r="C23" s="2">
        <v>2723</v>
      </c>
      <c r="D23" s="3" t="s">
        <v>100</v>
      </c>
      <c r="E23" s="9" t="s">
        <v>101</v>
      </c>
      <c r="F23" s="9" t="s">
        <v>102</v>
      </c>
      <c r="G23" s="1">
        <v>1462.8217</v>
      </c>
      <c r="H23" s="2">
        <v>602</v>
      </c>
      <c r="I23" s="2">
        <v>3</v>
      </c>
      <c r="J23" s="1">
        <v>1462.8195000000001</v>
      </c>
      <c r="K23" s="1">
        <v>488.61450000000002</v>
      </c>
      <c r="L23" s="9" t="s">
        <v>103</v>
      </c>
      <c r="M23" s="2">
        <v>9.5299999999999994</v>
      </c>
      <c r="N23" s="4">
        <v>3524.92</v>
      </c>
      <c r="O23" s="1">
        <v>-1.5008423477676844</v>
      </c>
      <c r="P23" s="6">
        <v>33</v>
      </c>
      <c r="Q23" s="6">
        <v>26.8</v>
      </c>
      <c r="R23" s="6">
        <v>10.6</v>
      </c>
      <c r="S23" s="6">
        <v>10.4</v>
      </c>
      <c r="T23" s="5">
        <v>1.7000000000000001E-2</v>
      </c>
      <c r="U23" s="1">
        <v>-2.2000000000000001E-3</v>
      </c>
      <c r="V23" s="1">
        <v>3.79</v>
      </c>
    </row>
    <row r="24" spans="1:22" x14ac:dyDescent="0.25">
      <c r="A24" s="1">
        <v>0.99519999999999997</v>
      </c>
      <c r="B24" s="9" t="s">
        <v>104</v>
      </c>
      <c r="C24" s="2">
        <v>2766</v>
      </c>
      <c r="D24" s="3" t="s">
        <v>105</v>
      </c>
      <c r="E24" s="9" t="s">
        <v>106</v>
      </c>
      <c r="F24" s="9" t="s">
        <v>107</v>
      </c>
      <c r="G24" s="1">
        <v>1624.6180999999999</v>
      </c>
      <c r="H24" s="2">
        <v>832</v>
      </c>
      <c r="I24" s="2">
        <v>2</v>
      </c>
      <c r="J24" s="1">
        <v>1624.6220000000001</v>
      </c>
      <c r="K24" s="1">
        <v>813.31629999999996</v>
      </c>
      <c r="L24" s="9" t="s">
        <v>108</v>
      </c>
      <c r="M24" s="2">
        <v>6.49</v>
      </c>
      <c r="N24" s="4">
        <v>3603.53</v>
      </c>
      <c r="O24" s="1">
        <v>2.3975911954549542</v>
      </c>
      <c r="P24" s="6">
        <v>47</v>
      </c>
      <c r="Q24" s="6">
        <v>26</v>
      </c>
      <c r="R24" s="6">
        <v>9.3000000000000007</v>
      </c>
      <c r="S24" s="6">
        <v>10.199999999999999</v>
      </c>
      <c r="T24" s="5">
        <v>4.6999999999999999E-6</v>
      </c>
      <c r="U24" s="1">
        <v>3.8999999999999998E-3</v>
      </c>
      <c r="V24" s="1">
        <v>7.5566000000000004</v>
      </c>
    </row>
    <row r="25" spans="1:22" x14ac:dyDescent="0.25">
      <c r="A25" s="1">
        <v>0.99680000000000002</v>
      </c>
      <c r="B25" s="9" t="s">
        <v>109</v>
      </c>
      <c r="C25" s="2">
        <v>2812</v>
      </c>
      <c r="D25" s="3" t="s">
        <v>110</v>
      </c>
      <c r="E25" s="9" t="s">
        <v>111</v>
      </c>
      <c r="F25" s="9" t="s">
        <v>112</v>
      </c>
      <c r="G25" s="1">
        <v>1460.6751999999999</v>
      </c>
      <c r="H25" s="2">
        <v>792</v>
      </c>
      <c r="I25" s="2">
        <v>2</v>
      </c>
      <c r="J25" s="1">
        <v>1460.6814999999999</v>
      </c>
      <c r="K25" s="1">
        <v>731.34490000000005</v>
      </c>
      <c r="L25" s="9" t="s">
        <v>113</v>
      </c>
      <c r="M25" s="2">
        <v>6.13</v>
      </c>
      <c r="N25" s="4">
        <v>3688.28</v>
      </c>
      <c r="O25" s="1">
        <v>4.3071333374991738</v>
      </c>
      <c r="P25" s="6">
        <v>55.5</v>
      </c>
      <c r="Q25" s="6">
        <v>27</v>
      </c>
      <c r="R25" s="6">
        <v>13.8</v>
      </c>
      <c r="S25" s="6">
        <v>13.5</v>
      </c>
      <c r="T25" s="5">
        <v>1.1999999999999999E-6</v>
      </c>
      <c r="U25" s="1">
        <v>6.3E-3</v>
      </c>
      <c r="V25" s="1">
        <v>9.0686999999999998</v>
      </c>
    </row>
    <row r="26" spans="1:22" x14ac:dyDescent="0.25">
      <c r="A26" s="1">
        <v>0.99309999999999998</v>
      </c>
      <c r="B26" s="9" t="s">
        <v>114</v>
      </c>
      <c r="C26" s="2">
        <v>2814</v>
      </c>
      <c r="D26" s="3" t="s">
        <v>115</v>
      </c>
      <c r="E26" s="9" t="s">
        <v>116</v>
      </c>
      <c r="F26" s="9" t="s">
        <v>117</v>
      </c>
      <c r="G26" s="1">
        <v>1352.6869999999999</v>
      </c>
      <c r="H26" s="2">
        <v>1018</v>
      </c>
      <c r="I26" s="2">
        <v>2</v>
      </c>
      <c r="J26" s="1">
        <v>1352.6872000000001</v>
      </c>
      <c r="K26" s="1">
        <v>677.35080000000005</v>
      </c>
      <c r="L26" s="9" t="s">
        <v>118</v>
      </c>
      <c r="M26" s="2">
        <v>8.73</v>
      </c>
      <c r="N26" s="4">
        <v>3689.3</v>
      </c>
      <c r="O26" s="1">
        <v>0.14763398817865128</v>
      </c>
      <c r="P26" s="6">
        <v>50.9</v>
      </c>
      <c r="Q26" s="6">
        <v>34.4</v>
      </c>
      <c r="R26" s="6">
        <v>10.9</v>
      </c>
      <c r="S26" s="6">
        <v>12.5</v>
      </c>
      <c r="T26" s="5">
        <v>1.6999999999999999E-3</v>
      </c>
      <c r="U26" s="1">
        <v>2.0000000000000001E-4</v>
      </c>
      <c r="V26" s="1">
        <v>4.6684000000000001</v>
      </c>
    </row>
    <row r="27" spans="1:22" x14ac:dyDescent="0.25">
      <c r="A27" s="1">
        <v>1</v>
      </c>
      <c r="B27" s="9" t="s">
        <v>119</v>
      </c>
      <c r="C27" s="2">
        <v>2823</v>
      </c>
      <c r="D27" s="3" t="s">
        <v>120</v>
      </c>
      <c r="E27" s="9" t="s">
        <v>121</v>
      </c>
      <c r="F27" s="9" t="s">
        <v>122</v>
      </c>
      <c r="G27" s="1">
        <v>1737.9811</v>
      </c>
      <c r="H27" s="2">
        <v>405</v>
      </c>
      <c r="I27" s="2">
        <v>3</v>
      </c>
      <c r="J27" s="1">
        <v>1737.9731999999999</v>
      </c>
      <c r="K27" s="1">
        <v>580.33429999999998</v>
      </c>
      <c r="L27" s="9" t="s">
        <v>123</v>
      </c>
      <c r="M27" s="2">
        <v>9.99</v>
      </c>
      <c r="N27" s="4">
        <v>3704.01</v>
      </c>
      <c r="O27" s="1">
        <v>-4.5376144979425366</v>
      </c>
      <c r="P27" s="6">
        <v>52.5</v>
      </c>
      <c r="Q27" s="6">
        <v>28.5</v>
      </c>
      <c r="R27" s="6">
        <v>11.4</v>
      </c>
      <c r="S27" s="6">
        <v>13.2</v>
      </c>
      <c r="T27" s="5">
        <v>3.2000000000000001E-7</v>
      </c>
      <c r="U27" s="1">
        <v>-7.9000000000000008E-3</v>
      </c>
      <c r="V27" s="1">
        <v>10.2834</v>
      </c>
    </row>
    <row r="28" spans="1:22" x14ac:dyDescent="0.25">
      <c r="A28" s="1">
        <v>0.99990000000000001</v>
      </c>
      <c r="B28" s="9" t="s">
        <v>124</v>
      </c>
      <c r="C28" s="2">
        <v>2847</v>
      </c>
      <c r="D28" s="3" t="s">
        <v>125</v>
      </c>
      <c r="E28" s="9" t="s">
        <v>126</v>
      </c>
      <c r="F28" s="9" t="s">
        <v>122</v>
      </c>
      <c r="G28" s="1">
        <v>1867.0237</v>
      </c>
      <c r="H28" s="2">
        <v>406</v>
      </c>
      <c r="I28" s="2">
        <v>3</v>
      </c>
      <c r="J28" s="1">
        <v>1867.0316</v>
      </c>
      <c r="K28" s="1">
        <v>623.34849999999994</v>
      </c>
      <c r="L28" s="9" t="s">
        <v>123</v>
      </c>
      <c r="M28" s="2">
        <v>8.59</v>
      </c>
      <c r="N28" s="4">
        <v>3748.06</v>
      </c>
      <c r="O28" s="1">
        <v>4.2244961419387934</v>
      </c>
      <c r="P28" s="6">
        <v>48.3</v>
      </c>
      <c r="Q28" s="6">
        <v>25.2</v>
      </c>
      <c r="R28" s="6">
        <v>11.6</v>
      </c>
      <c r="S28" s="6">
        <v>13.2</v>
      </c>
      <c r="T28" s="5">
        <v>1.9000000000000001E-5</v>
      </c>
      <c r="U28" s="1">
        <v>7.9000000000000008E-3</v>
      </c>
      <c r="V28" s="1">
        <v>8.0267999999999997</v>
      </c>
    </row>
    <row r="29" spans="1:22" x14ac:dyDescent="0.25">
      <c r="A29" s="1">
        <v>0.97</v>
      </c>
      <c r="B29" s="9" t="s">
        <v>127</v>
      </c>
      <c r="C29" s="2">
        <v>2848</v>
      </c>
      <c r="D29" s="3" t="s">
        <v>128</v>
      </c>
      <c r="E29" s="9" t="s">
        <v>129</v>
      </c>
      <c r="F29" s="9" t="s">
        <v>130</v>
      </c>
      <c r="G29" s="1">
        <v>1407.7618</v>
      </c>
      <c r="H29" s="2">
        <v>603</v>
      </c>
      <c r="I29" s="2">
        <v>3</v>
      </c>
      <c r="J29" s="1">
        <v>1407.7626</v>
      </c>
      <c r="K29" s="1">
        <v>470.26119999999997</v>
      </c>
      <c r="L29" s="9" t="s">
        <v>131</v>
      </c>
      <c r="M29" s="2">
        <v>9.6999999999999993</v>
      </c>
      <c r="N29" s="4">
        <v>3754.44</v>
      </c>
      <c r="O29" s="1">
        <v>0.56706074553177399</v>
      </c>
      <c r="P29" s="6">
        <v>27.4</v>
      </c>
      <c r="Q29" s="6">
        <v>20.6</v>
      </c>
      <c r="R29" s="6">
        <v>8.6</v>
      </c>
      <c r="S29" s="6">
        <v>9.6999999999999993</v>
      </c>
      <c r="T29" s="5">
        <v>5.3999999999999999E-2</v>
      </c>
      <c r="U29" s="1">
        <v>8.0000000000000004E-4</v>
      </c>
      <c r="V29" s="1">
        <v>3.4565999999999999</v>
      </c>
    </row>
    <row r="30" spans="1:22" x14ac:dyDescent="0.25">
      <c r="A30" s="1">
        <v>0.99980000000000002</v>
      </c>
      <c r="B30" s="9" t="s">
        <v>132</v>
      </c>
      <c r="C30" s="2">
        <v>2854</v>
      </c>
      <c r="D30" s="3" t="s">
        <v>133</v>
      </c>
      <c r="E30" s="9" t="s">
        <v>134</v>
      </c>
      <c r="F30" s="9" t="s">
        <v>122</v>
      </c>
      <c r="G30" s="1">
        <v>1996.0663</v>
      </c>
      <c r="H30" s="2">
        <v>407</v>
      </c>
      <c r="I30" s="2">
        <v>3</v>
      </c>
      <c r="J30" s="1">
        <v>1996.0698</v>
      </c>
      <c r="K30" s="1">
        <v>666.36270000000002</v>
      </c>
      <c r="L30" s="9" t="s">
        <v>123</v>
      </c>
      <c r="M30" s="2">
        <v>6.33</v>
      </c>
      <c r="N30" s="4">
        <v>3762.81</v>
      </c>
      <c r="O30" s="1">
        <v>1.7507982764741585</v>
      </c>
      <c r="P30" s="6">
        <v>45.5</v>
      </c>
      <c r="Q30" s="6">
        <v>30.3</v>
      </c>
      <c r="R30" s="6">
        <v>11.7</v>
      </c>
      <c r="S30" s="6">
        <v>13</v>
      </c>
      <c r="T30" s="5">
        <v>1.7E-5</v>
      </c>
      <c r="U30" s="1">
        <v>3.5000000000000001E-3</v>
      </c>
      <c r="V30" s="1">
        <v>7.1477000000000004</v>
      </c>
    </row>
    <row r="31" spans="1:22" x14ac:dyDescent="0.25">
      <c r="A31" s="1">
        <v>0.98199999999999998</v>
      </c>
      <c r="B31" s="9" t="s">
        <v>135</v>
      </c>
      <c r="C31" s="2">
        <v>2882</v>
      </c>
      <c r="D31" s="3" t="s">
        <v>136</v>
      </c>
      <c r="E31" s="9" t="s">
        <v>137</v>
      </c>
      <c r="F31" s="9" t="s">
        <v>138</v>
      </c>
      <c r="G31" s="1">
        <v>1145.8017</v>
      </c>
      <c r="H31" s="2">
        <v>767</v>
      </c>
      <c r="I31" s="2">
        <v>3</v>
      </c>
      <c r="J31" s="1">
        <v>1145.8975</v>
      </c>
      <c r="K31" s="1">
        <v>382.94119999999998</v>
      </c>
      <c r="L31" s="9" t="s">
        <v>139</v>
      </c>
      <c r="M31" s="2">
        <v>11.26</v>
      </c>
      <c r="N31" s="4">
        <v>3816.44</v>
      </c>
      <c r="O31" s="1">
        <v>83.389651814255913</v>
      </c>
      <c r="P31" s="6">
        <v>16.7</v>
      </c>
      <c r="Q31" s="6">
        <v>13</v>
      </c>
      <c r="R31" s="6">
        <v>11.1</v>
      </c>
      <c r="S31" s="6">
        <v>5.2</v>
      </c>
      <c r="T31" s="5">
        <v>0.04</v>
      </c>
      <c r="U31" s="1">
        <v>9.5799999999999996E-2</v>
      </c>
      <c r="V31" s="1">
        <v>3.823</v>
      </c>
    </row>
    <row r="32" spans="1:22" x14ac:dyDescent="0.25">
      <c r="A32" s="1">
        <v>0.99839999999999995</v>
      </c>
      <c r="B32" s="9" t="s">
        <v>140</v>
      </c>
      <c r="C32" s="2">
        <v>2920</v>
      </c>
      <c r="D32" s="3" t="s">
        <v>141</v>
      </c>
      <c r="E32" s="9" t="s">
        <v>142</v>
      </c>
      <c r="F32" s="9" t="s">
        <v>143</v>
      </c>
      <c r="G32" s="1">
        <v>1284.635</v>
      </c>
      <c r="H32" s="2">
        <v>46</v>
      </c>
      <c r="I32" s="2">
        <v>2</v>
      </c>
      <c r="J32" s="1">
        <v>1284.6412</v>
      </c>
      <c r="K32" s="1">
        <v>643.32479999999998</v>
      </c>
      <c r="L32" s="9" t="s">
        <v>144</v>
      </c>
      <c r="M32" s="2">
        <v>4.8099999999999996</v>
      </c>
      <c r="N32" s="4">
        <v>3880.52</v>
      </c>
      <c r="O32" s="1">
        <v>4.8187167663985599</v>
      </c>
      <c r="P32" s="6">
        <v>46.1</v>
      </c>
      <c r="Q32" s="6">
        <v>31.9</v>
      </c>
      <c r="R32" s="6">
        <v>11.4</v>
      </c>
      <c r="S32" s="6">
        <v>11.2</v>
      </c>
      <c r="T32" s="5">
        <v>7.6000000000000001E-6</v>
      </c>
      <c r="U32" s="1">
        <v>6.1999999999999998E-3</v>
      </c>
      <c r="V32" s="1">
        <v>7.5724</v>
      </c>
    </row>
    <row r="33" spans="1:22" x14ac:dyDescent="0.25">
      <c r="A33" s="1">
        <v>0.99009999999999998</v>
      </c>
      <c r="B33" s="9" t="s">
        <v>145</v>
      </c>
      <c r="C33" s="2">
        <v>2935</v>
      </c>
      <c r="D33" s="3" t="s">
        <v>146</v>
      </c>
      <c r="E33" s="9" t="s">
        <v>147</v>
      </c>
      <c r="F33" s="9" t="s">
        <v>27</v>
      </c>
      <c r="G33" s="1">
        <v>1316.6797999999999</v>
      </c>
      <c r="H33" s="2">
        <v>47</v>
      </c>
      <c r="I33" s="2">
        <v>2</v>
      </c>
      <c r="J33" s="1">
        <v>1316.6718000000001</v>
      </c>
      <c r="K33" s="1">
        <v>659.34720000000004</v>
      </c>
      <c r="L33" s="9" t="s">
        <v>28</v>
      </c>
      <c r="M33" s="2">
        <v>8.64</v>
      </c>
      <c r="N33" s="4">
        <v>3909.92</v>
      </c>
      <c r="O33" s="1">
        <v>-6.0666064859303264</v>
      </c>
      <c r="P33" s="6">
        <v>39.299999999999997</v>
      </c>
      <c r="Q33" s="6">
        <v>29.3</v>
      </c>
      <c r="R33" s="6">
        <v>10</v>
      </c>
      <c r="S33" s="6">
        <v>10.6</v>
      </c>
      <c r="T33" s="5">
        <v>7.3000000000000001E-3</v>
      </c>
      <c r="U33" s="1">
        <v>-8.0000000000000002E-3</v>
      </c>
      <c r="V33" s="1">
        <v>4.0010000000000003</v>
      </c>
    </row>
    <row r="34" spans="1:22" x14ac:dyDescent="0.25">
      <c r="A34" s="1">
        <v>0.99590000000000001</v>
      </c>
      <c r="B34" s="9" t="s">
        <v>148</v>
      </c>
      <c r="C34" s="2">
        <v>2967</v>
      </c>
      <c r="D34" s="3" t="s">
        <v>149</v>
      </c>
      <c r="E34" s="9" t="s">
        <v>150</v>
      </c>
      <c r="F34" s="9" t="s">
        <v>151</v>
      </c>
      <c r="G34" s="1">
        <v>1282.7648999999999</v>
      </c>
      <c r="H34" s="2">
        <v>612</v>
      </c>
      <c r="I34" s="2">
        <v>3</v>
      </c>
      <c r="J34" s="1">
        <v>1282.7597000000001</v>
      </c>
      <c r="K34" s="1">
        <v>428.59559999999999</v>
      </c>
      <c r="L34" s="9" t="s">
        <v>152</v>
      </c>
      <c r="M34" s="2">
        <v>6.81</v>
      </c>
      <c r="N34" s="4">
        <v>3973</v>
      </c>
      <c r="O34" s="1">
        <v>-4.0442163506422686</v>
      </c>
      <c r="P34" s="6">
        <v>37.4</v>
      </c>
      <c r="Q34" s="6">
        <v>26.6</v>
      </c>
      <c r="R34" s="6">
        <v>11.6</v>
      </c>
      <c r="S34" s="6">
        <v>10.1</v>
      </c>
      <c r="T34" s="5">
        <v>3.5000000000000003E-2</v>
      </c>
      <c r="U34" s="1">
        <v>-5.1999999999999998E-3</v>
      </c>
      <c r="V34" s="1">
        <v>3.9628999999999999</v>
      </c>
    </row>
    <row r="35" spans="1:22" x14ac:dyDescent="0.25">
      <c r="A35" s="1">
        <v>0.99660000000000004</v>
      </c>
      <c r="B35" s="9" t="s">
        <v>153</v>
      </c>
      <c r="C35" s="2">
        <v>2970</v>
      </c>
      <c r="D35" s="3" t="s">
        <v>154</v>
      </c>
      <c r="E35" s="9" t="s">
        <v>155</v>
      </c>
      <c r="F35" s="9" t="s">
        <v>156</v>
      </c>
      <c r="G35" s="1">
        <v>1064.5291</v>
      </c>
      <c r="H35" s="2">
        <v>49</v>
      </c>
      <c r="I35" s="2">
        <v>2</v>
      </c>
      <c r="J35" s="1">
        <v>1064.5281</v>
      </c>
      <c r="K35" s="1">
        <v>533.27179999999998</v>
      </c>
      <c r="L35" s="9" t="s">
        <v>157</v>
      </c>
      <c r="M35" s="2">
        <v>6.46</v>
      </c>
      <c r="N35" s="4">
        <v>3976.12</v>
      </c>
      <c r="O35" s="1">
        <v>-0.9376081765433687</v>
      </c>
      <c r="P35" s="6">
        <v>35.200000000000003</v>
      </c>
      <c r="Q35" s="6">
        <v>23.6</v>
      </c>
      <c r="R35" s="6">
        <v>11.2</v>
      </c>
      <c r="S35" s="6">
        <v>10.5</v>
      </c>
      <c r="T35" s="5">
        <v>2.8E-3</v>
      </c>
      <c r="U35" s="1">
        <v>-1E-3</v>
      </c>
      <c r="V35" s="1">
        <v>5.2926000000000002</v>
      </c>
    </row>
    <row r="36" spans="1:22" x14ac:dyDescent="0.25">
      <c r="A36" s="1">
        <v>0.99590000000000001</v>
      </c>
      <c r="B36" s="9" t="s">
        <v>158</v>
      </c>
      <c r="C36" s="2">
        <v>2978</v>
      </c>
      <c r="D36" s="3" t="s">
        <v>61</v>
      </c>
      <c r="E36" s="9" t="s">
        <v>159</v>
      </c>
      <c r="F36" s="9" t="s">
        <v>160</v>
      </c>
      <c r="G36" s="1">
        <v>1897.9105</v>
      </c>
      <c r="H36" s="2">
        <v>710</v>
      </c>
      <c r="I36" s="2">
        <v>3</v>
      </c>
      <c r="J36" s="1">
        <v>1897.9094</v>
      </c>
      <c r="K36" s="1">
        <v>633.64409999999998</v>
      </c>
      <c r="L36" s="9" t="s">
        <v>161</v>
      </c>
      <c r="M36" s="2">
        <v>8.56</v>
      </c>
      <c r="N36" s="4">
        <v>3993.05</v>
      </c>
      <c r="O36" s="1">
        <v>-0.57866342741401156</v>
      </c>
      <c r="P36" s="6">
        <v>35.4</v>
      </c>
      <c r="Q36" s="6">
        <v>24.8</v>
      </c>
      <c r="R36" s="6">
        <v>11.1</v>
      </c>
      <c r="S36" s="6">
        <v>11</v>
      </c>
      <c r="T36" s="5">
        <v>3.8999999999999999E-4</v>
      </c>
      <c r="U36" s="1">
        <v>-1.1000000000000001E-3</v>
      </c>
      <c r="V36" s="1">
        <v>5.7996999999999996</v>
      </c>
    </row>
    <row r="37" spans="1:22" x14ac:dyDescent="0.25">
      <c r="A37" s="1">
        <v>0.99860000000000004</v>
      </c>
      <c r="B37" s="9" t="s">
        <v>162</v>
      </c>
      <c r="C37" s="2">
        <v>2983</v>
      </c>
      <c r="D37" s="3" t="s">
        <v>163</v>
      </c>
      <c r="E37" s="9" t="s">
        <v>164</v>
      </c>
      <c r="F37" s="9" t="s">
        <v>165</v>
      </c>
      <c r="G37" s="1">
        <v>1658.9429</v>
      </c>
      <c r="H37" s="2">
        <v>414</v>
      </c>
      <c r="I37" s="2">
        <v>3</v>
      </c>
      <c r="J37" s="1">
        <v>1658.9463000000001</v>
      </c>
      <c r="K37" s="1">
        <v>553.98820000000001</v>
      </c>
      <c r="L37" s="9" t="s">
        <v>166</v>
      </c>
      <c r="M37" s="2">
        <v>9.6999999999999993</v>
      </c>
      <c r="N37" s="4">
        <v>3998.27</v>
      </c>
      <c r="O37" s="1">
        <v>2.0457716127046268</v>
      </c>
      <c r="P37" s="6">
        <v>29.4</v>
      </c>
      <c r="Q37" s="6">
        <v>22.1</v>
      </c>
      <c r="R37" s="6">
        <v>11</v>
      </c>
      <c r="S37" s="6">
        <v>9.6</v>
      </c>
      <c r="T37" s="5">
        <v>2.3E-3</v>
      </c>
      <c r="U37" s="1">
        <v>3.3999999999999998E-3</v>
      </c>
      <c r="V37" s="1">
        <v>4.7744</v>
      </c>
    </row>
    <row r="38" spans="1:22" x14ac:dyDescent="0.25">
      <c r="A38" s="1">
        <v>0.99880000000000002</v>
      </c>
      <c r="B38" s="9" t="s">
        <v>167</v>
      </c>
      <c r="C38" s="2">
        <v>2990</v>
      </c>
      <c r="D38" s="3" t="s">
        <v>168</v>
      </c>
      <c r="E38" s="9" t="s">
        <v>169</v>
      </c>
      <c r="F38" s="9" t="s">
        <v>170</v>
      </c>
      <c r="G38" s="1">
        <v>1967.8857</v>
      </c>
      <c r="H38" s="2">
        <v>709</v>
      </c>
      <c r="I38" s="2">
        <v>3</v>
      </c>
      <c r="J38" s="1">
        <v>1967.8977</v>
      </c>
      <c r="K38" s="1">
        <v>656.9692</v>
      </c>
      <c r="L38" s="9" t="s">
        <v>64</v>
      </c>
      <c r="M38" s="2">
        <v>4.3099999999999996</v>
      </c>
      <c r="N38" s="4">
        <v>4015.16</v>
      </c>
      <c r="O38" s="1">
        <v>6.0885654913502796</v>
      </c>
      <c r="P38" s="6">
        <v>39.200000000000003</v>
      </c>
      <c r="Q38" s="6">
        <v>26.7</v>
      </c>
      <c r="R38" s="6">
        <v>12.9</v>
      </c>
      <c r="S38" s="6">
        <v>7.8</v>
      </c>
      <c r="T38" s="5">
        <v>2.0000000000000001E-4</v>
      </c>
      <c r="U38" s="1">
        <v>1.2E-2</v>
      </c>
      <c r="V38" s="1">
        <v>5.7182000000000004</v>
      </c>
    </row>
    <row r="39" spans="1:22" x14ac:dyDescent="0.25">
      <c r="A39" s="1">
        <v>0.99950000000000006</v>
      </c>
      <c r="B39" s="9" t="s">
        <v>171</v>
      </c>
      <c r="C39" s="2">
        <v>3026</v>
      </c>
      <c r="D39" s="3" t="s">
        <v>56</v>
      </c>
      <c r="E39" s="9" t="s">
        <v>172</v>
      </c>
      <c r="F39" s="9" t="s">
        <v>156</v>
      </c>
      <c r="G39" s="1">
        <v>1470.8842999999999</v>
      </c>
      <c r="H39" s="2">
        <v>418</v>
      </c>
      <c r="I39" s="2">
        <v>3</v>
      </c>
      <c r="J39" s="1">
        <v>1470.8761999999999</v>
      </c>
      <c r="K39" s="1">
        <v>491.30200000000002</v>
      </c>
      <c r="L39" s="9" t="s">
        <v>157</v>
      </c>
      <c r="M39" s="2">
        <v>9.6999999999999993</v>
      </c>
      <c r="N39" s="4">
        <v>4078.98</v>
      </c>
      <c r="O39" s="1">
        <v>-5.4956014834053182</v>
      </c>
      <c r="P39" s="6">
        <v>42.2</v>
      </c>
      <c r="Q39" s="6">
        <v>24.8</v>
      </c>
      <c r="R39" s="6">
        <v>10</v>
      </c>
      <c r="S39" s="6">
        <v>9.6</v>
      </c>
      <c r="T39" s="5">
        <v>3.3999999999999998E-3</v>
      </c>
      <c r="U39" s="1">
        <v>-8.0999999999999996E-3</v>
      </c>
      <c r="V39" s="1">
        <v>5.6401000000000003</v>
      </c>
    </row>
    <row r="40" spans="1:22" x14ac:dyDescent="0.25">
      <c r="A40" s="1">
        <v>0.99739999999999995</v>
      </c>
      <c r="B40" s="9" t="s">
        <v>173</v>
      </c>
      <c r="C40" s="2">
        <v>3074</v>
      </c>
      <c r="D40" s="3" t="s">
        <v>174</v>
      </c>
      <c r="E40" s="9" t="s">
        <v>175</v>
      </c>
      <c r="F40" s="9" t="s">
        <v>176</v>
      </c>
      <c r="G40" s="1">
        <v>1740.8287</v>
      </c>
      <c r="H40" s="2">
        <v>232</v>
      </c>
      <c r="I40" s="2">
        <v>2</v>
      </c>
      <c r="J40" s="1">
        <v>1740.8385000000001</v>
      </c>
      <c r="K40" s="1">
        <v>871.42160000000001</v>
      </c>
      <c r="L40" s="9" t="s">
        <v>118</v>
      </c>
      <c r="M40" s="2">
        <v>6.73</v>
      </c>
      <c r="N40" s="4">
        <v>4169.3100000000004</v>
      </c>
      <c r="O40" s="1">
        <v>5.6229958036385597</v>
      </c>
      <c r="P40" s="6">
        <v>43.3</v>
      </c>
      <c r="Q40" s="6">
        <v>26.2</v>
      </c>
      <c r="R40" s="6">
        <v>12.1</v>
      </c>
      <c r="S40" s="6">
        <v>10.8</v>
      </c>
      <c r="T40" s="5">
        <v>7.5000000000000002E-6</v>
      </c>
      <c r="U40" s="1">
        <v>9.7999999999999997E-3</v>
      </c>
      <c r="V40" s="1">
        <v>6.6999000000000004</v>
      </c>
    </row>
    <row r="41" spans="1:22" x14ac:dyDescent="0.25">
      <c r="A41" s="1">
        <v>0.99819999999999998</v>
      </c>
      <c r="B41" s="9" t="s">
        <v>177</v>
      </c>
      <c r="C41" s="2">
        <v>3079</v>
      </c>
      <c r="D41" s="3" t="s">
        <v>178</v>
      </c>
      <c r="E41" s="9" t="s">
        <v>179</v>
      </c>
      <c r="F41" s="9" t="s">
        <v>180</v>
      </c>
      <c r="G41" s="1">
        <v>1471.7955999999999</v>
      </c>
      <c r="H41" s="2">
        <v>55</v>
      </c>
      <c r="I41" s="2">
        <v>2</v>
      </c>
      <c r="J41" s="1">
        <v>1471.8037999999999</v>
      </c>
      <c r="K41" s="1">
        <v>736.90509999999995</v>
      </c>
      <c r="L41" s="9" t="s">
        <v>181</v>
      </c>
      <c r="M41" s="2">
        <v>8.59</v>
      </c>
      <c r="N41" s="4">
        <v>4174.53</v>
      </c>
      <c r="O41" s="1">
        <v>5.5638100482680883</v>
      </c>
      <c r="P41" s="6">
        <v>39.5</v>
      </c>
      <c r="Q41" s="6">
        <v>24.5</v>
      </c>
      <c r="R41" s="6">
        <v>10.4</v>
      </c>
      <c r="S41" s="6">
        <v>12.9</v>
      </c>
      <c r="T41" s="5">
        <v>8.1000000000000004E-5</v>
      </c>
      <c r="U41" s="1">
        <v>8.2000000000000007E-3</v>
      </c>
      <c r="V41" s="1">
        <v>6.2659000000000002</v>
      </c>
    </row>
    <row r="42" spans="1:22" x14ac:dyDescent="0.25">
      <c r="A42" s="1">
        <v>0.97889999999999999</v>
      </c>
      <c r="B42" s="9" t="s">
        <v>182</v>
      </c>
      <c r="C42" s="2">
        <v>3092</v>
      </c>
      <c r="D42" s="3" t="s">
        <v>183</v>
      </c>
      <c r="E42" s="9" t="s">
        <v>184</v>
      </c>
      <c r="F42" s="9" t="s">
        <v>185</v>
      </c>
      <c r="G42" s="1">
        <v>1316.6216999999999</v>
      </c>
      <c r="H42" s="2">
        <v>797</v>
      </c>
      <c r="I42" s="2">
        <v>2</v>
      </c>
      <c r="J42" s="1">
        <v>1316.6378</v>
      </c>
      <c r="K42" s="1">
        <v>659.31809999999996</v>
      </c>
      <c r="L42" s="9" t="s">
        <v>186</v>
      </c>
      <c r="M42" s="2">
        <v>5.89</v>
      </c>
      <c r="N42" s="4">
        <v>4202.76</v>
      </c>
      <c r="O42" s="1">
        <v>12.209584417597515</v>
      </c>
      <c r="P42" s="6">
        <v>35.1</v>
      </c>
      <c r="Q42" s="6">
        <v>25.5</v>
      </c>
      <c r="R42" s="6">
        <v>11.6</v>
      </c>
      <c r="S42" s="6">
        <v>12.8</v>
      </c>
      <c r="T42" s="5">
        <v>1.2999999999999999E-2</v>
      </c>
      <c r="U42" s="1">
        <v>1.61E-2</v>
      </c>
      <c r="V42" s="1">
        <v>3.9811000000000001</v>
      </c>
    </row>
    <row r="43" spans="1:22" x14ac:dyDescent="0.25">
      <c r="A43" s="1">
        <v>0.99839999999999995</v>
      </c>
      <c r="B43" s="9" t="s">
        <v>187</v>
      </c>
      <c r="C43" s="2">
        <v>3114</v>
      </c>
      <c r="D43" s="3" t="s">
        <v>188</v>
      </c>
      <c r="E43" s="9" t="s">
        <v>189</v>
      </c>
      <c r="F43" s="9" t="s">
        <v>190</v>
      </c>
      <c r="G43" s="1">
        <v>1501.8177000000001</v>
      </c>
      <c r="H43" s="2">
        <v>59</v>
      </c>
      <c r="I43" s="2">
        <v>2</v>
      </c>
      <c r="J43" s="1">
        <v>1501.8278</v>
      </c>
      <c r="K43" s="1">
        <v>751.91610000000003</v>
      </c>
      <c r="L43" s="9" t="s">
        <v>191</v>
      </c>
      <c r="M43" s="2">
        <v>8.59</v>
      </c>
      <c r="N43" s="4">
        <v>4240.4799999999996</v>
      </c>
      <c r="O43" s="1">
        <v>6.7161748498269942</v>
      </c>
      <c r="P43" s="6">
        <v>59.2</v>
      </c>
      <c r="Q43" s="6">
        <v>35.9</v>
      </c>
      <c r="R43" s="6">
        <v>11.9</v>
      </c>
      <c r="S43" s="6">
        <v>11.8</v>
      </c>
      <c r="T43" s="5">
        <v>6.8999999999999997E-5</v>
      </c>
      <c r="U43" s="1">
        <v>1.01E-2</v>
      </c>
      <c r="V43" s="1">
        <v>6.6433</v>
      </c>
    </row>
    <row r="44" spans="1:22" x14ac:dyDescent="0.25">
      <c r="A44" s="1">
        <v>0.99570000000000003</v>
      </c>
      <c r="B44" s="9" t="s">
        <v>192</v>
      </c>
      <c r="C44" s="2">
        <v>3130</v>
      </c>
      <c r="D44" s="3" t="s">
        <v>193</v>
      </c>
      <c r="E44" s="9" t="s">
        <v>194</v>
      </c>
      <c r="F44" s="9" t="s">
        <v>195</v>
      </c>
      <c r="G44" s="1">
        <v>1531.8647000000001</v>
      </c>
      <c r="H44" s="2">
        <v>842</v>
      </c>
      <c r="I44" s="2">
        <v>2</v>
      </c>
      <c r="J44" s="1">
        <v>1531.8833999999999</v>
      </c>
      <c r="K44" s="1">
        <v>766.93960000000004</v>
      </c>
      <c r="L44" s="9" t="s">
        <v>196</v>
      </c>
      <c r="M44" s="2">
        <v>10</v>
      </c>
      <c r="N44" s="4">
        <v>4272.07</v>
      </c>
      <c r="O44" s="1">
        <v>12.191312066817256</v>
      </c>
      <c r="P44" s="6">
        <v>69.099999999999994</v>
      </c>
      <c r="Q44" s="6">
        <v>40.700000000000003</v>
      </c>
      <c r="R44" s="6">
        <v>11.2</v>
      </c>
      <c r="S44" s="6">
        <v>10.6</v>
      </c>
      <c r="T44" s="5">
        <v>5.5000000000000002E-5</v>
      </c>
      <c r="U44" s="1">
        <v>1.8700000000000001E-2</v>
      </c>
      <c r="V44" s="1">
        <v>6.3517000000000001</v>
      </c>
    </row>
    <row r="45" spans="1:22" x14ac:dyDescent="0.25">
      <c r="A45" s="1">
        <v>0.98740000000000006</v>
      </c>
      <c r="B45" s="9" t="s">
        <v>197</v>
      </c>
      <c r="C45" s="2">
        <v>3131</v>
      </c>
      <c r="D45" s="3" t="s">
        <v>46</v>
      </c>
      <c r="E45" s="9" t="s">
        <v>198</v>
      </c>
      <c r="F45" s="9" t="s">
        <v>199</v>
      </c>
      <c r="G45" s="1">
        <v>1736.7807</v>
      </c>
      <c r="H45" s="2">
        <v>674</v>
      </c>
      <c r="I45" s="2">
        <v>3</v>
      </c>
      <c r="J45" s="1">
        <v>1736.8179</v>
      </c>
      <c r="K45" s="1">
        <v>579.93420000000003</v>
      </c>
      <c r="L45" s="9" t="s">
        <v>123</v>
      </c>
      <c r="M45" s="2">
        <v>6.74</v>
      </c>
      <c r="N45" s="4">
        <v>4274.17</v>
      </c>
      <c r="O45" s="1">
        <v>21.381736065919203</v>
      </c>
      <c r="P45" s="6">
        <v>26.8</v>
      </c>
      <c r="Q45" s="6">
        <v>18.600000000000001</v>
      </c>
      <c r="R45" s="6">
        <v>6.2</v>
      </c>
      <c r="S45" s="6">
        <v>8.1999999999999993</v>
      </c>
      <c r="T45" s="5">
        <v>1.9E-2</v>
      </c>
      <c r="U45" s="1">
        <v>3.7199999999999997E-2</v>
      </c>
      <c r="V45" s="1">
        <v>4.0956999999999999</v>
      </c>
    </row>
    <row r="46" spans="1:22" x14ac:dyDescent="0.25">
      <c r="A46" s="1">
        <v>0.9839</v>
      </c>
      <c r="B46" s="9" t="s">
        <v>200</v>
      </c>
      <c r="C46" s="2">
        <v>3160</v>
      </c>
      <c r="D46" s="3" t="s">
        <v>201</v>
      </c>
      <c r="E46" s="9" t="s">
        <v>202</v>
      </c>
      <c r="F46" s="9" t="s">
        <v>203</v>
      </c>
      <c r="G46" s="1">
        <v>1269.7366</v>
      </c>
      <c r="H46" s="2">
        <v>614</v>
      </c>
      <c r="I46" s="2">
        <v>2</v>
      </c>
      <c r="J46" s="1">
        <v>1269.7321999999999</v>
      </c>
      <c r="K46" s="1">
        <v>635.87559999999996</v>
      </c>
      <c r="L46" s="9" t="s">
        <v>204</v>
      </c>
      <c r="M46" s="2">
        <v>8.59</v>
      </c>
      <c r="N46" s="4">
        <v>4327.42</v>
      </c>
      <c r="O46" s="1">
        <v>-3.4597962242929281</v>
      </c>
      <c r="P46" s="6">
        <v>49.1</v>
      </c>
      <c r="Q46" s="6">
        <v>34.9</v>
      </c>
      <c r="R46" s="6">
        <v>11.3</v>
      </c>
      <c r="S46" s="6">
        <v>12.4</v>
      </c>
      <c r="T46" s="5">
        <v>1.0999999999999999E-2</v>
      </c>
      <c r="U46" s="1">
        <v>-4.4000000000000003E-3</v>
      </c>
      <c r="V46" s="1">
        <v>4.1451000000000002</v>
      </c>
    </row>
    <row r="47" spans="1:22" x14ac:dyDescent="0.25">
      <c r="A47" s="1">
        <v>0.99070000000000003</v>
      </c>
      <c r="B47" s="9" t="s">
        <v>205</v>
      </c>
      <c r="C47" s="2">
        <v>3183</v>
      </c>
      <c r="D47" s="3" t="s">
        <v>206</v>
      </c>
      <c r="E47" s="9" t="s">
        <v>207</v>
      </c>
      <c r="F47" s="9" t="s">
        <v>97</v>
      </c>
      <c r="G47" s="1">
        <v>1882.9611</v>
      </c>
      <c r="H47" s="2">
        <v>672</v>
      </c>
      <c r="I47" s="2">
        <v>3</v>
      </c>
      <c r="J47" s="1">
        <v>1882.9552000000001</v>
      </c>
      <c r="K47" s="1">
        <v>628.66099999999994</v>
      </c>
      <c r="L47" s="9" t="s">
        <v>98</v>
      </c>
      <c r="M47" s="2">
        <v>6.77</v>
      </c>
      <c r="N47" s="4">
        <v>4369.37</v>
      </c>
      <c r="O47" s="1">
        <v>-3.1283420900400478</v>
      </c>
      <c r="P47" s="6">
        <v>31.8</v>
      </c>
      <c r="Q47" s="6">
        <v>21.4</v>
      </c>
      <c r="R47" s="6">
        <v>11.7</v>
      </c>
      <c r="S47" s="6">
        <v>9.1</v>
      </c>
      <c r="T47" s="5">
        <v>2.8E-3</v>
      </c>
      <c r="U47" s="1">
        <v>-5.8999999999999999E-3</v>
      </c>
      <c r="V47" s="1">
        <v>4.9242999999999997</v>
      </c>
    </row>
    <row r="48" spans="1:22" x14ac:dyDescent="0.25">
      <c r="A48" s="1">
        <v>0.99719999999999998</v>
      </c>
      <c r="B48" s="9" t="s">
        <v>208</v>
      </c>
      <c r="C48" s="2">
        <v>3191</v>
      </c>
      <c r="D48" s="3" t="s">
        <v>209</v>
      </c>
      <c r="E48" s="9" t="s">
        <v>210</v>
      </c>
      <c r="F48" s="9" t="s">
        <v>211</v>
      </c>
      <c r="G48" s="1">
        <v>2500.3685</v>
      </c>
      <c r="H48" s="2">
        <v>428</v>
      </c>
      <c r="I48" s="2">
        <v>4</v>
      </c>
      <c r="J48" s="1">
        <v>2500.3739</v>
      </c>
      <c r="K48" s="1">
        <v>626.09939999999995</v>
      </c>
      <c r="L48" s="9" t="s">
        <v>212</v>
      </c>
      <c r="M48" s="2">
        <v>8.19</v>
      </c>
      <c r="N48" s="4">
        <v>4379.8900000000003</v>
      </c>
      <c r="O48" s="1">
        <v>2.1562071453829859</v>
      </c>
      <c r="P48" s="6">
        <v>35.799999999999997</v>
      </c>
      <c r="Q48" s="6">
        <v>22.3</v>
      </c>
      <c r="R48" s="6">
        <v>9.6</v>
      </c>
      <c r="S48" s="6">
        <v>10.8</v>
      </c>
      <c r="T48" s="5">
        <v>1E-4</v>
      </c>
      <c r="U48" s="1">
        <v>5.4000000000000003E-3</v>
      </c>
      <c r="V48" s="1">
        <v>5.8654999999999999</v>
      </c>
    </row>
    <row r="49" spans="1:22" x14ac:dyDescent="0.25">
      <c r="A49" s="1">
        <v>0.99609999999999999</v>
      </c>
      <c r="B49" s="9" t="s">
        <v>213</v>
      </c>
      <c r="C49" s="2">
        <v>3208</v>
      </c>
      <c r="D49" s="3" t="s">
        <v>214</v>
      </c>
      <c r="E49" s="9" t="s">
        <v>215</v>
      </c>
      <c r="F49" s="9" t="s">
        <v>216</v>
      </c>
      <c r="G49" s="1">
        <v>1374.6424</v>
      </c>
      <c r="H49" s="2">
        <v>724</v>
      </c>
      <c r="I49" s="2">
        <v>2</v>
      </c>
      <c r="J49" s="1">
        <v>1374.6449</v>
      </c>
      <c r="K49" s="1">
        <v>688.32849999999996</v>
      </c>
      <c r="L49" s="9" t="s">
        <v>91</v>
      </c>
      <c r="M49" s="2">
        <v>6.75</v>
      </c>
      <c r="N49" s="4">
        <v>4415.58</v>
      </c>
      <c r="O49" s="1">
        <v>1.8159933810673248</v>
      </c>
      <c r="P49" s="6">
        <v>56.5</v>
      </c>
      <c r="Q49" s="6">
        <v>40.200000000000003</v>
      </c>
      <c r="R49" s="6">
        <v>10.8</v>
      </c>
      <c r="S49" s="6">
        <v>10.4</v>
      </c>
      <c r="T49" s="5">
        <v>2.4000000000000001E-4</v>
      </c>
      <c r="U49" s="1">
        <v>2.5000000000000001E-3</v>
      </c>
      <c r="V49" s="1">
        <v>5.8125999999999998</v>
      </c>
    </row>
    <row r="50" spans="1:22" x14ac:dyDescent="0.25">
      <c r="A50" s="1">
        <v>0.99319999999999997</v>
      </c>
      <c r="B50" s="9" t="s">
        <v>217</v>
      </c>
      <c r="C50" s="2">
        <v>3227</v>
      </c>
      <c r="D50" s="3" t="s">
        <v>61</v>
      </c>
      <c r="E50" s="9" t="s">
        <v>218</v>
      </c>
      <c r="F50" s="9" t="s">
        <v>156</v>
      </c>
      <c r="G50" s="1">
        <v>1698.0112999999999</v>
      </c>
      <c r="H50" s="2">
        <v>675</v>
      </c>
      <c r="I50" s="2">
        <v>3</v>
      </c>
      <c r="J50" s="1">
        <v>1698.02</v>
      </c>
      <c r="K50" s="1">
        <v>567.01099999999997</v>
      </c>
      <c r="L50" s="9" t="s">
        <v>157</v>
      </c>
      <c r="M50" s="2">
        <v>9.6999999999999993</v>
      </c>
      <c r="N50" s="4">
        <v>4450.28</v>
      </c>
      <c r="O50" s="1">
        <v>5.1145392241067631</v>
      </c>
      <c r="P50" s="6">
        <v>34.5</v>
      </c>
      <c r="Q50" s="6">
        <v>22.6</v>
      </c>
      <c r="R50" s="6">
        <v>10.9</v>
      </c>
      <c r="S50" s="6">
        <v>10.7</v>
      </c>
      <c r="T50" s="5">
        <v>6.1999999999999998E-3</v>
      </c>
      <c r="U50" s="1">
        <v>8.6999999999999994E-3</v>
      </c>
      <c r="V50" s="1">
        <v>4.6062000000000003</v>
      </c>
    </row>
    <row r="51" spans="1:22" x14ac:dyDescent="0.25">
      <c r="A51" s="1">
        <v>0.99560000000000004</v>
      </c>
      <c r="B51" s="9" t="s">
        <v>219</v>
      </c>
      <c r="C51" s="2">
        <v>3244</v>
      </c>
      <c r="D51" s="3" t="s">
        <v>220</v>
      </c>
      <c r="E51" s="9" t="s">
        <v>221</v>
      </c>
      <c r="F51" s="9" t="s">
        <v>222</v>
      </c>
      <c r="G51" s="1">
        <v>1379.6690000000001</v>
      </c>
      <c r="H51" s="2">
        <v>241</v>
      </c>
      <c r="I51" s="2">
        <v>2</v>
      </c>
      <c r="J51" s="1">
        <v>1379.6655000000001</v>
      </c>
      <c r="K51" s="1">
        <v>690.84180000000003</v>
      </c>
      <c r="L51" s="9" t="s">
        <v>223</v>
      </c>
      <c r="M51" s="2">
        <v>8.2200000000000006</v>
      </c>
      <c r="N51" s="4">
        <v>4481.7299999999996</v>
      </c>
      <c r="O51" s="1">
        <v>-2.5331414514871566</v>
      </c>
      <c r="P51" s="6">
        <v>59.3</v>
      </c>
      <c r="Q51" s="6">
        <v>40.4</v>
      </c>
      <c r="R51" s="6">
        <v>10.5</v>
      </c>
      <c r="S51" s="6">
        <v>10.7</v>
      </c>
      <c r="T51" s="5">
        <v>6.6E-4</v>
      </c>
      <c r="U51" s="1">
        <v>-3.5000000000000001E-3</v>
      </c>
      <c r="V51" s="1">
        <v>5.4703999999999997</v>
      </c>
    </row>
    <row r="52" spans="1:22" x14ac:dyDescent="0.25">
      <c r="A52" s="1">
        <v>0.98770000000000002</v>
      </c>
      <c r="B52" s="9" t="s">
        <v>224</v>
      </c>
      <c r="C52" s="2">
        <v>3250</v>
      </c>
      <c r="D52" s="3" t="s">
        <v>69</v>
      </c>
      <c r="E52" s="9" t="s">
        <v>225</v>
      </c>
      <c r="F52" s="9" t="s">
        <v>80</v>
      </c>
      <c r="G52" s="1">
        <v>1119.5713000000001</v>
      </c>
      <c r="H52" s="2">
        <v>242</v>
      </c>
      <c r="I52" s="2">
        <v>2</v>
      </c>
      <c r="J52" s="1">
        <v>1119.5811000000001</v>
      </c>
      <c r="K52" s="1">
        <v>560.79290000000003</v>
      </c>
      <c r="L52" s="9" t="s">
        <v>81</v>
      </c>
      <c r="M52" s="2">
        <v>6.4</v>
      </c>
      <c r="N52" s="4">
        <v>4492.28</v>
      </c>
      <c r="O52" s="1">
        <v>8.737628454283211</v>
      </c>
      <c r="P52" s="6">
        <v>36.299999999999997</v>
      </c>
      <c r="Q52" s="6">
        <v>23.3</v>
      </c>
      <c r="R52" s="6">
        <v>8.8000000000000007</v>
      </c>
      <c r="S52" s="6">
        <v>8.8000000000000007</v>
      </c>
      <c r="T52" s="5">
        <v>2.5999999999999999E-2</v>
      </c>
      <c r="U52" s="1">
        <v>9.7999999999999997E-3</v>
      </c>
      <c r="V52" s="1">
        <v>4.2565</v>
      </c>
    </row>
    <row r="53" spans="1:22" x14ac:dyDescent="0.25">
      <c r="A53" s="1">
        <v>0.99609999999999999</v>
      </c>
      <c r="B53" s="9" t="s">
        <v>226</v>
      </c>
      <c r="C53" s="2">
        <v>3291</v>
      </c>
      <c r="D53" s="3" t="s">
        <v>227</v>
      </c>
      <c r="E53" s="9" t="s">
        <v>228</v>
      </c>
      <c r="F53" s="9" t="s">
        <v>229</v>
      </c>
      <c r="G53" s="1">
        <v>1064.4537</v>
      </c>
      <c r="H53" s="2">
        <v>432</v>
      </c>
      <c r="I53" s="2">
        <v>2</v>
      </c>
      <c r="J53" s="1">
        <v>1064.4738</v>
      </c>
      <c r="K53" s="1">
        <v>533.23410000000001</v>
      </c>
      <c r="L53" s="9" t="s">
        <v>123</v>
      </c>
      <c r="M53" s="2">
        <v>6.73</v>
      </c>
      <c r="N53" s="4">
        <v>4563.3599999999997</v>
      </c>
      <c r="O53" s="1">
        <v>18.847256767712341</v>
      </c>
      <c r="P53" s="6">
        <v>24.5</v>
      </c>
      <c r="Q53" s="6">
        <v>16.100000000000001</v>
      </c>
      <c r="R53" s="6">
        <v>6.4</v>
      </c>
      <c r="S53" s="6">
        <v>9.5</v>
      </c>
      <c r="T53" s="5">
        <v>4.7000000000000002E-3</v>
      </c>
      <c r="U53" s="1">
        <v>2.01E-2</v>
      </c>
      <c r="V53" s="1">
        <v>5.3716999999999997</v>
      </c>
    </row>
    <row r="54" spans="1:22" x14ac:dyDescent="0.25">
      <c r="A54" s="1">
        <v>0.97689999999999999</v>
      </c>
      <c r="B54" s="9" t="s">
        <v>230</v>
      </c>
      <c r="C54" s="2">
        <v>3322</v>
      </c>
      <c r="D54" s="3" t="s">
        <v>231</v>
      </c>
      <c r="E54" s="9" t="s">
        <v>232</v>
      </c>
      <c r="F54" s="9" t="s">
        <v>156</v>
      </c>
      <c r="G54" s="1">
        <v>2621.5187000000001</v>
      </c>
      <c r="H54" s="2">
        <v>436</v>
      </c>
      <c r="I54" s="2">
        <v>4</v>
      </c>
      <c r="J54" s="1">
        <v>2621.4962</v>
      </c>
      <c r="K54" s="1">
        <v>656.38699999999994</v>
      </c>
      <c r="L54" s="9" t="s">
        <v>157</v>
      </c>
      <c r="M54" s="2">
        <v>9.5299999999999994</v>
      </c>
      <c r="N54" s="4">
        <v>4622.3100000000004</v>
      </c>
      <c r="O54" s="1">
        <v>-8.5696395571514987</v>
      </c>
      <c r="P54" s="6">
        <v>32.9</v>
      </c>
      <c r="Q54" s="6">
        <v>23.4</v>
      </c>
      <c r="R54" s="6">
        <v>13</v>
      </c>
      <c r="S54" s="6">
        <v>8.6</v>
      </c>
      <c r="T54" s="5">
        <v>3.8E-3</v>
      </c>
      <c r="U54" s="1">
        <v>-2.2499999999999999E-2</v>
      </c>
      <c r="V54" s="1">
        <v>3.5840999999999998</v>
      </c>
    </row>
    <row r="55" spans="1:22" x14ac:dyDescent="0.25">
      <c r="A55" s="1">
        <v>0.98780000000000001</v>
      </c>
      <c r="B55" s="9" t="s">
        <v>233</v>
      </c>
      <c r="C55" s="2">
        <v>3351</v>
      </c>
      <c r="D55" s="3" t="s">
        <v>146</v>
      </c>
      <c r="E55" s="9" t="s">
        <v>234</v>
      </c>
      <c r="F55" s="9" t="s">
        <v>235</v>
      </c>
      <c r="G55" s="1">
        <v>1348.5967000000001</v>
      </c>
      <c r="H55" s="2">
        <v>1040</v>
      </c>
      <c r="I55" s="2">
        <v>2</v>
      </c>
      <c r="J55" s="1">
        <v>1348.6382000000001</v>
      </c>
      <c r="K55" s="1">
        <v>675.30560000000003</v>
      </c>
      <c r="L55" s="9" t="s">
        <v>236</v>
      </c>
      <c r="M55" s="2">
        <v>4.5199999999999996</v>
      </c>
      <c r="N55" s="4">
        <v>4673.51</v>
      </c>
      <c r="O55" s="1">
        <v>30.72682945321348</v>
      </c>
      <c r="P55" s="6">
        <v>40.9</v>
      </c>
      <c r="Q55" s="6">
        <v>30.8</v>
      </c>
      <c r="R55" s="6">
        <v>10.5</v>
      </c>
      <c r="S55" s="6">
        <v>12.7</v>
      </c>
      <c r="T55" s="5">
        <v>7.4000000000000003E-3</v>
      </c>
      <c r="U55" s="1">
        <v>4.1500000000000002E-2</v>
      </c>
      <c r="V55" s="1">
        <v>3.9582000000000002</v>
      </c>
    </row>
    <row r="56" spans="1:22" x14ac:dyDescent="0.25">
      <c r="A56" s="1">
        <v>0.99709999999999999</v>
      </c>
      <c r="B56" s="9" t="s">
        <v>237</v>
      </c>
      <c r="C56" s="2">
        <v>3374</v>
      </c>
      <c r="D56" s="3" t="s">
        <v>163</v>
      </c>
      <c r="E56" s="9" t="s">
        <v>238</v>
      </c>
      <c r="F56" s="9" t="s">
        <v>239</v>
      </c>
      <c r="G56" s="1">
        <v>1803.0150000000001</v>
      </c>
      <c r="H56" s="2">
        <v>346</v>
      </c>
      <c r="I56" s="2">
        <v>3</v>
      </c>
      <c r="J56" s="1">
        <v>1803.0248999999999</v>
      </c>
      <c r="K56" s="1">
        <v>602.01229999999998</v>
      </c>
      <c r="L56" s="9" t="s">
        <v>81</v>
      </c>
      <c r="M56" s="2">
        <v>9.6999999999999993</v>
      </c>
      <c r="N56" s="4">
        <v>4719.6400000000003</v>
      </c>
      <c r="O56" s="1">
        <v>5.4816155749641666</v>
      </c>
      <c r="P56" s="6">
        <v>35.5</v>
      </c>
      <c r="Q56" s="6">
        <v>24.1</v>
      </c>
      <c r="R56" s="6">
        <v>10.6</v>
      </c>
      <c r="S56" s="6">
        <v>13</v>
      </c>
      <c r="T56" s="5">
        <v>1.2999999999999999E-3</v>
      </c>
      <c r="U56" s="1">
        <v>9.9000000000000008E-3</v>
      </c>
      <c r="V56" s="1">
        <v>5.4686000000000003</v>
      </c>
    </row>
    <row r="57" spans="1:22" x14ac:dyDescent="0.25">
      <c r="A57" s="1">
        <v>0.99080000000000001</v>
      </c>
      <c r="B57" s="9" t="s">
        <v>240</v>
      </c>
      <c r="C57" s="2">
        <v>3416</v>
      </c>
      <c r="D57" s="3" t="s">
        <v>93</v>
      </c>
      <c r="E57" s="9" t="s">
        <v>241</v>
      </c>
      <c r="F57" s="9" t="s">
        <v>242</v>
      </c>
      <c r="G57" s="1">
        <v>1362.6999000000001</v>
      </c>
      <c r="H57" s="2">
        <v>1046</v>
      </c>
      <c r="I57" s="2">
        <v>2</v>
      </c>
      <c r="J57" s="1">
        <v>1362.7002</v>
      </c>
      <c r="K57" s="1">
        <v>682.35720000000003</v>
      </c>
      <c r="L57" s="9" t="s">
        <v>243</v>
      </c>
      <c r="M57" s="2">
        <v>8.2200000000000006</v>
      </c>
      <c r="N57" s="4">
        <v>4790.62</v>
      </c>
      <c r="O57" s="1">
        <v>0.21982621418811141</v>
      </c>
      <c r="P57" s="6">
        <v>48.2</v>
      </c>
      <c r="Q57" s="6">
        <v>37.200000000000003</v>
      </c>
      <c r="R57" s="6">
        <v>9.6</v>
      </c>
      <c r="S57" s="6">
        <v>8.9</v>
      </c>
      <c r="T57" s="5">
        <v>3.2000000000000002E-3</v>
      </c>
      <c r="U57" s="1">
        <v>2.9999999999999997E-4</v>
      </c>
      <c r="V57" s="1">
        <v>4.2723000000000004</v>
      </c>
    </row>
    <row r="58" spans="1:22" x14ac:dyDescent="0.25">
      <c r="A58" s="1">
        <v>0.99739999999999995</v>
      </c>
      <c r="B58" s="9" t="s">
        <v>244</v>
      </c>
      <c r="C58" s="2">
        <v>3426</v>
      </c>
      <c r="D58" s="3" t="s">
        <v>245</v>
      </c>
      <c r="E58" s="9" t="s">
        <v>246</v>
      </c>
      <c r="F58" s="9" t="s">
        <v>247</v>
      </c>
      <c r="G58" s="1">
        <v>1599.8226999999999</v>
      </c>
      <c r="H58" s="2">
        <v>640</v>
      </c>
      <c r="I58" s="2">
        <v>3</v>
      </c>
      <c r="J58" s="1">
        <v>1599.856</v>
      </c>
      <c r="K58" s="1">
        <v>534.28150000000005</v>
      </c>
      <c r="L58" s="9" t="s">
        <v>248</v>
      </c>
      <c r="M58" s="2">
        <v>8.6</v>
      </c>
      <c r="N58" s="4">
        <v>4814.8500000000004</v>
      </c>
      <c r="O58" s="1">
        <v>20.775564940953409</v>
      </c>
      <c r="P58" s="6">
        <v>34.6</v>
      </c>
      <c r="Q58" s="6">
        <v>22.1</v>
      </c>
      <c r="R58" s="6">
        <v>9.4</v>
      </c>
      <c r="S58" s="6">
        <v>11.8</v>
      </c>
      <c r="T58" s="5">
        <v>3.5999999999999999E-3</v>
      </c>
      <c r="U58" s="1">
        <v>3.3300000000000003E-2</v>
      </c>
      <c r="V58" s="1">
        <v>5.5343999999999998</v>
      </c>
    </row>
    <row r="59" spans="1:22" x14ac:dyDescent="0.25">
      <c r="A59" s="1">
        <v>0.9859</v>
      </c>
      <c r="B59" s="9" t="s">
        <v>249</v>
      </c>
      <c r="C59" s="2">
        <v>3431</v>
      </c>
      <c r="D59" s="3" t="s">
        <v>250</v>
      </c>
      <c r="E59" s="9" t="s">
        <v>251</v>
      </c>
      <c r="F59" s="9" t="s">
        <v>252</v>
      </c>
      <c r="G59" s="1">
        <v>843.46069999999997</v>
      </c>
      <c r="H59" s="2">
        <v>1047</v>
      </c>
      <c r="I59" s="2">
        <v>2</v>
      </c>
      <c r="J59" s="1">
        <v>843.40920000000006</v>
      </c>
      <c r="K59" s="1">
        <v>422.73759999999999</v>
      </c>
      <c r="L59" s="9" t="s">
        <v>253</v>
      </c>
      <c r="M59" s="2">
        <v>6.74</v>
      </c>
      <c r="N59" s="4">
        <v>4819.97</v>
      </c>
      <c r="O59" s="1">
        <v>-60.912490395933553</v>
      </c>
      <c r="P59" s="6">
        <v>31</v>
      </c>
      <c r="Q59" s="6">
        <v>22.5</v>
      </c>
      <c r="R59" s="6">
        <v>12.5</v>
      </c>
      <c r="S59" s="6">
        <v>13.1</v>
      </c>
      <c r="T59" s="5">
        <v>2.5999999999999999E-2</v>
      </c>
      <c r="U59" s="1">
        <v>-5.1499999999999997E-2</v>
      </c>
      <c r="V59" s="1">
        <v>3.8089</v>
      </c>
    </row>
    <row r="60" spans="1:22" x14ac:dyDescent="0.25">
      <c r="A60" s="1">
        <v>0.998</v>
      </c>
      <c r="B60" s="9" t="s">
        <v>254</v>
      </c>
      <c r="C60" s="2">
        <v>3456</v>
      </c>
      <c r="D60" s="3" t="s">
        <v>255</v>
      </c>
      <c r="E60" s="9" t="s">
        <v>256</v>
      </c>
      <c r="F60" s="9" t="s">
        <v>257</v>
      </c>
      <c r="G60" s="1">
        <v>1624.9947</v>
      </c>
      <c r="H60" s="2">
        <v>679</v>
      </c>
      <c r="I60" s="2">
        <v>3</v>
      </c>
      <c r="J60" s="1">
        <v>1625.0155</v>
      </c>
      <c r="K60" s="1">
        <v>542.67219999999998</v>
      </c>
      <c r="L60" s="9" t="s">
        <v>258</v>
      </c>
      <c r="M60" s="2">
        <v>9.6999999999999993</v>
      </c>
      <c r="N60" s="4">
        <v>4870.1499999999996</v>
      </c>
      <c r="O60" s="1">
        <v>12.776282502279154</v>
      </c>
      <c r="P60" s="6">
        <v>43.3</v>
      </c>
      <c r="Q60" s="6">
        <v>31.4</v>
      </c>
      <c r="R60" s="6">
        <v>9.8000000000000007</v>
      </c>
      <c r="S60" s="6">
        <v>11.2</v>
      </c>
      <c r="T60" s="5">
        <v>2.7E-4</v>
      </c>
      <c r="U60" s="1">
        <v>2.0799999999999999E-2</v>
      </c>
      <c r="V60" s="1">
        <v>5.8624999999999998</v>
      </c>
    </row>
    <row r="61" spans="1:22" x14ac:dyDescent="0.25">
      <c r="A61" s="1">
        <v>0.98150000000000004</v>
      </c>
      <c r="B61" s="9" t="s">
        <v>259</v>
      </c>
      <c r="C61" s="2">
        <v>3466</v>
      </c>
      <c r="D61" s="3" t="s">
        <v>260</v>
      </c>
      <c r="E61" s="9" t="s">
        <v>251</v>
      </c>
      <c r="F61" s="9" t="s">
        <v>252</v>
      </c>
      <c r="G61" s="1">
        <v>843.46069999999997</v>
      </c>
      <c r="H61" s="2">
        <v>859</v>
      </c>
      <c r="I61" s="2">
        <v>2</v>
      </c>
      <c r="J61" s="1">
        <v>843.37670000000003</v>
      </c>
      <c r="K61" s="1">
        <v>422.73759999999999</v>
      </c>
      <c r="L61" s="9" t="s">
        <v>253</v>
      </c>
      <c r="M61" s="2">
        <v>6.74</v>
      </c>
      <c r="N61" s="4">
        <v>4888</v>
      </c>
      <c r="O61" s="1">
        <v>-99.352411519580954</v>
      </c>
      <c r="P61" s="6">
        <v>34.299999999999997</v>
      </c>
      <c r="Q61" s="6">
        <v>23.8</v>
      </c>
      <c r="R61" s="6">
        <v>12.5</v>
      </c>
      <c r="S61" s="6">
        <v>13</v>
      </c>
      <c r="T61" s="5">
        <v>2.7E-2</v>
      </c>
      <c r="U61" s="1">
        <v>-8.4000000000000005E-2</v>
      </c>
      <c r="V61" s="1">
        <v>3.9590000000000001</v>
      </c>
    </row>
    <row r="62" spans="1:22" x14ac:dyDescent="0.25">
      <c r="A62" s="1">
        <v>0.98009999999999997</v>
      </c>
      <c r="B62" s="9" t="s">
        <v>261</v>
      </c>
      <c r="C62" s="2">
        <v>3467</v>
      </c>
      <c r="D62" s="3" t="s">
        <v>262</v>
      </c>
      <c r="E62" s="9" t="s">
        <v>263</v>
      </c>
      <c r="F62" s="9" t="s">
        <v>97</v>
      </c>
      <c r="G62" s="1">
        <v>1952.8785</v>
      </c>
      <c r="H62" s="2">
        <v>75</v>
      </c>
      <c r="I62" s="2">
        <v>2</v>
      </c>
      <c r="J62" s="1">
        <v>1952.873</v>
      </c>
      <c r="K62" s="1">
        <v>977.44650000000001</v>
      </c>
      <c r="L62" s="9" t="s">
        <v>98</v>
      </c>
      <c r="M62" s="2">
        <v>4.8600000000000003</v>
      </c>
      <c r="N62" s="4">
        <v>4885.82</v>
      </c>
      <c r="O62" s="1">
        <v>-2.8134532171325999</v>
      </c>
      <c r="P62" s="6">
        <v>28.7</v>
      </c>
      <c r="Q62" s="6">
        <v>20.2</v>
      </c>
      <c r="R62" s="6">
        <v>10.3</v>
      </c>
      <c r="S62" s="6">
        <v>12.1</v>
      </c>
      <c r="T62" s="5">
        <v>3.0999999999999999E-3</v>
      </c>
      <c r="U62" s="1">
        <v>-5.4999999999999997E-3</v>
      </c>
      <c r="V62" s="1">
        <v>3.6953</v>
      </c>
    </row>
    <row r="63" spans="1:22" x14ac:dyDescent="0.25">
      <c r="A63" s="1">
        <v>0.97189999999999999</v>
      </c>
      <c r="B63" s="9" t="s">
        <v>264</v>
      </c>
      <c r="C63" s="2">
        <v>3476</v>
      </c>
      <c r="D63" s="3" t="s">
        <v>265</v>
      </c>
      <c r="E63" s="9" t="s">
        <v>266</v>
      </c>
      <c r="F63" s="9" t="s">
        <v>267</v>
      </c>
      <c r="G63" s="1">
        <v>2426.1372000000001</v>
      </c>
      <c r="H63" s="2">
        <v>1051</v>
      </c>
      <c r="I63" s="2">
        <v>4</v>
      </c>
      <c r="J63" s="1">
        <v>2426.1460000000002</v>
      </c>
      <c r="K63" s="1">
        <v>607.54160000000002</v>
      </c>
      <c r="L63" s="9" t="s">
        <v>268</v>
      </c>
      <c r="M63" s="2">
        <v>8.24</v>
      </c>
      <c r="N63" s="4">
        <v>4900.47</v>
      </c>
      <c r="O63" s="1">
        <v>3.621151210057056</v>
      </c>
      <c r="P63" s="6">
        <v>29.2</v>
      </c>
      <c r="Q63" s="6">
        <v>21.6</v>
      </c>
      <c r="R63" s="6">
        <v>10.1</v>
      </c>
      <c r="S63" s="6">
        <v>9.4</v>
      </c>
      <c r="T63" s="5">
        <v>2.2000000000000001E-3</v>
      </c>
      <c r="U63" s="1">
        <v>8.8000000000000005E-3</v>
      </c>
      <c r="V63" s="1">
        <v>4.1006</v>
      </c>
    </row>
    <row r="64" spans="1:22" x14ac:dyDescent="0.25">
      <c r="A64" s="1">
        <v>0.996</v>
      </c>
      <c r="B64" s="9" t="s">
        <v>269</v>
      </c>
      <c r="C64" s="2">
        <v>3478</v>
      </c>
      <c r="D64" s="3" t="s">
        <v>270</v>
      </c>
      <c r="E64" s="9" t="s">
        <v>271</v>
      </c>
      <c r="F64" s="9" t="s">
        <v>272</v>
      </c>
      <c r="G64" s="1">
        <v>1682.8072999999999</v>
      </c>
      <c r="H64" s="2">
        <v>1052</v>
      </c>
      <c r="I64" s="2">
        <v>2</v>
      </c>
      <c r="J64" s="1">
        <v>1682.8172</v>
      </c>
      <c r="K64" s="1">
        <v>842.41089999999997</v>
      </c>
      <c r="L64" s="9" t="s">
        <v>273</v>
      </c>
      <c r="M64" s="2">
        <v>4.46</v>
      </c>
      <c r="N64" s="4">
        <v>4907.7700000000004</v>
      </c>
      <c r="O64" s="1">
        <v>5.8759923453032252</v>
      </c>
      <c r="P64" s="6">
        <v>43.6</v>
      </c>
      <c r="Q64" s="6">
        <v>27.2</v>
      </c>
      <c r="R64" s="6">
        <v>11.3</v>
      </c>
      <c r="S64" s="6">
        <v>12.2</v>
      </c>
      <c r="T64" s="5">
        <v>4.3000000000000002E-5</v>
      </c>
      <c r="U64" s="1">
        <v>9.9000000000000008E-3</v>
      </c>
      <c r="V64" s="1">
        <v>6.3079000000000001</v>
      </c>
    </row>
    <row r="65" spans="1:22" x14ac:dyDescent="0.25">
      <c r="A65" s="1">
        <v>0.99929999999999997</v>
      </c>
      <c r="B65" s="9" t="s">
        <v>274</v>
      </c>
      <c r="C65" s="2">
        <v>3480</v>
      </c>
      <c r="D65" s="3" t="s">
        <v>275</v>
      </c>
      <c r="E65" s="9" t="s">
        <v>246</v>
      </c>
      <c r="F65" s="9" t="s">
        <v>247</v>
      </c>
      <c r="G65" s="1">
        <v>1599.8226999999999</v>
      </c>
      <c r="H65" s="2">
        <v>719</v>
      </c>
      <c r="I65" s="2">
        <v>3</v>
      </c>
      <c r="J65" s="1">
        <v>1599.8444</v>
      </c>
      <c r="K65" s="1">
        <v>534.28150000000005</v>
      </c>
      <c r="L65" s="9" t="s">
        <v>248</v>
      </c>
      <c r="M65" s="2">
        <v>8.6</v>
      </c>
      <c r="N65" s="4">
        <v>4914.05</v>
      </c>
      <c r="O65" s="1">
        <v>13.53843120776844</v>
      </c>
      <c r="P65" s="6">
        <v>37.6</v>
      </c>
      <c r="Q65" s="6">
        <v>25.2</v>
      </c>
      <c r="R65" s="6">
        <v>9.6</v>
      </c>
      <c r="S65" s="6">
        <v>11.1</v>
      </c>
      <c r="T65" s="5">
        <v>8.2999999999999998E-5</v>
      </c>
      <c r="U65" s="1">
        <v>2.1700000000000001E-2</v>
      </c>
      <c r="V65" s="1">
        <v>7.5292000000000003</v>
      </c>
    </row>
    <row r="66" spans="1:22" x14ac:dyDescent="0.25">
      <c r="A66" s="1">
        <v>0.9798</v>
      </c>
      <c r="B66" s="9" t="s">
        <v>276</v>
      </c>
      <c r="C66" s="2">
        <v>3502</v>
      </c>
      <c r="D66" s="3" t="s">
        <v>250</v>
      </c>
      <c r="E66" s="9" t="s">
        <v>251</v>
      </c>
      <c r="F66" s="9" t="s">
        <v>252</v>
      </c>
      <c r="G66" s="1">
        <v>843.46069999999997</v>
      </c>
      <c r="H66" s="2">
        <v>1054</v>
      </c>
      <c r="I66" s="2">
        <v>2</v>
      </c>
      <c r="J66" s="1">
        <v>843.40599999999995</v>
      </c>
      <c r="K66" s="1">
        <v>422.73759999999999</v>
      </c>
      <c r="L66" s="9" t="s">
        <v>253</v>
      </c>
      <c r="M66" s="2">
        <v>6.74</v>
      </c>
      <c r="N66" s="4">
        <v>4951.62</v>
      </c>
      <c r="O66" s="1">
        <v>-64.697344168108074</v>
      </c>
      <c r="P66" s="6">
        <v>31.1</v>
      </c>
      <c r="Q66" s="6">
        <v>23.1</v>
      </c>
      <c r="R66" s="6">
        <v>12.7</v>
      </c>
      <c r="S66" s="6">
        <v>13.1</v>
      </c>
      <c r="T66" s="5">
        <v>4.1000000000000002E-2</v>
      </c>
      <c r="U66" s="1">
        <v>-5.4699999999999999E-2</v>
      </c>
      <c r="V66" s="1">
        <v>3.4754999999999998</v>
      </c>
    </row>
    <row r="67" spans="1:22" x14ac:dyDescent="0.25">
      <c r="A67" s="1">
        <v>0.99570000000000003</v>
      </c>
      <c r="B67" s="9" t="s">
        <v>277</v>
      </c>
      <c r="C67" s="2">
        <v>3514</v>
      </c>
      <c r="D67" s="3" t="s">
        <v>278</v>
      </c>
      <c r="E67" s="9" t="s">
        <v>271</v>
      </c>
      <c r="F67" s="9" t="s">
        <v>272</v>
      </c>
      <c r="G67" s="1">
        <v>1682.8077000000001</v>
      </c>
      <c r="H67" s="2">
        <v>861</v>
      </c>
      <c r="I67" s="2">
        <v>2</v>
      </c>
      <c r="J67" s="1">
        <v>1682.8233</v>
      </c>
      <c r="K67" s="1">
        <v>842.41110000000003</v>
      </c>
      <c r="L67" s="9" t="s">
        <v>273</v>
      </c>
      <c r="M67" s="2">
        <v>4.46</v>
      </c>
      <c r="N67" s="4">
        <v>4975.7</v>
      </c>
      <c r="O67" s="1">
        <v>9.2591372549578228</v>
      </c>
      <c r="P67" s="6">
        <v>50.7</v>
      </c>
      <c r="Q67" s="6">
        <v>31.2</v>
      </c>
      <c r="R67" s="6">
        <v>11.9</v>
      </c>
      <c r="S67" s="6">
        <v>12.9</v>
      </c>
      <c r="T67" s="5">
        <v>4.6E-5</v>
      </c>
      <c r="U67" s="1">
        <v>1.5599999999999999E-2</v>
      </c>
      <c r="V67" s="1">
        <v>6.3151999999999999</v>
      </c>
    </row>
    <row r="68" spans="1:22" x14ac:dyDescent="0.25">
      <c r="A68" s="1">
        <v>0.99790000000000001</v>
      </c>
      <c r="B68" s="9" t="s">
        <v>279</v>
      </c>
      <c r="C68" s="2">
        <v>3530</v>
      </c>
      <c r="D68" s="3" t="s">
        <v>280</v>
      </c>
      <c r="E68" s="9" t="s">
        <v>281</v>
      </c>
      <c r="F68" s="9" t="s">
        <v>282</v>
      </c>
      <c r="G68" s="1">
        <v>1468.7344000000001</v>
      </c>
      <c r="H68" s="2">
        <v>76</v>
      </c>
      <c r="I68" s="2">
        <v>2</v>
      </c>
      <c r="J68" s="1">
        <v>1468.7439999999999</v>
      </c>
      <c r="K68" s="1">
        <v>735.37450000000001</v>
      </c>
      <c r="L68" s="9" t="s">
        <v>283</v>
      </c>
      <c r="M68" s="2">
        <v>6.09</v>
      </c>
      <c r="N68" s="4">
        <v>5002.7700000000004</v>
      </c>
      <c r="O68" s="1">
        <v>6.5272864370467012</v>
      </c>
      <c r="P68" s="6">
        <v>43</v>
      </c>
      <c r="Q68" s="6">
        <v>24</v>
      </c>
      <c r="R68" s="6">
        <v>9.8000000000000007</v>
      </c>
      <c r="S68" s="6">
        <v>13.1</v>
      </c>
      <c r="T68" s="5">
        <v>2.9999999999999997E-4</v>
      </c>
      <c r="U68" s="1">
        <v>9.5999999999999992E-3</v>
      </c>
      <c r="V68" s="1">
        <v>5.9604999999999997</v>
      </c>
    </row>
    <row r="69" spans="1:22" x14ac:dyDescent="0.25">
      <c r="A69" s="1">
        <v>0.99850000000000005</v>
      </c>
      <c r="B69" s="9" t="s">
        <v>284</v>
      </c>
      <c r="C69" s="2">
        <v>3532</v>
      </c>
      <c r="D69" s="3" t="s">
        <v>285</v>
      </c>
      <c r="E69" s="9" t="s">
        <v>286</v>
      </c>
      <c r="F69" s="9" t="s">
        <v>27</v>
      </c>
      <c r="G69" s="1">
        <v>1429.7638999999999</v>
      </c>
      <c r="H69" s="2">
        <v>77</v>
      </c>
      <c r="I69" s="2">
        <v>2</v>
      </c>
      <c r="J69" s="1">
        <v>1429.7605000000001</v>
      </c>
      <c r="K69" s="1">
        <v>715.88919999999996</v>
      </c>
      <c r="L69" s="9" t="s">
        <v>28</v>
      </c>
      <c r="M69" s="2">
        <v>8.59</v>
      </c>
      <c r="N69" s="4">
        <v>5002.7700000000004</v>
      </c>
      <c r="O69" s="1">
        <v>-2.3746691527124586</v>
      </c>
      <c r="P69" s="6">
        <v>47.1</v>
      </c>
      <c r="Q69" s="6">
        <v>27.8</v>
      </c>
      <c r="R69" s="6">
        <v>9.5</v>
      </c>
      <c r="S69" s="6">
        <v>10.3</v>
      </c>
      <c r="T69" s="5">
        <v>1.2E-5</v>
      </c>
      <c r="U69" s="1">
        <v>-3.3999999999999998E-3</v>
      </c>
      <c r="V69" s="1">
        <v>7.5259999999999998</v>
      </c>
    </row>
    <row r="70" spans="1:22" x14ac:dyDescent="0.25">
      <c r="A70" s="1">
        <v>0.98809999999999998</v>
      </c>
      <c r="B70" s="9" t="s">
        <v>287</v>
      </c>
      <c r="C70" s="2">
        <v>3538</v>
      </c>
      <c r="D70" s="3" t="s">
        <v>260</v>
      </c>
      <c r="E70" s="9" t="s">
        <v>251</v>
      </c>
      <c r="F70" s="9" t="s">
        <v>252</v>
      </c>
      <c r="G70" s="1">
        <v>843.46069999999997</v>
      </c>
      <c r="H70" s="2">
        <v>863</v>
      </c>
      <c r="I70" s="2">
        <v>2</v>
      </c>
      <c r="J70" s="1">
        <v>843.40269999999998</v>
      </c>
      <c r="K70" s="1">
        <v>422.73759999999999</v>
      </c>
      <c r="L70" s="9" t="s">
        <v>253</v>
      </c>
      <c r="M70" s="2">
        <v>6.74</v>
      </c>
      <c r="N70" s="4">
        <v>5019.6099999999997</v>
      </c>
      <c r="O70" s="1">
        <v>-68.600474620663036</v>
      </c>
      <c r="P70" s="6">
        <v>34.299999999999997</v>
      </c>
      <c r="Q70" s="6">
        <v>25.1</v>
      </c>
      <c r="R70" s="6">
        <v>12.4</v>
      </c>
      <c r="S70" s="6">
        <v>13.1</v>
      </c>
      <c r="T70" s="5">
        <v>8.0000000000000002E-3</v>
      </c>
      <c r="U70" s="1">
        <v>-5.8000000000000003E-2</v>
      </c>
      <c r="V70" s="1">
        <v>4.4055999999999997</v>
      </c>
    </row>
    <row r="71" spans="1:22" x14ac:dyDescent="0.25">
      <c r="A71" s="1">
        <v>0.99970000000000003</v>
      </c>
      <c r="B71" s="9" t="s">
        <v>288</v>
      </c>
      <c r="C71" s="2">
        <v>3570</v>
      </c>
      <c r="D71" s="3" t="s">
        <v>163</v>
      </c>
      <c r="E71" s="9" t="s">
        <v>289</v>
      </c>
      <c r="F71" s="9" t="s">
        <v>290</v>
      </c>
      <c r="G71" s="1">
        <v>1831.9757</v>
      </c>
      <c r="H71" s="2">
        <v>455</v>
      </c>
      <c r="I71" s="2">
        <v>3</v>
      </c>
      <c r="J71" s="1">
        <v>1832.0034000000001</v>
      </c>
      <c r="K71" s="1">
        <v>611.66579999999999</v>
      </c>
      <c r="L71" s="9" t="s">
        <v>291</v>
      </c>
      <c r="M71" s="2">
        <v>6.17</v>
      </c>
      <c r="N71" s="4">
        <v>5075.88</v>
      </c>
      <c r="O71" s="1">
        <v>15.095389235973849</v>
      </c>
      <c r="P71" s="6">
        <v>34.6</v>
      </c>
      <c r="Q71" s="6">
        <v>20.8</v>
      </c>
      <c r="R71" s="6">
        <v>11.8</v>
      </c>
      <c r="S71" s="6">
        <v>10.5</v>
      </c>
      <c r="T71" s="5">
        <v>3.2000000000000003E-4</v>
      </c>
      <c r="U71" s="1">
        <v>2.7699999999999999E-2</v>
      </c>
      <c r="V71" s="1">
        <v>6.6333000000000002</v>
      </c>
    </row>
    <row r="72" spans="1:22" x14ac:dyDescent="0.25">
      <c r="A72" s="1">
        <v>0.97019999999999995</v>
      </c>
      <c r="B72" s="9" t="s">
        <v>292</v>
      </c>
      <c r="C72" s="2">
        <v>3575</v>
      </c>
      <c r="D72" s="3" t="s">
        <v>250</v>
      </c>
      <c r="E72" s="9" t="s">
        <v>251</v>
      </c>
      <c r="F72" s="9" t="s">
        <v>252</v>
      </c>
      <c r="G72" s="1">
        <v>843.46069999999997</v>
      </c>
      <c r="H72" s="2">
        <v>1058</v>
      </c>
      <c r="I72" s="2">
        <v>2</v>
      </c>
      <c r="J72" s="1">
        <v>843.39850000000001</v>
      </c>
      <c r="K72" s="1">
        <v>422.73759999999999</v>
      </c>
      <c r="L72" s="9" t="s">
        <v>253</v>
      </c>
      <c r="M72" s="2">
        <v>6.74</v>
      </c>
      <c r="N72" s="4">
        <v>5083.18</v>
      </c>
      <c r="O72" s="1">
        <v>-73.568095196642091</v>
      </c>
      <c r="P72" s="6">
        <v>31</v>
      </c>
      <c r="Q72" s="6">
        <v>23.8</v>
      </c>
      <c r="R72" s="6">
        <v>12.6</v>
      </c>
      <c r="S72" s="6">
        <v>13</v>
      </c>
      <c r="T72" s="5">
        <v>5.8999999999999997E-2</v>
      </c>
      <c r="U72" s="1">
        <v>-6.2199999999999998E-2</v>
      </c>
      <c r="V72" s="1">
        <v>3.1482000000000001</v>
      </c>
    </row>
    <row r="73" spans="1:22" x14ac:dyDescent="0.25">
      <c r="A73" s="1">
        <v>0.99960000000000004</v>
      </c>
      <c r="B73" s="9" t="s">
        <v>293</v>
      </c>
      <c r="C73" s="2">
        <v>3594</v>
      </c>
      <c r="D73" s="3" t="s">
        <v>46</v>
      </c>
      <c r="E73" s="9" t="s">
        <v>294</v>
      </c>
      <c r="F73" s="9" t="s">
        <v>295</v>
      </c>
      <c r="G73" s="1">
        <v>1792.8892000000001</v>
      </c>
      <c r="H73" s="2">
        <v>459</v>
      </c>
      <c r="I73" s="2">
        <v>3</v>
      </c>
      <c r="J73" s="1">
        <v>1792.8965000000001</v>
      </c>
      <c r="K73" s="1">
        <v>598.63699999999994</v>
      </c>
      <c r="L73" s="9" t="s">
        <v>296</v>
      </c>
      <c r="M73" s="2">
        <v>8.3800000000000008</v>
      </c>
      <c r="N73" s="4">
        <v>5119.93</v>
      </c>
      <c r="O73" s="1">
        <v>4.0647894021474347</v>
      </c>
      <c r="P73" s="6">
        <v>30.8</v>
      </c>
      <c r="Q73" s="6">
        <v>19.399999999999999</v>
      </c>
      <c r="R73" s="6">
        <v>11.2</v>
      </c>
      <c r="S73" s="6">
        <v>9</v>
      </c>
      <c r="T73" s="5">
        <v>9.3999999999999997E-4</v>
      </c>
      <c r="U73" s="1">
        <v>7.3000000000000001E-3</v>
      </c>
      <c r="V73" s="1">
        <v>6.1192000000000002</v>
      </c>
    </row>
    <row r="74" spans="1:22" x14ac:dyDescent="0.25">
      <c r="A74" s="1">
        <v>0.99419999999999997</v>
      </c>
      <c r="B74" s="9" t="s">
        <v>297</v>
      </c>
      <c r="C74" s="2">
        <v>3599</v>
      </c>
      <c r="D74" s="3" t="s">
        <v>298</v>
      </c>
      <c r="E74" s="9" t="s">
        <v>299</v>
      </c>
      <c r="F74" s="9" t="s">
        <v>300</v>
      </c>
      <c r="G74" s="1">
        <v>1122.5847000000001</v>
      </c>
      <c r="H74" s="2">
        <v>461</v>
      </c>
      <c r="I74" s="2">
        <v>2</v>
      </c>
      <c r="J74" s="1">
        <v>1122.5686000000001</v>
      </c>
      <c r="K74" s="1">
        <v>562.29960000000005</v>
      </c>
      <c r="L74" s="9" t="s">
        <v>91</v>
      </c>
      <c r="M74" s="2">
        <v>8.35</v>
      </c>
      <c r="N74" s="4">
        <v>5127.2299999999996</v>
      </c>
      <c r="O74" s="1">
        <v>-14.316211500061533</v>
      </c>
      <c r="P74" s="6">
        <v>40.5</v>
      </c>
      <c r="Q74" s="6">
        <v>32.799999999999997</v>
      </c>
      <c r="R74" s="6">
        <v>11.2</v>
      </c>
      <c r="S74" s="6">
        <v>12.3</v>
      </c>
      <c r="T74" s="5">
        <v>2.5999999999999999E-3</v>
      </c>
      <c r="U74" s="1">
        <v>-1.61E-2</v>
      </c>
      <c r="V74" s="1">
        <v>4.8426</v>
      </c>
    </row>
    <row r="75" spans="1:22" x14ac:dyDescent="0.25">
      <c r="A75" s="1">
        <v>0.99219999999999997</v>
      </c>
      <c r="B75" s="9" t="s">
        <v>301</v>
      </c>
      <c r="C75" s="2">
        <v>3604</v>
      </c>
      <c r="D75" s="3" t="s">
        <v>302</v>
      </c>
      <c r="E75" s="9" t="s">
        <v>303</v>
      </c>
      <c r="F75" s="9" t="s">
        <v>304</v>
      </c>
      <c r="G75" s="1">
        <v>1302.6857</v>
      </c>
      <c r="H75" s="2">
        <v>84</v>
      </c>
      <c r="I75" s="2">
        <v>2</v>
      </c>
      <c r="J75" s="1">
        <v>1302.6735000000001</v>
      </c>
      <c r="K75" s="1">
        <v>652.3501</v>
      </c>
      <c r="L75" s="9" t="s">
        <v>118</v>
      </c>
      <c r="M75" s="2">
        <v>6.22</v>
      </c>
      <c r="N75" s="4">
        <v>5134.53</v>
      </c>
      <c r="O75" s="1">
        <v>-9.3508071816038676</v>
      </c>
      <c r="P75" s="6">
        <v>35.4</v>
      </c>
      <c r="Q75" s="6">
        <v>24</v>
      </c>
      <c r="R75" s="6">
        <v>11.3</v>
      </c>
      <c r="S75" s="6">
        <v>10</v>
      </c>
      <c r="T75" s="5">
        <v>8.8999999999999999E-3</v>
      </c>
      <c r="U75" s="1">
        <v>-1.2200000000000001E-2</v>
      </c>
      <c r="V75" s="1">
        <v>4.2313999999999998</v>
      </c>
    </row>
    <row r="76" spans="1:22" x14ac:dyDescent="0.25">
      <c r="A76" s="1">
        <v>0.97860000000000003</v>
      </c>
      <c r="B76" s="9" t="s">
        <v>305</v>
      </c>
      <c r="C76" s="2">
        <v>3610</v>
      </c>
      <c r="D76" s="3" t="s">
        <v>306</v>
      </c>
      <c r="E76" s="9" t="s">
        <v>307</v>
      </c>
      <c r="F76" s="9" t="s">
        <v>308</v>
      </c>
      <c r="G76" s="1">
        <v>1068.4916000000001</v>
      </c>
      <c r="H76" s="2">
        <v>85</v>
      </c>
      <c r="I76" s="2">
        <v>2</v>
      </c>
      <c r="J76" s="1">
        <v>1068.4955</v>
      </c>
      <c r="K76" s="1">
        <v>535.25310000000002</v>
      </c>
      <c r="L76" s="9" t="s">
        <v>309</v>
      </c>
      <c r="M76" s="2">
        <v>4.71</v>
      </c>
      <c r="N76" s="4">
        <v>5149.16</v>
      </c>
      <c r="O76" s="1">
        <v>3.643136303180682</v>
      </c>
      <c r="P76" s="6">
        <v>25.6</v>
      </c>
      <c r="Q76" s="6">
        <v>19.7</v>
      </c>
      <c r="R76" s="6">
        <v>7.3</v>
      </c>
      <c r="S76" s="6">
        <v>7.5</v>
      </c>
      <c r="T76" s="5">
        <v>4.7E-2</v>
      </c>
      <c r="U76" s="1">
        <v>3.8999999999999998E-3</v>
      </c>
      <c r="V76" s="1">
        <v>3.4333999999999998</v>
      </c>
    </row>
    <row r="77" spans="1:22" x14ac:dyDescent="0.25">
      <c r="A77" s="1">
        <v>0.98760000000000003</v>
      </c>
      <c r="B77" s="9" t="s">
        <v>310</v>
      </c>
      <c r="C77" s="2">
        <v>3619</v>
      </c>
      <c r="D77" s="3" t="s">
        <v>311</v>
      </c>
      <c r="E77" s="9" t="s">
        <v>312</v>
      </c>
      <c r="F77" s="9" t="s">
        <v>313</v>
      </c>
      <c r="G77" s="1">
        <v>1494.6077</v>
      </c>
      <c r="H77" s="2">
        <v>86</v>
      </c>
      <c r="I77" s="2">
        <v>2</v>
      </c>
      <c r="J77" s="1">
        <v>1494.6304</v>
      </c>
      <c r="K77" s="1">
        <v>748.31110000000001</v>
      </c>
      <c r="L77" s="9" t="s">
        <v>314</v>
      </c>
      <c r="M77" s="2">
        <v>4.32</v>
      </c>
      <c r="N77" s="4">
        <v>5163.83</v>
      </c>
      <c r="O77" s="1">
        <v>15.167488495092483</v>
      </c>
      <c r="P77" s="6">
        <v>34.6</v>
      </c>
      <c r="Q77" s="6">
        <v>24.7</v>
      </c>
      <c r="R77" s="6">
        <v>10.199999999999999</v>
      </c>
      <c r="S77" s="6">
        <v>10.5</v>
      </c>
      <c r="T77" s="5">
        <v>6.7999999999999996E-3</v>
      </c>
      <c r="U77" s="1">
        <v>2.2700000000000001E-2</v>
      </c>
      <c r="V77" s="1">
        <v>4.0266999999999999</v>
      </c>
    </row>
    <row r="78" spans="1:22" x14ac:dyDescent="0.25">
      <c r="A78" s="1">
        <v>0.99750000000000005</v>
      </c>
      <c r="B78" s="9" t="s">
        <v>315</v>
      </c>
      <c r="C78" s="2">
        <v>3627</v>
      </c>
      <c r="D78" s="3" t="s">
        <v>316</v>
      </c>
      <c r="E78" s="9" t="s">
        <v>317</v>
      </c>
      <c r="F78" s="9" t="s">
        <v>318</v>
      </c>
      <c r="G78" s="1">
        <v>1748.9051999999999</v>
      </c>
      <c r="H78" s="2">
        <v>88</v>
      </c>
      <c r="I78" s="2">
        <v>2</v>
      </c>
      <c r="J78" s="1">
        <v>1748.9011</v>
      </c>
      <c r="K78" s="1">
        <v>875.45989999999995</v>
      </c>
      <c r="L78" s="9" t="s">
        <v>319</v>
      </c>
      <c r="M78" s="2">
        <v>6.24</v>
      </c>
      <c r="N78" s="4">
        <v>5178.4799999999996</v>
      </c>
      <c r="O78" s="1">
        <v>-2.3416263840296971</v>
      </c>
      <c r="P78" s="6">
        <v>38.700000000000003</v>
      </c>
      <c r="Q78" s="6">
        <v>21.2</v>
      </c>
      <c r="R78" s="6">
        <v>11</v>
      </c>
      <c r="S78" s="6">
        <v>10.6</v>
      </c>
      <c r="T78" s="5">
        <v>1.4999999999999999E-4</v>
      </c>
      <c r="U78" s="1">
        <v>-4.1000000000000003E-3</v>
      </c>
      <c r="V78" s="1">
        <v>6.0987999999999998</v>
      </c>
    </row>
    <row r="79" spans="1:22" x14ac:dyDescent="0.25">
      <c r="A79" s="1">
        <v>0.98609999999999998</v>
      </c>
      <c r="B79" s="9" t="s">
        <v>320</v>
      </c>
      <c r="C79" s="2">
        <v>3639</v>
      </c>
      <c r="D79" s="3" t="s">
        <v>321</v>
      </c>
      <c r="E79" s="9" t="s">
        <v>322</v>
      </c>
      <c r="F79" s="9" t="s">
        <v>323</v>
      </c>
      <c r="G79" s="1">
        <v>1582.9367</v>
      </c>
      <c r="H79" s="2">
        <v>753</v>
      </c>
      <c r="I79" s="2">
        <v>3</v>
      </c>
      <c r="J79" s="1">
        <v>1582.962</v>
      </c>
      <c r="K79" s="1">
        <v>528.65279999999996</v>
      </c>
      <c r="L79" s="9" t="s">
        <v>324</v>
      </c>
      <c r="M79" s="2">
        <v>8.5</v>
      </c>
      <c r="N79" s="4">
        <v>5204.72</v>
      </c>
      <c r="O79" s="1">
        <v>15.952499132385819</v>
      </c>
      <c r="P79" s="6">
        <v>36.799999999999997</v>
      </c>
      <c r="Q79" s="6">
        <v>29.1</v>
      </c>
      <c r="R79" s="6">
        <v>12.1</v>
      </c>
      <c r="S79" s="6">
        <v>11.8</v>
      </c>
      <c r="T79" s="5">
        <v>3.0999999999999999E-3</v>
      </c>
      <c r="U79" s="1">
        <v>2.53E-2</v>
      </c>
      <c r="V79" s="1">
        <v>4.5648</v>
      </c>
    </row>
    <row r="80" spans="1:22" x14ac:dyDescent="0.25">
      <c r="A80" s="1">
        <v>0.99299999999999999</v>
      </c>
      <c r="B80" s="9" t="s">
        <v>325</v>
      </c>
      <c r="C80" s="2">
        <v>3643</v>
      </c>
      <c r="D80" s="3" t="s">
        <v>326</v>
      </c>
      <c r="E80" s="9" t="s">
        <v>327</v>
      </c>
      <c r="F80" s="9" t="s">
        <v>328</v>
      </c>
      <c r="G80" s="1">
        <v>1317.5947000000001</v>
      </c>
      <c r="H80" s="2">
        <v>89</v>
      </c>
      <c r="I80" s="2">
        <v>2</v>
      </c>
      <c r="J80" s="1">
        <v>1317.6098999999999</v>
      </c>
      <c r="K80" s="1">
        <v>659.80460000000005</v>
      </c>
      <c r="L80" s="9" t="s">
        <v>329</v>
      </c>
      <c r="M80" s="2">
        <v>4.43</v>
      </c>
      <c r="N80" s="4">
        <v>5207.79</v>
      </c>
      <c r="O80" s="1">
        <v>11.518561707511585</v>
      </c>
      <c r="P80" s="6">
        <v>41.5</v>
      </c>
      <c r="Q80" s="6">
        <v>27.5</v>
      </c>
      <c r="R80" s="6">
        <v>9.6</v>
      </c>
      <c r="S80" s="6">
        <v>11</v>
      </c>
      <c r="T80" s="5">
        <v>7.4000000000000003E-3</v>
      </c>
      <c r="U80" s="1">
        <v>1.52E-2</v>
      </c>
      <c r="V80" s="1">
        <v>4.5892999999999997</v>
      </c>
    </row>
    <row r="81" spans="1:22" x14ac:dyDescent="0.25">
      <c r="A81" s="1">
        <v>0.99019999999999997</v>
      </c>
      <c r="B81" s="9" t="s">
        <v>330</v>
      </c>
      <c r="C81" s="2">
        <v>3654</v>
      </c>
      <c r="D81" s="3" t="s">
        <v>331</v>
      </c>
      <c r="E81" s="9" t="s">
        <v>312</v>
      </c>
      <c r="F81" s="9" t="s">
        <v>313</v>
      </c>
      <c r="G81" s="1">
        <v>1494.6077</v>
      </c>
      <c r="H81" s="2">
        <v>469</v>
      </c>
      <c r="I81" s="2">
        <v>2</v>
      </c>
      <c r="J81" s="1">
        <v>1494.6396999999999</v>
      </c>
      <c r="K81" s="1">
        <v>748.31110000000001</v>
      </c>
      <c r="L81" s="9" t="s">
        <v>314</v>
      </c>
      <c r="M81" s="2">
        <v>4.32</v>
      </c>
      <c r="N81" s="4">
        <v>5229.79</v>
      </c>
      <c r="O81" s="1">
        <v>21.381481578984996</v>
      </c>
      <c r="P81" s="6">
        <v>38.4</v>
      </c>
      <c r="Q81" s="6">
        <v>30.1</v>
      </c>
      <c r="R81" s="6">
        <v>10.3</v>
      </c>
      <c r="S81" s="6">
        <v>10.6</v>
      </c>
      <c r="T81" s="5">
        <v>1.1999999999999999E-3</v>
      </c>
      <c r="U81" s="1">
        <v>3.2000000000000001E-2</v>
      </c>
      <c r="V81" s="1">
        <v>4.5046999999999997</v>
      </c>
    </row>
    <row r="82" spans="1:22" x14ac:dyDescent="0.25">
      <c r="A82" s="1">
        <v>0.99109999999999998</v>
      </c>
      <c r="B82" s="9" t="s">
        <v>332</v>
      </c>
      <c r="C82" s="2">
        <v>3667</v>
      </c>
      <c r="D82" s="3" t="s">
        <v>333</v>
      </c>
      <c r="E82" s="9" t="s">
        <v>334</v>
      </c>
      <c r="F82" s="9" t="s">
        <v>335</v>
      </c>
      <c r="G82" s="1">
        <v>1886.9096999999999</v>
      </c>
      <c r="H82" s="2">
        <v>961</v>
      </c>
      <c r="I82" s="2">
        <v>3</v>
      </c>
      <c r="J82" s="1">
        <v>1886.9471000000001</v>
      </c>
      <c r="K82" s="1">
        <v>629.97720000000004</v>
      </c>
      <c r="L82" s="9" t="s">
        <v>336</v>
      </c>
      <c r="M82" s="2">
        <v>7.85</v>
      </c>
      <c r="N82" s="4">
        <v>5255.92</v>
      </c>
      <c r="O82" s="1">
        <v>19.789075964442311</v>
      </c>
      <c r="P82" s="6">
        <v>38.1</v>
      </c>
      <c r="Q82" s="6">
        <v>25.8</v>
      </c>
      <c r="R82" s="6">
        <v>10.8</v>
      </c>
      <c r="S82" s="6">
        <v>12.6</v>
      </c>
      <c r="T82" s="5">
        <v>2.3E-3</v>
      </c>
      <c r="U82" s="1">
        <v>3.7400000000000003E-2</v>
      </c>
      <c r="V82" s="1">
        <v>5.1727999999999996</v>
      </c>
    </row>
    <row r="83" spans="1:22" x14ac:dyDescent="0.25">
      <c r="A83" s="1">
        <v>0.99319999999999997</v>
      </c>
      <c r="B83" s="9" t="s">
        <v>337</v>
      </c>
      <c r="C83" s="2">
        <v>3690</v>
      </c>
      <c r="D83" s="3" t="s">
        <v>338</v>
      </c>
      <c r="E83" s="9" t="s">
        <v>339</v>
      </c>
      <c r="F83" s="9" t="s">
        <v>340</v>
      </c>
      <c r="G83" s="1">
        <v>1202.7097000000001</v>
      </c>
      <c r="H83" s="2">
        <v>1066</v>
      </c>
      <c r="I83" s="2">
        <v>2</v>
      </c>
      <c r="J83" s="1">
        <v>1202.7073</v>
      </c>
      <c r="K83" s="1">
        <v>602.36210000000005</v>
      </c>
      <c r="L83" s="9" t="s">
        <v>341</v>
      </c>
      <c r="M83" s="2">
        <v>9.6999999999999993</v>
      </c>
      <c r="N83" s="4">
        <v>5295.64</v>
      </c>
      <c r="O83" s="1">
        <v>-1.9921572090939981</v>
      </c>
      <c r="P83" s="6">
        <v>51.1</v>
      </c>
      <c r="Q83" s="6">
        <v>38.9</v>
      </c>
      <c r="R83" s="6">
        <v>12.1</v>
      </c>
      <c r="S83" s="6">
        <v>12.4</v>
      </c>
      <c r="T83" s="5">
        <v>3.5999999999999999E-3</v>
      </c>
      <c r="U83" s="1">
        <v>-2.3999999999999998E-3</v>
      </c>
      <c r="V83" s="1">
        <v>4.6742999999999997</v>
      </c>
    </row>
    <row r="84" spans="1:22" x14ac:dyDescent="0.25">
      <c r="A84" s="1">
        <v>0.97089999999999999</v>
      </c>
      <c r="B84" s="9" t="s">
        <v>342</v>
      </c>
      <c r="C84" s="2">
        <v>3696</v>
      </c>
      <c r="D84" s="3" t="s">
        <v>343</v>
      </c>
      <c r="E84" s="9" t="s">
        <v>344</v>
      </c>
      <c r="F84" s="9" t="s">
        <v>282</v>
      </c>
      <c r="G84" s="1">
        <v>1064.5324000000001</v>
      </c>
      <c r="H84" s="2">
        <v>1067</v>
      </c>
      <c r="I84" s="2">
        <v>2</v>
      </c>
      <c r="J84" s="1">
        <v>1064.5292999999999</v>
      </c>
      <c r="K84" s="1">
        <v>533.27350000000001</v>
      </c>
      <c r="L84" s="9" t="s">
        <v>283</v>
      </c>
      <c r="M84" s="2">
        <v>5.08</v>
      </c>
      <c r="N84" s="4">
        <v>5302.94</v>
      </c>
      <c r="O84" s="1">
        <v>-2.9065760815041437</v>
      </c>
      <c r="P84" s="6">
        <v>28.3</v>
      </c>
      <c r="Q84" s="6">
        <v>22.2</v>
      </c>
      <c r="R84" s="6">
        <v>12.2</v>
      </c>
      <c r="S84" s="6">
        <v>12.8</v>
      </c>
      <c r="T84" s="5">
        <v>4.8000000000000001E-2</v>
      </c>
      <c r="U84" s="1">
        <v>-3.0999999999999999E-3</v>
      </c>
      <c r="V84" s="1">
        <v>3.1690999999999998</v>
      </c>
    </row>
    <row r="85" spans="1:22" x14ac:dyDescent="0.25">
      <c r="A85" s="1">
        <v>0.97619999999999996</v>
      </c>
      <c r="B85" s="9" t="s">
        <v>345</v>
      </c>
      <c r="C85" s="2">
        <v>3698</v>
      </c>
      <c r="D85" s="3" t="s">
        <v>183</v>
      </c>
      <c r="E85" s="9" t="s">
        <v>346</v>
      </c>
      <c r="F85" s="9" t="s">
        <v>347</v>
      </c>
      <c r="G85" s="1">
        <v>1294.6587</v>
      </c>
      <c r="H85" s="2">
        <v>873</v>
      </c>
      <c r="I85" s="2">
        <v>2</v>
      </c>
      <c r="J85" s="1">
        <v>1294.6772000000001</v>
      </c>
      <c r="K85" s="1">
        <v>648.33659999999998</v>
      </c>
      <c r="L85" s="9" t="s">
        <v>258</v>
      </c>
      <c r="M85" s="2">
        <v>8.59</v>
      </c>
      <c r="N85" s="4">
        <v>5312.42</v>
      </c>
      <c r="O85" s="1">
        <v>14.267280298536285</v>
      </c>
      <c r="P85" s="6">
        <v>32.700000000000003</v>
      </c>
      <c r="Q85" s="6">
        <v>25.1</v>
      </c>
      <c r="R85" s="6">
        <v>11.9</v>
      </c>
      <c r="S85" s="6">
        <v>11.7</v>
      </c>
      <c r="T85" s="5">
        <v>1.4E-2</v>
      </c>
      <c r="U85" s="1">
        <v>1.8499999999999999E-2</v>
      </c>
      <c r="V85" s="1">
        <v>3.7357999999999998</v>
      </c>
    </row>
    <row r="86" spans="1:22" x14ac:dyDescent="0.25">
      <c r="A86" s="1">
        <v>0.99070000000000003</v>
      </c>
      <c r="B86" s="9" t="s">
        <v>348</v>
      </c>
      <c r="C86" s="2">
        <v>3707</v>
      </c>
      <c r="D86" s="3" t="s">
        <v>349</v>
      </c>
      <c r="E86" s="9" t="s">
        <v>350</v>
      </c>
      <c r="F86" s="9" t="s">
        <v>351</v>
      </c>
      <c r="G86" s="1">
        <v>1903.9938</v>
      </c>
      <c r="H86" s="2">
        <v>473</v>
      </c>
      <c r="I86" s="2">
        <v>3</v>
      </c>
      <c r="J86" s="1">
        <v>1904.0029999999999</v>
      </c>
      <c r="K86" s="1">
        <v>635.67190000000005</v>
      </c>
      <c r="L86" s="9" t="s">
        <v>204</v>
      </c>
      <c r="M86" s="2">
        <v>5.58</v>
      </c>
      <c r="N86" s="4">
        <v>5324.89</v>
      </c>
      <c r="O86" s="1">
        <v>4.8242916930364022</v>
      </c>
      <c r="P86" s="6">
        <v>36</v>
      </c>
      <c r="Q86" s="6">
        <v>27.8</v>
      </c>
      <c r="R86" s="6">
        <v>11.9</v>
      </c>
      <c r="S86" s="6">
        <v>14.7</v>
      </c>
      <c r="T86" s="5">
        <v>1.2999999999999999E-2</v>
      </c>
      <c r="U86" s="1">
        <v>9.1999999999999998E-3</v>
      </c>
      <c r="V86" s="1">
        <v>3.6189</v>
      </c>
    </row>
    <row r="87" spans="1:22" x14ac:dyDescent="0.25">
      <c r="A87" s="1">
        <v>0.99690000000000001</v>
      </c>
      <c r="B87" s="9" t="s">
        <v>352</v>
      </c>
      <c r="C87" s="2">
        <v>3714</v>
      </c>
      <c r="D87" s="3" t="s">
        <v>20</v>
      </c>
      <c r="E87" s="9" t="s">
        <v>353</v>
      </c>
      <c r="F87" s="9" t="s">
        <v>354</v>
      </c>
      <c r="G87" s="1">
        <v>1602.9786999999999</v>
      </c>
      <c r="H87" s="2">
        <v>475</v>
      </c>
      <c r="I87" s="2">
        <v>3</v>
      </c>
      <c r="J87" s="1">
        <v>1602.9618</v>
      </c>
      <c r="K87" s="1">
        <v>535.33349999999996</v>
      </c>
      <c r="L87" s="9" t="s">
        <v>355</v>
      </c>
      <c r="M87" s="2">
        <v>9.6999999999999993</v>
      </c>
      <c r="N87" s="4">
        <v>5339.49</v>
      </c>
      <c r="O87" s="1">
        <v>-10.523035329067456</v>
      </c>
      <c r="P87" s="6">
        <v>29.9</v>
      </c>
      <c r="Q87" s="6">
        <v>20.9</v>
      </c>
      <c r="R87" s="6">
        <v>9.4</v>
      </c>
      <c r="S87" s="6">
        <v>11.2</v>
      </c>
      <c r="T87" s="5">
        <v>1.6E-2</v>
      </c>
      <c r="U87" s="1">
        <v>-1.6899999999999998E-2</v>
      </c>
      <c r="V87" s="1">
        <v>4.1634000000000002</v>
      </c>
    </row>
    <row r="88" spans="1:22" x14ac:dyDescent="0.25">
      <c r="A88" s="1">
        <v>0.98780000000000001</v>
      </c>
      <c r="B88" s="9" t="s">
        <v>356</v>
      </c>
      <c r="C88" s="2">
        <v>3732</v>
      </c>
      <c r="D88" s="3" t="s">
        <v>302</v>
      </c>
      <c r="E88" s="9" t="s">
        <v>357</v>
      </c>
      <c r="F88" s="9" t="s">
        <v>358</v>
      </c>
      <c r="G88" s="1">
        <v>1465.7417</v>
      </c>
      <c r="H88" s="2">
        <v>476</v>
      </c>
      <c r="I88" s="2">
        <v>2</v>
      </c>
      <c r="J88" s="1">
        <v>1465.7675999999999</v>
      </c>
      <c r="K88" s="1">
        <v>733.87810000000002</v>
      </c>
      <c r="L88" s="9" t="s">
        <v>359</v>
      </c>
      <c r="M88" s="2">
        <v>8.75</v>
      </c>
      <c r="N88" s="4">
        <v>5368.75</v>
      </c>
      <c r="O88" s="1">
        <v>17.645982350474824</v>
      </c>
      <c r="P88" s="6">
        <v>32.9</v>
      </c>
      <c r="Q88" s="6">
        <v>23.7</v>
      </c>
      <c r="R88" s="6">
        <v>11.8</v>
      </c>
      <c r="S88" s="6">
        <v>10.8</v>
      </c>
      <c r="T88" s="5">
        <v>8.2000000000000007E-3</v>
      </c>
      <c r="U88" s="1">
        <v>2.5899999999999999E-2</v>
      </c>
      <c r="V88" s="1">
        <v>4.0663999999999998</v>
      </c>
    </row>
    <row r="89" spans="1:22" x14ac:dyDescent="0.25">
      <c r="A89" s="1">
        <v>0.97460000000000002</v>
      </c>
      <c r="B89" s="9" t="s">
        <v>360</v>
      </c>
      <c r="C89" s="2">
        <v>3743</v>
      </c>
      <c r="D89" s="3" t="s">
        <v>361</v>
      </c>
      <c r="E89" s="9" t="s">
        <v>362</v>
      </c>
      <c r="F89" s="9" t="s">
        <v>363</v>
      </c>
      <c r="G89" s="1">
        <v>1462.6986999999999</v>
      </c>
      <c r="H89" s="2">
        <v>1075</v>
      </c>
      <c r="I89" s="2">
        <v>2</v>
      </c>
      <c r="J89" s="1">
        <v>1462.7168999999999</v>
      </c>
      <c r="K89" s="1">
        <v>732.35659999999996</v>
      </c>
      <c r="L89" s="9" t="s">
        <v>364</v>
      </c>
      <c r="M89" s="2">
        <v>8.06</v>
      </c>
      <c r="N89" s="4">
        <v>5390.69</v>
      </c>
      <c r="O89" s="1">
        <v>12.425640732943489</v>
      </c>
      <c r="P89" s="6">
        <v>29.8</v>
      </c>
      <c r="Q89" s="6">
        <v>23.2</v>
      </c>
      <c r="R89" s="6">
        <v>7.8</v>
      </c>
      <c r="S89" s="6">
        <v>11.7</v>
      </c>
      <c r="T89" s="5">
        <v>1.7999999999999999E-2</v>
      </c>
      <c r="U89" s="1">
        <v>1.8200000000000001E-2</v>
      </c>
      <c r="V89" s="1">
        <v>3.2785000000000002</v>
      </c>
    </row>
    <row r="90" spans="1:22" x14ac:dyDescent="0.25">
      <c r="A90" s="1">
        <v>0.98440000000000005</v>
      </c>
      <c r="B90" s="9" t="s">
        <v>365</v>
      </c>
      <c r="C90" s="2">
        <v>3747</v>
      </c>
      <c r="D90" s="3" t="s">
        <v>361</v>
      </c>
      <c r="E90" s="9" t="s">
        <v>366</v>
      </c>
      <c r="F90" s="9" t="s">
        <v>143</v>
      </c>
      <c r="G90" s="1">
        <v>1521.7397000000001</v>
      </c>
      <c r="H90" s="2">
        <v>477</v>
      </c>
      <c r="I90" s="2">
        <v>2</v>
      </c>
      <c r="J90" s="1">
        <v>1521.7598</v>
      </c>
      <c r="K90" s="1">
        <v>761.87710000000004</v>
      </c>
      <c r="L90" s="9" t="s">
        <v>144</v>
      </c>
      <c r="M90" s="2">
        <v>5.51</v>
      </c>
      <c r="N90" s="4">
        <v>5398</v>
      </c>
      <c r="O90" s="1">
        <v>13.191103919516676</v>
      </c>
      <c r="P90" s="6">
        <v>32.6</v>
      </c>
      <c r="Q90" s="6">
        <v>22</v>
      </c>
      <c r="R90" s="6">
        <v>11.3</v>
      </c>
      <c r="S90" s="6">
        <v>14.4</v>
      </c>
      <c r="T90" s="5">
        <v>1.4999999999999999E-2</v>
      </c>
      <c r="U90" s="1">
        <v>2.01E-2</v>
      </c>
      <c r="V90" s="1">
        <v>3.8416000000000001</v>
      </c>
    </row>
    <row r="91" spans="1:22" x14ac:dyDescent="0.25">
      <c r="A91" s="1">
        <v>0.99790000000000001</v>
      </c>
      <c r="B91" s="9" t="s">
        <v>367</v>
      </c>
      <c r="C91" s="2">
        <v>3766</v>
      </c>
      <c r="D91" s="3" t="s">
        <v>285</v>
      </c>
      <c r="E91" s="9" t="s">
        <v>368</v>
      </c>
      <c r="F91" s="9" t="s">
        <v>203</v>
      </c>
      <c r="G91" s="1">
        <v>1496.8637000000001</v>
      </c>
      <c r="H91" s="2">
        <v>479</v>
      </c>
      <c r="I91" s="2">
        <v>2</v>
      </c>
      <c r="J91" s="1">
        <v>1496.8356000000001</v>
      </c>
      <c r="K91" s="1">
        <v>749.43910000000005</v>
      </c>
      <c r="L91" s="9" t="s">
        <v>204</v>
      </c>
      <c r="M91" s="2">
        <v>8.59</v>
      </c>
      <c r="N91" s="4">
        <v>5434.5</v>
      </c>
      <c r="O91" s="1">
        <v>-18.747353854369219</v>
      </c>
      <c r="P91" s="6">
        <v>47.8</v>
      </c>
      <c r="Q91" s="6">
        <v>28</v>
      </c>
      <c r="R91" s="6">
        <v>11.4</v>
      </c>
      <c r="S91" s="6">
        <v>12.6</v>
      </c>
      <c r="T91" s="5">
        <v>7.7999999999999999E-5</v>
      </c>
      <c r="U91" s="1">
        <v>-2.81E-2</v>
      </c>
      <c r="V91" s="1">
        <v>6.6821000000000002</v>
      </c>
    </row>
    <row r="92" spans="1:22" x14ac:dyDescent="0.25">
      <c r="A92" s="1">
        <v>0.99350000000000005</v>
      </c>
      <c r="B92" s="9" t="s">
        <v>369</v>
      </c>
      <c r="C92" s="2">
        <v>3767</v>
      </c>
      <c r="D92" s="3" t="s">
        <v>370</v>
      </c>
      <c r="E92" s="9" t="s">
        <v>371</v>
      </c>
      <c r="F92" s="9" t="s">
        <v>282</v>
      </c>
      <c r="G92" s="1">
        <v>1299.6678999999999</v>
      </c>
      <c r="H92" s="2">
        <v>1079</v>
      </c>
      <c r="I92" s="2">
        <v>2</v>
      </c>
      <c r="J92" s="1">
        <v>1299.6684</v>
      </c>
      <c r="K92" s="1">
        <v>650.84119999999996</v>
      </c>
      <c r="L92" s="9" t="s">
        <v>283</v>
      </c>
      <c r="M92" s="2">
        <v>8.23</v>
      </c>
      <c r="N92" s="4">
        <v>5434.5</v>
      </c>
      <c r="O92" s="1">
        <v>0.38411827647051239</v>
      </c>
      <c r="P92" s="6">
        <v>44.4</v>
      </c>
      <c r="Q92" s="6">
        <v>30.2</v>
      </c>
      <c r="R92" s="6">
        <v>10.5</v>
      </c>
      <c r="S92" s="6">
        <v>12.1</v>
      </c>
      <c r="T92" s="5">
        <v>2.8999999999999998E-3</v>
      </c>
      <c r="U92" s="1">
        <v>5.0000000000000001E-4</v>
      </c>
      <c r="V92" s="1">
        <v>4.7617000000000003</v>
      </c>
    </row>
    <row r="93" spans="1:22" x14ac:dyDescent="0.25">
      <c r="A93" s="1">
        <v>0.98919999999999997</v>
      </c>
      <c r="B93" s="9" t="s">
        <v>372</v>
      </c>
      <c r="C93" s="2">
        <v>3776</v>
      </c>
      <c r="D93" s="3" t="s">
        <v>373</v>
      </c>
      <c r="E93" s="9" t="s">
        <v>374</v>
      </c>
      <c r="F93" s="9" t="s">
        <v>97</v>
      </c>
      <c r="G93" s="1">
        <v>2490.0677000000001</v>
      </c>
      <c r="H93" s="2">
        <v>480</v>
      </c>
      <c r="I93" s="2">
        <v>3</v>
      </c>
      <c r="J93" s="1">
        <v>2490.08</v>
      </c>
      <c r="K93" s="1">
        <v>831.02980000000002</v>
      </c>
      <c r="L93" s="9" t="s">
        <v>98</v>
      </c>
      <c r="M93" s="2">
        <v>4.43</v>
      </c>
      <c r="N93" s="4">
        <v>5449.13</v>
      </c>
      <c r="O93" s="1">
        <v>4.9336377588384916</v>
      </c>
      <c r="P93" s="6">
        <v>23.7</v>
      </c>
      <c r="Q93" s="6">
        <v>15.4</v>
      </c>
      <c r="R93" s="6">
        <v>11.3</v>
      </c>
      <c r="S93" s="6">
        <v>10.9</v>
      </c>
      <c r="T93" s="5">
        <v>1.4E-2</v>
      </c>
      <c r="U93" s="1">
        <v>1.23E-2</v>
      </c>
      <c r="V93" s="1">
        <v>3.5135000000000001</v>
      </c>
    </row>
    <row r="94" spans="1:22" x14ac:dyDescent="0.25">
      <c r="A94" s="1">
        <v>0.98180000000000001</v>
      </c>
      <c r="B94" s="9" t="s">
        <v>375</v>
      </c>
      <c r="C94" s="2">
        <v>3782</v>
      </c>
      <c r="D94" s="3" t="s">
        <v>78</v>
      </c>
      <c r="E94" s="9" t="s">
        <v>376</v>
      </c>
      <c r="F94" s="9" t="s">
        <v>377</v>
      </c>
      <c r="G94" s="1">
        <v>1273.5971999999999</v>
      </c>
      <c r="H94" s="2">
        <v>93</v>
      </c>
      <c r="I94" s="2">
        <v>2</v>
      </c>
      <c r="J94" s="1">
        <v>1273.6025</v>
      </c>
      <c r="K94" s="1">
        <v>637.80589999999995</v>
      </c>
      <c r="L94" s="9" t="s">
        <v>378</v>
      </c>
      <c r="M94" s="2">
        <v>4.43</v>
      </c>
      <c r="N94" s="4">
        <v>5463.8</v>
      </c>
      <c r="O94" s="1">
        <v>4.1548690596935529</v>
      </c>
      <c r="P94" s="6">
        <v>39.200000000000003</v>
      </c>
      <c r="Q94" s="6">
        <v>29.4</v>
      </c>
      <c r="R94" s="6">
        <v>12.1</v>
      </c>
      <c r="S94" s="6">
        <v>11.3</v>
      </c>
      <c r="T94" s="5">
        <v>1.7999999999999999E-2</v>
      </c>
      <c r="U94" s="1">
        <v>5.3E-3</v>
      </c>
      <c r="V94" s="1">
        <v>3.6976</v>
      </c>
    </row>
    <row r="95" spans="1:22" x14ac:dyDescent="0.25">
      <c r="A95" s="1">
        <v>0.99729999999999996</v>
      </c>
      <c r="B95" s="9" t="s">
        <v>379</v>
      </c>
      <c r="C95" s="2">
        <v>3802</v>
      </c>
      <c r="D95" s="3" t="s">
        <v>285</v>
      </c>
      <c r="E95" s="9" t="s">
        <v>368</v>
      </c>
      <c r="F95" s="9" t="s">
        <v>203</v>
      </c>
      <c r="G95" s="1">
        <v>1496.8635999999999</v>
      </c>
      <c r="H95" s="2">
        <v>571</v>
      </c>
      <c r="I95" s="2">
        <v>2</v>
      </c>
      <c r="J95" s="1">
        <v>1496.8688999999999</v>
      </c>
      <c r="K95" s="1">
        <v>749.43910000000005</v>
      </c>
      <c r="L95" s="9" t="s">
        <v>204</v>
      </c>
      <c r="M95" s="2">
        <v>8.59</v>
      </c>
      <c r="N95" s="4">
        <v>5502.48</v>
      </c>
      <c r="O95" s="1">
        <v>3.5359777732440163</v>
      </c>
      <c r="P95" s="6">
        <v>48.4</v>
      </c>
      <c r="Q95" s="6">
        <v>30.1</v>
      </c>
      <c r="R95" s="6">
        <v>11.8</v>
      </c>
      <c r="S95" s="6">
        <v>13.1</v>
      </c>
      <c r="T95" s="5">
        <v>6.6000000000000005E-5</v>
      </c>
      <c r="U95" s="1">
        <v>5.3E-3</v>
      </c>
      <c r="V95" s="1">
        <v>6.5923999999999996</v>
      </c>
    </row>
    <row r="96" spans="1:22" x14ac:dyDescent="0.25">
      <c r="A96" s="1">
        <v>0.99209999999999998</v>
      </c>
      <c r="B96" s="9" t="s">
        <v>380</v>
      </c>
      <c r="C96" s="2">
        <v>3803</v>
      </c>
      <c r="D96" s="3" t="s">
        <v>370</v>
      </c>
      <c r="E96" s="9" t="s">
        <v>371</v>
      </c>
      <c r="F96" s="9" t="s">
        <v>282</v>
      </c>
      <c r="G96" s="1">
        <v>1299.6677</v>
      </c>
      <c r="H96" s="2">
        <v>877</v>
      </c>
      <c r="I96" s="2">
        <v>2</v>
      </c>
      <c r="J96" s="1">
        <v>1299.6865</v>
      </c>
      <c r="K96" s="1">
        <v>650.84109999999998</v>
      </c>
      <c r="L96" s="9" t="s">
        <v>283</v>
      </c>
      <c r="M96" s="2">
        <v>8.23</v>
      </c>
      <c r="N96" s="4">
        <v>5504.53</v>
      </c>
      <c r="O96" s="1">
        <v>14.442849414396234</v>
      </c>
      <c r="P96" s="6">
        <v>43.8</v>
      </c>
      <c r="Q96" s="6">
        <v>33</v>
      </c>
      <c r="R96" s="6">
        <v>9.8000000000000007</v>
      </c>
      <c r="S96" s="6">
        <v>11.4</v>
      </c>
      <c r="T96" s="5">
        <v>1E-3</v>
      </c>
      <c r="U96" s="1">
        <v>1.8800000000000001E-2</v>
      </c>
      <c r="V96" s="1">
        <v>4.9219999999999997</v>
      </c>
    </row>
    <row r="97" spans="1:22" x14ac:dyDescent="0.25">
      <c r="A97" s="1">
        <v>0.98899999999999999</v>
      </c>
      <c r="B97" s="9" t="s">
        <v>381</v>
      </c>
      <c r="C97" s="2">
        <v>3830</v>
      </c>
      <c r="D97" s="3" t="s">
        <v>78</v>
      </c>
      <c r="E97" s="9" t="s">
        <v>382</v>
      </c>
      <c r="F97" s="9" t="s">
        <v>335</v>
      </c>
      <c r="G97" s="1">
        <v>1336.6771000000001</v>
      </c>
      <c r="H97" s="2">
        <v>265</v>
      </c>
      <c r="I97" s="2">
        <v>2</v>
      </c>
      <c r="J97" s="1">
        <v>1336.6745000000001</v>
      </c>
      <c r="K97" s="1">
        <v>669.34580000000005</v>
      </c>
      <c r="L97" s="9" t="s">
        <v>336</v>
      </c>
      <c r="M97" s="2">
        <v>5.8</v>
      </c>
      <c r="N97" s="4">
        <v>5553.69</v>
      </c>
      <c r="O97" s="1">
        <v>-1.9421949013499447</v>
      </c>
      <c r="P97" s="6">
        <v>40.1</v>
      </c>
      <c r="Q97" s="6">
        <v>29</v>
      </c>
      <c r="R97" s="6">
        <v>11.1</v>
      </c>
      <c r="S97" s="6">
        <v>12.8</v>
      </c>
      <c r="T97" s="5">
        <v>4.1999999999999997E-3</v>
      </c>
      <c r="U97" s="1">
        <v>-2.5999999999999999E-3</v>
      </c>
      <c r="V97" s="1">
        <v>4.5694999999999997</v>
      </c>
    </row>
    <row r="98" spans="1:22" x14ac:dyDescent="0.25">
      <c r="A98" s="1">
        <v>0.98480000000000001</v>
      </c>
      <c r="B98" s="9" t="s">
        <v>383</v>
      </c>
      <c r="C98" s="2">
        <v>3842</v>
      </c>
      <c r="D98" s="3" t="s">
        <v>384</v>
      </c>
      <c r="E98" s="9" t="s">
        <v>385</v>
      </c>
      <c r="F98" s="9" t="s">
        <v>386</v>
      </c>
      <c r="G98" s="1">
        <v>1792.8887</v>
      </c>
      <c r="H98" s="2">
        <v>673</v>
      </c>
      <c r="I98" s="2">
        <v>3</v>
      </c>
      <c r="J98" s="1">
        <v>1792.9059999999999</v>
      </c>
      <c r="K98" s="1">
        <v>598.63679999999999</v>
      </c>
      <c r="L98" s="9" t="s">
        <v>387</v>
      </c>
      <c r="M98" s="2">
        <v>8.43</v>
      </c>
      <c r="N98" s="4">
        <v>5575.64</v>
      </c>
      <c r="O98" s="1">
        <v>9.6329972809333899</v>
      </c>
      <c r="P98" s="6">
        <v>38.1</v>
      </c>
      <c r="Q98" s="6">
        <v>26.2</v>
      </c>
      <c r="R98" s="6">
        <v>11.4</v>
      </c>
      <c r="S98" s="6">
        <v>9.3000000000000007</v>
      </c>
      <c r="T98" s="5">
        <v>0.01</v>
      </c>
      <c r="U98" s="1">
        <v>1.7299999999999999E-2</v>
      </c>
      <c r="V98" s="1">
        <v>4.4870000000000001</v>
      </c>
    </row>
    <row r="99" spans="1:22" x14ac:dyDescent="0.25">
      <c r="A99" s="1">
        <v>0.97740000000000005</v>
      </c>
      <c r="B99" s="9" t="s">
        <v>388</v>
      </c>
      <c r="C99" s="2">
        <v>3854</v>
      </c>
      <c r="D99" s="3" t="s">
        <v>389</v>
      </c>
      <c r="E99" s="9" t="s">
        <v>390</v>
      </c>
      <c r="F99" s="9" t="s">
        <v>391</v>
      </c>
      <c r="G99" s="1">
        <v>1827.8680999999999</v>
      </c>
      <c r="H99" s="2">
        <v>490</v>
      </c>
      <c r="I99" s="2">
        <v>2</v>
      </c>
      <c r="J99" s="1">
        <v>1827.8717999999999</v>
      </c>
      <c r="K99" s="1">
        <v>914.94129999999996</v>
      </c>
      <c r="L99" s="9" t="s">
        <v>364</v>
      </c>
      <c r="M99" s="2">
        <v>6.74</v>
      </c>
      <c r="N99" s="4">
        <v>5595.36</v>
      </c>
      <c r="O99" s="1">
        <v>2.0219876400813912</v>
      </c>
      <c r="P99" s="6">
        <v>29.3</v>
      </c>
      <c r="Q99" s="6">
        <v>21.6</v>
      </c>
      <c r="R99" s="6">
        <v>9.9</v>
      </c>
      <c r="S99" s="6">
        <v>11.8</v>
      </c>
      <c r="T99" s="5">
        <v>7.1000000000000004E-3</v>
      </c>
      <c r="U99" s="1">
        <v>3.7000000000000002E-3</v>
      </c>
      <c r="V99" s="1">
        <v>3.5295999999999998</v>
      </c>
    </row>
    <row r="100" spans="1:22" x14ac:dyDescent="0.25">
      <c r="A100" s="1">
        <v>0.99770000000000003</v>
      </c>
      <c r="B100" s="9" t="s">
        <v>392</v>
      </c>
      <c r="C100" s="2">
        <v>3866</v>
      </c>
      <c r="D100" s="3" t="s">
        <v>78</v>
      </c>
      <c r="E100" s="9" t="s">
        <v>382</v>
      </c>
      <c r="F100" s="9" t="s">
        <v>335</v>
      </c>
      <c r="G100" s="1">
        <v>1336.6771000000001</v>
      </c>
      <c r="H100" s="2">
        <v>99</v>
      </c>
      <c r="I100" s="2">
        <v>2</v>
      </c>
      <c r="J100" s="1">
        <v>1336.6850999999999</v>
      </c>
      <c r="K100" s="1">
        <v>669.34580000000005</v>
      </c>
      <c r="L100" s="9" t="s">
        <v>336</v>
      </c>
      <c r="M100" s="2">
        <v>5.8</v>
      </c>
      <c r="N100" s="4">
        <v>5617.36</v>
      </c>
      <c r="O100" s="1">
        <v>5.9759843118459841</v>
      </c>
      <c r="P100" s="6">
        <v>40.1</v>
      </c>
      <c r="Q100" s="6">
        <v>24.6</v>
      </c>
      <c r="R100" s="6">
        <v>11.1</v>
      </c>
      <c r="S100" s="6">
        <v>12.8</v>
      </c>
      <c r="T100" s="5">
        <v>4.0999999999999999E-4</v>
      </c>
      <c r="U100" s="1">
        <v>8.0000000000000002E-3</v>
      </c>
      <c r="V100" s="1">
        <v>6.3018999999999998</v>
      </c>
    </row>
    <row r="101" spans="1:22" x14ac:dyDescent="0.25">
      <c r="A101" s="1">
        <v>0.99719999999999998</v>
      </c>
      <c r="B101" s="9" t="s">
        <v>393</v>
      </c>
      <c r="C101" s="2">
        <v>3874</v>
      </c>
      <c r="D101" s="3" t="s">
        <v>93</v>
      </c>
      <c r="E101" s="9" t="s">
        <v>394</v>
      </c>
      <c r="F101" s="9" t="s">
        <v>203</v>
      </c>
      <c r="G101" s="1">
        <v>1382.8207</v>
      </c>
      <c r="H101" s="2">
        <v>101</v>
      </c>
      <c r="I101" s="2">
        <v>2</v>
      </c>
      <c r="J101" s="1">
        <v>1382.8169</v>
      </c>
      <c r="K101" s="1">
        <v>692.41759999999999</v>
      </c>
      <c r="L101" s="9" t="s">
        <v>204</v>
      </c>
      <c r="M101" s="2">
        <v>8.59</v>
      </c>
      <c r="N101" s="4">
        <v>5631.96</v>
      </c>
      <c r="O101" s="1">
        <v>-2.744008817800125</v>
      </c>
      <c r="P101" s="6">
        <v>52.2</v>
      </c>
      <c r="Q101" s="6">
        <v>33.700000000000003</v>
      </c>
      <c r="R101" s="6">
        <v>11.9</v>
      </c>
      <c r="S101" s="6">
        <v>12.6</v>
      </c>
      <c r="T101" s="5">
        <v>1E-3</v>
      </c>
      <c r="U101" s="1">
        <v>-3.8E-3</v>
      </c>
      <c r="V101" s="1">
        <v>5.4420999999999999</v>
      </c>
    </row>
    <row r="102" spans="1:22" x14ac:dyDescent="0.25">
      <c r="A102" s="1">
        <v>0.99650000000000005</v>
      </c>
      <c r="B102" s="9" t="s">
        <v>395</v>
      </c>
      <c r="C102" s="2">
        <v>3879</v>
      </c>
      <c r="D102" s="3" t="s">
        <v>396</v>
      </c>
      <c r="E102" s="9" t="s">
        <v>397</v>
      </c>
      <c r="F102" s="9" t="s">
        <v>398</v>
      </c>
      <c r="G102" s="1">
        <v>1165.5626999999999</v>
      </c>
      <c r="H102" s="2">
        <v>267</v>
      </c>
      <c r="I102" s="2">
        <v>2</v>
      </c>
      <c r="J102" s="1">
        <v>1165.5745999999999</v>
      </c>
      <c r="K102" s="1">
        <v>583.78859999999997</v>
      </c>
      <c r="L102" s="9" t="s">
        <v>399</v>
      </c>
      <c r="M102" s="2">
        <v>6.02</v>
      </c>
      <c r="N102" s="4">
        <v>5643.49</v>
      </c>
      <c r="O102" s="1">
        <v>10.192045545253883</v>
      </c>
      <c r="P102" s="6">
        <v>41.6</v>
      </c>
      <c r="Q102" s="6">
        <v>26.7</v>
      </c>
      <c r="R102" s="6">
        <v>10.6</v>
      </c>
      <c r="S102" s="6">
        <v>10.4</v>
      </c>
      <c r="T102" s="5">
        <v>1.1999999999999999E-3</v>
      </c>
      <c r="U102" s="1">
        <v>1.1900000000000001E-2</v>
      </c>
      <c r="V102" s="1">
        <v>5.8971999999999998</v>
      </c>
    </row>
    <row r="103" spans="1:22" x14ac:dyDescent="0.25">
      <c r="A103" s="1">
        <v>0.99660000000000004</v>
      </c>
      <c r="B103" s="9" t="s">
        <v>400</v>
      </c>
      <c r="C103" s="2">
        <v>3880</v>
      </c>
      <c r="D103" s="3" t="s">
        <v>105</v>
      </c>
      <c r="E103" s="9" t="s">
        <v>401</v>
      </c>
      <c r="F103" s="9" t="s">
        <v>117</v>
      </c>
      <c r="G103" s="1">
        <v>1625.9426000000001</v>
      </c>
      <c r="H103" s="2">
        <v>784</v>
      </c>
      <c r="I103" s="2">
        <v>2</v>
      </c>
      <c r="J103" s="1">
        <v>1625.9429</v>
      </c>
      <c r="K103" s="1">
        <v>813.97860000000003</v>
      </c>
      <c r="L103" s="9" t="s">
        <v>118</v>
      </c>
      <c r="M103" s="2">
        <v>8.59</v>
      </c>
      <c r="N103" s="4">
        <v>5645.54</v>
      </c>
      <c r="O103" s="1">
        <v>0.18428002898356294</v>
      </c>
      <c r="P103" s="6">
        <v>47.5</v>
      </c>
      <c r="Q103" s="6">
        <v>29.3</v>
      </c>
      <c r="R103" s="6">
        <v>11.6</v>
      </c>
      <c r="S103" s="6">
        <v>11.8</v>
      </c>
      <c r="T103" s="5">
        <v>8.7999999999999998E-5</v>
      </c>
      <c r="U103" s="1">
        <v>2.9999999999999997E-4</v>
      </c>
      <c r="V103" s="1">
        <v>6.0316000000000001</v>
      </c>
    </row>
    <row r="104" spans="1:22" x14ac:dyDescent="0.25">
      <c r="A104" s="1">
        <v>0.98780000000000001</v>
      </c>
      <c r="B104" s="9" t="s">
        <v>402</v>
      </c>
      <c r="C104" s="2">
        <v>3882</v>
      </c>
      <c r="D104" s="3" t="s">
        <v>178</v>
      </c>
      <c r="E104" s="9" t="s">
        <v>403</v>
      </c>
      <c r="F104" s="9" t="s">
        <v>404</v>
      </c>
      <c r="G104" s="1">
        <v>1487.8017</v>
      </c>
      <c r="H104" s="2">
        <v>268</v>
      </c>
      <c r="I104" s="2">
        <v>2</v>
      </c>
      <c r="J104" s="1">
        <v>1487.7985000000001</v>
      </c>
      <c r="K104" s="1">
        <v>744.90809999999999</v>
      </c>
      <c r="L104" s="9" t="s">
        <v>405</v>
      </c>
      <c r="M104" s="2">
        <v>6.25</v>
      </c>
      <c r="N104" s="4">
        <v>5648.74</v>
      </c>
      <c r="O104" s="1">
        <v>-2.1479159643988299</v>
      </c>
      <c r="P104" s="6">
        <v>38.4</v>
      </c>
      <c r="Q104" s="6">
        <v>24.9</v>
      </c>
      <c r="R104" s="6">
        <v>11.2</v>
      </c>
      <c r="S104" s="6">
        <v>10.6</v>
      </c>
      <c r="T104" s="5">
        <v>3.5999999999999999E-3</v>
      </c>
      <c r="U104" s="1">
        <v>-3.2000000000000002E-3</v>
      </c>
      <c r="V104" s="1">
        <v>4.4570999999999996</v>
      </c>
    </row>
    <row r="105" spans="1:22" x14ac:dyDescent="0.25">
      <c r="A105" s="1">
        <v>0.97829999999999995</v>
      </c>
      <c r="B105" s="9" t="s">
        <v>406</v>
      </c>
      <c r="C105" s="2">
        <v>3888</v>
      </c>
      <c r="D105" s="3" t="s">
        <v>178</v>
      </c>
      <c r="E105" s="9" t="s">
        <v>407</v>
      </c>
      <c r="F105" s="9" t="s">
        <v>290</v>
      </c>
      <c r="G105" s="1">
        <v>1645.8597</v>
      </c>
      <c r="H105" s="2">
        <v>270</v>
      </c>
      <c r="I105" s="2">
        <v>2</v>
      </c>
      <c r="J105" s="1">
        <v>1645.8734999999999</v>
      </c>
      <c r="K105" s="1">
        <v>823.93709999999999</v>
      </c>
      <c r="L105" s="9" t="s">
        <v>291</v>
      </c>
      <c r="M105" s="2">
        <v>4.8499999999999996</v>
      </c>
      <c r="N105" s="4">
        <v>5660.19</v>
      </c>
      <c r="O105" s="1">
        <v>8.3744256691439176</v>
      </c>
      <c r="P105" s="6">
        <v>39.200000000000003</v>
      </c>
      <c r="Q105" s="6">
        <v>32.700000000000003</v>
      </c>
      <c r="R105" s="6">
        <v>10.199999999999999</v>
      </c>
      <c r="S105" s="6">
        <v>10.199999999999999</v>
      </c>
      <c r="T105" s="5">
        <v>1.9E-3</v>
      </c>
      <c r="U105" s="1">
        <v>1.38E-2</v>
      </c>
      <c r="V105" s="1">
        <v>3.9163999999999999</v>
      </c>
    </row>
    <row r="106" spans="1:22" x14ac:dyDescent="0.25">
      <c r="A106" s="1">
        <v>0.998</v>
      </c>
      <c r="B106" s="9" t="s">
        <v>408</v>
      </c>
      <c r="C106" s="2">
        <v>3898</v>
      </c>
      <c r="D106" s="3" t="s">
        <v>409</v>
      </c>
      <c r="E106" s="9" t="s">
        <v>410</v>
      </c>
      <c r="F106" s="9" t="s">
        <v>411</v>
      </c>
      <c r="G106" s="1">
        <v>2150.0286999999998</v>
      </c>
      <c r="H106" s="2">
        <v>967</v>
      </c>
      <c r="I106" s="2">
        <v>3</v>
      </c>
      <c r="J106" s="1">
        <v>2150.0535</v>
      </c>
      <c r="K106" s="1">
        <v>717.68349999999998</v>
      </c>
      <c r="L106" s="9" t="s">
        <v>412</v>
      </c>
      <c r="M106" s="2">
        <v>5.95</v>
      </c>
      <c r="N106" s="4">
        <v>5678.04</v>
      </c>
      <c r="O106" s="1">
        <v>11.518540786665245</v>
      </c>
      <c r="P106" s="6">
        <v>48.9</v>
      </c>
      <c r="Q106" s="6">
        <v>28.6</v>
      </c>
      <c r="R106" s="6">
        <v>12.9</v>
      </c>
      <c r="S106" s="6">
        <v>9.8000000000000007</v>
      </c>
      <c r="T106" s="5">
        <v>2.7000000000000001E-7</v>
      </c>
      <c r="U106" s="1">
        <v>2.4799999999999999E-2</v>
      </c>
      <c r="V106" s="1">
        <v>8.8206000000000007</v>
      </c>
    </row>
    <row r="107" spans="1:22" x14ac:dyDescent="0.25">
      <c r="A107" s="1">
        <v>0.98740000000000006</v>
      </c>
      <c r="B107" s="9" t="s">
        <v>413</v>
      </c>
      <c r="C107" s="2">
        <v>3906</v>
      </c>
      <c r="D107" s="3" t="s">
        <v>141</v>
      </c>
      <c r="E107" s="9" t="s">
        <v>414</v>
      </c>
      <c r="F107" s="9" t="s">
        <v>415</v>
      </c>
      <c r="G107" s="1">
        <v>1348.7424000000001</v>
      </c>
      <c r="H107" s="2">
        <v>686</v>
      </c>
      <c r="I107" s="2">
        <v>2</v>
      </c>
      <c r="J107" s="1">
        <v>1348.7381</v>
      </c>
      <c r="K107" s="1">
        <v>675.37850000000003</v>
      </c>
      <c r="L107" s="9" t="s">
        <v>416</v>
      </c>
      <c r="M107" s="2">
        <v>8.59</v>
      </c>
      <c r="N107" s="4">
        <v>5692.74</v>
      </c>
      <c r="O107" s="1">
        <v>-3.1834001230421163</v>
      </c>
      <c r="P107" s="6">
        <v>49.4</v>
      </c>
      <c r="Q107" s="6">
        <v>33.6</v>
      </c>
      <c r="R107" s="6">
        <v>11.4</v>
      </c>
      <c r="S107" s="6">
        <v>12.8</v>
      </c>
      <c r="T107" s="5">
        <v>6.4999999999999997E-3</v>
      </c>
      <c r="U107" s="1">
        <v>-4.3E-3</v>
      </c>
      <c r="V107" s="1">
        <v>4.3723999999999998</v>
      </c>
    </row>
    <row r="108" spans="1:22" x14ac:dyDescent="0.25">
      <c r="A108" s="1">
        <v>0.99219999999999997</v>
      </c>
      <c r="B108" s="9" t="s">
        <v>417</v>
      </c>
      <c r="C108" s="2">
        <v>3910</v>
      </c>
      <c r="D108" s="3" t="s">
        <v>141</v>
      </c>
      <c r="E108" s="9" t="s">
        <v>394</v>
      </c>
      <c r="F108" s="9" t="s">
        <v>203</v>
      </c>
      <c r="G108" s="1">
        <v>1382.8207</v>
      </c>
      <c r="H108" s="2">
        <v>103</v>
      </c>
      <c r="I108" s="2">
        <v>2</v>
      </c>
      <c r="J108" s="1">
        <v>1382.8279</v>
      </c>
      <c r="K108" s="1">
        <v>692.41759999999999</v>
      </c>
      <c r="L108" s="9" t="s">
        <v>204</v>
      </c>
      <c r="M108" s="2">
        <v>8.59</v>
      </c>
      <c r="N108" s="4">
        <v>5697.86</v>
      </c>
      <c r="O108" s="1">
        <v>5.1991746021476057</v>
      </c>
      <c r="P108" s="6">
        <v>48.1</v>
      </c>
      <c r="Q108" s="6">
        <v>33.6</v>
      </c>
      <c r="R108" s="6">
        <v>11.9</v>
      </c>
      <c r="S108" s="6">
        <v>12.7</v>
      </c>
      <c r="T108" s="5">
        <v>7.3000000000000001E-3</v>
      </c>
      <c r="U108" s="1">
        <v>7.1999999999999998E-3</v>
      </c>
      <c r="V108" s="1">
        <v>4.2276999999999996</v>
      </c>
    </row>
    <row r="109" spans="1:22" x14ac:dyDescent="0.25">
      <c r="A109" s="1">
        <v>0.99360000000000004</v>
      </c>
      <c r="B109" s="9" t="s">
        <v>418</v>
      </c>
      <c r="C109" s="2">
        <v>3915</v>
      </c>
      <c r="D109" s="3" t="s">
        <v>146</v>
      </c>
      <c r="E109" s="9" t="s">
        <v>419</v>
      </c>
      <c r="F109" s="9" t="s">
        <v>420</v>
      </c>
      <c r="G109" s="1">
        <v>1340.6107</v>
      </c>
      <c r="H109" s="2">
        <v>727</v>
      </c>
      <c r="I109" s="2">
        <v>2</v>
      </c>
      <c r="J109" s="1">
        <v>1340.6205</v>
      </c>
      <c r="K109" s="1">
        <v>671.31259999999997</v>
      </c>
      <c r="L109" s="9" t="s">
        <v>421</v>
      </c>
      <c r="M109" s="2">
        <v>4.71</v>
      </c>
      <c r="N109" s="4">
        <v>5709.39</v>
      </c>
      <c r="O109" s="1">
        <v>7.29913307153776</v>
      </c>
      <c r="P109" s="6">
        <v>42.6</v>
      </c>
      <c r="Q109" s="6">
        <v>27.4</v>
      </c>
      <c r="R109" s="6">
        <v>12.1</v>
      </c>
      <c r="S109" s="6">
        <v>11.9</v>
      </c>
      <c r="T109" s="5">
        <v>1.6999999999999999E-3</v>
      </c>
      <c r="U109" s="1">
        <v>9.7999999999999997E-3</v>
      </c>
      <c r="V109" s="1">
        <v>5.1977000000000002</v>
      </c>
    </row>
    <row r="110" spans="1:22" x14ac:dyDescent="0.25">
      <c r="A110" s="1">
        <v>0.98960000000000004</v>
      </c>
      <c r="B110" s="9" t="s">
        <v>422</v>
      </c>
      <c r="C110" s="2">
        <v>3922</v>
      </c>
      <c r="D110" s="3" t="s">
        <v>423</v>
      </c>
      <c r="E110" s="9" t="s">
        <v>407</v>
      </c>
      <c r="F110" s="9" t="s">
        <v>290</v>
      </c>
      <c r="G110" s="1">
        <v>1645.8596</v>
      </c>
      <c r="H110" s="2">
        <v>678</v>
      </c>
      <c r="I110" s="2">
        <v>2</v>
      </c>
      <c r="J110" s="1">
        <v>1645.8648000000001</v>
      </c>
      <c r="K110" s="1">
        <v>823.93709999999999</v>
      </c>
      <c r="L110" s="9" t="s">
        <v>291</v>
      </c>
      <c r="M110" s="2">
        <v>4.8499999999999996</v>
      </c>
      <c r="N110" s="4">
        <v>5721.94</v>
      </c>
      <c r="O110" s="1">
        <v>3.1555806869237952</v>
      </c>
      <c r="P110" s="6">
        <v>34.299999999999997</v>
      </c>
      <c r="Q110" s="6">
        <v>22.2</v>
      </c>
      <c r="R110" s="6">
        <v>10.1</v>
      </c>
      <c r="S110" s="6">
        <v>9.8000000000000007</v>
      </c>
      <c r="T110" s="5">
        <v>2.3999999999999998E-3</v>
      </c>
      <c r="U110" s="1">
        <v>5.1999999999999998E-3</v>
      </c>
      <c r="V110" s="1">
        <v>4.6422999999999996</v>
      </c>
    </row>
    <row r="111" spans="1:22" x14ac:dyDescent="0.25">
      <c r="A111" s="1">
        <v>0.98129999999999995</v>
      </c>
      <c r="B111" s="9" t="s">
        <v>424</v>
      </c>
      <c r="C111" s="2">
        <v>3923</v>
      </c>
      <c r="D111" s="3" t="s">
        <v>425</v>
      </c>
      <c r="E111" s="9" t="s">
        <v>426</v>
      </c>
      <c r="F111" s="9" t="s">
        <v>427</v>
      </c>
      <c r="G111" s="1">
        <v>1342.6989000000001</v>
      </c>
      <c r="H111" s="2">
        <v>880</v>
      </c>
      <c r="I111" s="2">
        <v>2</v>
      </c>
      <c r="J111" s="1">
        <v>1342.6931999999999</v>
      </c>
      <c r="K111" s="1">
        <v>672.35670000000005</v>
      </c>
      <c r="L111" s="9" t="s">
        <v>428</v>
      </c>
      <c r="M111" s="2">
        <v>5.83</v>
      </c>
      <c r="N111" s="4">
        <v>5723.99</v>
      </c>
      <c r="O111" s="1">
        <v>-4.238821447008708</v>
      </c>
      <c r="P111" s="6">
        <v>37.1</v>
      </c>
      <c r="Q111" s="6">
        <v>26.4</v>
      </c>
      <c r="R111" s="6">
        <v>12.1</v>
      </c>
      <c r="S111" s="6">
        <v>12.7</v>
      </c>
      <c r="T111" s="5">
        <v>8.2000000000000007E-3</v>
      </c>
      <c r="U111" s="1">
        <v>-5.7000000000000002E-3</v>
      </c>
      <c r="V111" s="1">
        <v>3.9508000000000001</v>
      </c>
    </row>
    <row r="112" spans="1:22" x14ac:dyDescent="0.25">
      <c r="A112" s="1">
        <v>0.99780000000000002</v>
      </c>
      <c r="B112" s="9" t="s">
        <v>429</v>
      </c>
      <c r="C112" s="2">
        <v>3926</v>
      </c>
      <c r="D112" s="3" t="s">
        <v>430</v>
      </c>
      <c r="E112" s="9" t="s">
        <v>431</v>
      </c>
      <c r="F112" s="9" t="s">
        <v>432</v>
      </c>
      <c r="G112" s="1">
        <v>2374.0387000000001</v>
      </c>
      <c r="H112" s="2">
        <v>493</v>
      </c>
      <c r="I112" s="2">
        <v>3</v>
      </c>
      <c r="J112" s="1">
        <v>2374.0722000000001</v>
      </c>
      <c r="K112" s="1">
        <v>792.35350000000005</v>
      </c>
      <c r="L112" s="9" t="s">
        <v>433</v>
      </c>
      <c r="M112" s="2">
        <v>5.97</v>
      </c>
      <c r="N112" s="4">
        <v>5727.09</v>
      </c>
      <c r="O112" s="1">
        <v>14.093036336264895</v>
      </c>
      <c r="P112" s="6">
        <v>28.4</v>
      </c>
      <c r="Q112" s="6">
        <v>22.6</v>
      </c>
      <c r="R112" s="6">
        <v>10.4</v>
      </c>
      <c r="S112" s="6">
        <v>10.1</v>
      </c>
      <c r="T112" s="5">
        <v>4.8999999999999998E-4</v>
      </c>
      <c r="U112" s="1">
        <v>3.3500000000000002E-2</v>
      </c>
      <c r="V112" s="1">
        <v>4.4173999999999998</v>
      </c>
    </row>
    <row r="113" spans="1:22" x14ac:dyDescent="0.25">
      <c r="A113" s="1">
        <v>0.99670000000000003</v>
      </c>
      <c r="B113" s="9" t="s">
        <v>434</v>
      </c>
      <c r="C113" s="2">
        <v>3954</v>
      </c>
      <c r="D113" s="3" t="s">
        <v>220</v>
      </c>
      <c r="E113" s="9" t="s">
        <v>435</v>
      </c>
      <c r="F113" s="9" t="s">
        <v>436</v>
      </c>
      <c r="G113" s="1">
        <v>1387.7632000000001</v>
      </c>
      <c r="H113" s="2">
        <v>105</v>
      </c>
      <c r="I113" s="2">
        <v>2</v>
      </c>
      <c r="J113" s="1">
        <v>1387.7566999999999</v>
      </c>
      <c r="K113" s="1">
        <v>694.88890000000004</v>
      </c>
      <c r="L113" s="9" t="s">
        <v>181</v>
      </c>
      <c r="M113" s="2">
        <v>4.8499999999999996</v>
      </c>
      <c r="N113" s="4">
        <v>5778.45</v>
      </c>
      <c r="O113" s="1">
        <v>-4.677006640917706</v>
      </c>
      <c r="P113" s="6">
        <v>58.3</v>
      </c>
      <c r="Q113" s="6">
        <v>35.4</v>
      </c>
      <c r="R113" s="6">
        <v>11.5</v>
      </c>
      <c r="S113" s="6">
        <v>12.1</v>
      </c>
      <c r="T113" s="5">
        <v>1.1000000000000001E-3</v>
      </c>
      <c r="U113" s="1">
        <v>-6.4999999999999997E-3</v>
      </c>
      <c r="V113" s="1">
        <v>5.5814000000000004</v>
      </c>
    </row>
    <row r="114" spans="1:22" x14ac:dyDescent="0.25">
      <c r="A114" s="1">
        <v>0.98509999999999998</v>
      </c>
      <c r="B114" s="9" t="s">
        <v>437</v>
      </c>
      <c r="C114" s="2">
        <v>3960</v>
      </c>
      <c r="D114" s="3" t="s">
        <v>425</v>
      </c>
      <c r="E114" s="9" t="s">
        <v>438</v>
      </c>
      <c r="F114" s="9" t="s">
        <v>439</v>
      </c>
      <c r="G114" s="1">
        <v>1462.7675999999999</v>
      </c>
      <c r="H114" s="2">
        <v>1087</v>
      </c>
      <c r="I114" s="2">
        <v>2</v>
      </c>
      <c r="J114" s="1">
        <v>1462.7754</v>
      </c>
      <c r="K114" s="1">
        <v>732.39110000000005</v>
      </c>
      <c r="L114" s="9" t="s">
        <v>440</v>
      </c>
      <c r="M114" s="2">
        <v>9.99</v>
      </c>
      <c r="N114" s="4">
        <v>5785.77</v>
      </c>
      <c r="O114" s="1">
        <v>5.3250237475578279</v>
      </c>
      <c r="P114" s="6">
        <v>32.9</v>
      </c>
      <c r="Q114" s="6">
        <v>23.3</v>
      </c>
      <c r="R114" s="6">
        <v>11.5</v>
      </c>
      <c r="S114" s="6">
        <v>11.2</v>
      </c>
      <c r="T114" s="5">
        <v>1.2999999999999999E-2</v>
      </c>
      <c r="U114" s="1">
        <v>7.7999999999999996E-3</v>
      </c>
      <c r="V114" s="1">
        <v>3.7536</v>
      </c>
    </row>
    <row r="115" spans="1:22" x14ac:dyDescent="0.25">
      <c r="A115" s="1">
        <v>0.98809999999999998</v>
      </c>
      <c r="B115" s="9" t="s">
        <v>441</v>
      </c>
      <c r="C115" s="2">
        <v>3962</v>
      </c>
      <c r="D115" s="3" t="s">
        <v>425</v>
      </c>
      <c r="E115" s="9" t="s">
        <v>442</v>
      </c>
      <c r="F115" s="9" t="s">
        <v>267</v>
      </c>
      <c r="G115" s="1">
        <v>1369.7275</v>
      </c>
      <c r="H115" s="2">
        <v>107</v>
      </c>
      <c r="I115" s="2">
        <v>2</v>
      </c>
      <c r="J115" s="1">
        <v>1369.7347</v>
      </c>
      <c r="K115" s="1">
        <v>685.87099999999998</v>
      </c>
      <c r="L115" s="9" t="s">
        <v>268</v>
      </c>
      <c r="M115" s="2">
        <v>6.22</v>
      </c>
      <c r="N115" s="4">
        <v>5793.07</v>
      </c>
      <c r="O115" s="1">
        <v>5.2488004304016354</v>
      </c>
      <c r="P115" s="6">
        <v>34.6</v>
      </c>
      <c r="Q115" s="6">
        <v>24.9</v>
      </c>
      <c r="R115" s="6">
        <v>12.1</v>
      </c>
      <c r="S115" s="6">
        <v>11.6</v>
      </c>
      <c r="T115" s="5">
        <v>9.5999999999999992E-3</v>
      </c>
      <c r="U115" s="1">
        <v>7.1999999999999998E-3</v>
      </c>
      <c r="V115" s="1">
        <v>3.8408000000000002</v>
      </c>
    </row>
    <row r="116" spans="1:22" x14ac:dyDescent="0.25">
      <c r="A116" s="1">
        <v>0.97909999999999997</v>
      </c>
      <c r="B116" s="9" t="s">
        <v>443</v>
      </c>
      <c r="C116" s="2">
        <v>3982</v>
      </c>
      <c r="D116" s="3" t="s">
        <v>361</v>
      </c>
      <c r="E116" s="9" t="s">
        <v>444</v>
      </c>
      <c r="F116" s="9" t="s">
        <v>445</v>
      </c>
      <c r="G116" s="1">
        <v>1504.7669000000001</v>
      </c>
      <c r="H116" s="2">
        <v>111</v>
      </c>
      <c r="I116" s="2">
        <v>2</v>
      </c>
      <c r="J116" s="1">
        <v>1504.7684999999999</v>
      </c>
      <c r="K116" s="1">
        <v>753.39070000000004</v>
      </c>
      <c r="L116" s="9" t="s">
        <v>446</v>
      </c>
      <c r="M116" s="2">
        <v>6.14</v>
      </c>
      <c r="N116" s="4">
        <v>5829.67</v>
      </c>
      <c r="O116" s="1">
        <v>1.0618660410859861</v>
      </c>
      <c r="P116" s="6">
        <v>31.4</v>
      </c>
      <c r="Q116" s="6">
        <v>24.3</v>
      </c>
      <c r="R116" s="6">
        <v>10.7</v>
      </c>
      <c r="S116" s="6">
        <v>10.4</v>
      </c>
      <c r="T116" s="5">
        <v>9.7999999999999997E-3</v>
      </c>
      <c r="U116" s="1">
        <v>1.6000000000000001E-3</v>
      </c>
      <c r="V116" s="1">
        <v>3.5807000000000002</v>
      </c>
    </row>
    <row r="117" spans="1:22" x14ac:dyDescent="0.25">
      <c r="A117" s="1">
        <v>0.98099999999999998</v>
      </c>
      <c r="B117" s="9" t="s">
        <v>447</v>
      </c>
      <c r="C117" s="2">
        <v>3991</v>
      </c>
      <c r="D117" s="3" t="s">
        <v>146</v>
      </c>
      <c r="E117" s="9" t="s">
        <v>448</v>
      </c>
      <c r="F117" s="9" t="s">
        <v>122</v>
      </c>
      <c r="G117" s="1">
        <v>1295.7887000000001</v>
      </c>
      <c r="H117" s="2">
        <v>500</v>
      </c>
      <c r="I117" s="2">
        <v>2</v>
      </c>
      <c r="J117" s="1">
        <v>1295.7928999999999</v>
      </c>
      <c r="K117" s="1">
        <v>648.90160000000003</v>
      </c>
      <c r="L117" s="9" t="s">
        <v>123</v>
      </c>
      <c r="M117" s="2">
        <v>8.59</v>
      </c>
      <c r="N117" s="4">
        <v>5844.27</v>
      </c>
      <c r="O117" s="1">
        <v>3.236237975064324</v>
      </c>
      <c r="P117" s="6">
        <v>39</v>
      </c>
      <c r="Q117" s="6">
        <v>28.9</v>
      </c>
      <c r="R117" s="6">
        <v>11.7</v>
      </c>
      <c r="S117" s="6">
        <v>11.4</v>
      </c>
      <c r="T117" s="5">
        <v>1.4999999999999999E-2</v>
      </c>
      <c r="U117" s="1">
        <v>4.1999999999999997E-3</v>
      </c>
      <c r="V117" s="1">
        <v>3.6753999999999998</v>
      </c>
    </row>
    <row r="118" spans="1:22" x14ac:dyDescent="0.25">
      <c r="A118" s="1">
        <v>0.98250000000000004</v>
      </c>
      <c r="B118" s="9" t="s">
        <v>449</v>
      </c>
      <c r="C118" s="2">
        <v>3998</v>
      </c>
      <c r="D118" s="3" t="s">
        <v>425</v>
      </c>
      <c r="E118" s="9" t="s">
        <v>442</v>
      </c>
      <c r="F118" s="9" t="s">
        <v>267</v>
      </c>
      <c r="G118" s="1">
        <v>1369.7275</v>
      </c>
      <c r="H118" s="2">
        <v>114</v>
      </c>
      <c r="I118" s="2">
        <v>2</v>
      </c>
      <c r="J118" s="1">
        <v>1369.7277999999999</v>
      </c>
      <c r="K118" s="1">
        <v>685.87099999999998</v>
      </c>
      <c r="L118" s="9" t="s">
        <v>268</v>
      </c>
      <c r="M118" s="2">
        <v>6.22</v>
      </c>
      <c r="N118" s="4">
        <v>5858.92</v>
      </c>
      <c r="O118" s="1">
        <v>0.21870001793340146</v>
      </c>
      <c r="P118" s="6">
        <v>33.299999999999997</v>
      </c>
      <c r="Q118" s="6">
        <v>22.7</v>
      </c>
      <c r="R118" s="6">
        <v>12.2</v>
      </c>
      <c r="S118" s="6">
        <v>11.2</v>
      </c>
      <c r="T118" s="5">
        <v>2.8000000000000001E-2</v>
      </c>
      <c r="U118" s="1">
        <v>2.9999999999999997E-4</v>
      </c>
      <c r="V118" s="1">
        <v>3.5217000000000001</v>
      </c>
    </row>
    <row r="119" spans="1:22" x14ac:dyDescent="0.25">
      <c r="A119" s="1">
        <v>0.99739999999999995</v>
      </c>
      <c r="B119" s="9" t="s">
        <v>450</v>
      </c>
      <c r="C119" s="2">
        <v>4004</v>
      </c>
      <c r="D119" s="3" t="s">
        <v>451</v>
      </c>
      <c r="E119" s="9" t="s">
        <v>452</v>
      </c>
      <c r="F119" s="9" t="s">
        <v>222</v>
      </c>
      <c r="G119" s="1">
        <v>1715.7936999999999</v>
      </c>
      <c r="H119" s="2">
        <v>115</v>
      </c>
      <c r="I119" s="2">
        <v>2</v>
      </c>
      <c r="J119" s="1">
        <v>1715.818</v>
      </c>
      <c r="K119" s="1">
        <v>858.90409999999997</v>
      </c>
      <c r="L119" s="9" t="s">
        <v>223</v>
      </c>
      <c r="M119" s="2">
        <v>4.54</v>
      </c>
      <c r="N119" s="4">
        <v>5866.25</v>
      </c>
      <c r="O119" s="1">
        <v>14.145933172283145</v>
      </c>
      <c r="P119" s="6">
        <v>37</v>
      </c>
      <c r="Q119" s="6">
        <v>23.4</v>
      </c>
      <c r="R119" s="6">
        <v>13.2</v>
      </c>
      <c r="S119" s="6">
        <v>11.8</v>
      </c>
      <c r="T119" s="5">
        <v>2.4000000000000001E-4</v>
      </c>
      <c r="U119" s="1">
        <v>2.4299999999999999E-2</v>
      </c>
      <c r="V119" s="1">
        <v>5.5358999999999998</v>
      </c>
    </row>
    <row r="120" spans="1:22" x14ac:dyDescent="0.25">
      <c r="A120" s="1">
        <v>0.98440000000000005</v>
      </c>
      <c r="B120" s="9" t="s">
        <v>453</v>
      </c>
      <c r="C120" s="2">
        <v>4007</v>
      </c>
      <c r="D120" s="3" t="s">
        <v>178</v>
      </c>
      <c r="E120" s="9" t="s">
        <v>454</v>
      </c>
      <c r="F120" s="9" t="s">
        <v>455</v>
      </c>
      <c r="G120" s="1">
        <v>1340.7121999999999</v>
      </c>
      <c r="H120" s="2">
        <v>652</v>
      </c>
      <c r="I120" s="2">
        <v>2</v>
      </c>
      <c r="J120" s="1">
        <v>1340.7077999999999</v>
      </c>
      <c r="K120" s="1">
        <v>671.36339999999996</v>
      </c>
      <c r="L120" s="9" t="s">
        <v>456</v>
      </c>
      <c r="M120" s="2">
        <v>6.22</v>
      </c>
      <c r="N120" s="4">
        <v>5877.85</v>
      </c>
      <c r="O120" s="1">
        <v>-3.2769138144855683</v>
      </c>
      <c r="P120" s="6">
        <v>40.1</v>
      </c>
      <c r="Q120" s="6">
        <v>30</v>
      </c>
      <c r="R120" s="6">
        <v>10.5</v>
      </c>
      <c r="S120" s="6">
        <v>13</v>
      </c>
      <c r="T120" s="5">
        <v>2.5000000000000001E-3</v>
      </c>
      <c r="U120" s="1">
        <v>-4.4000000000000003E-3</v>
      </c>
      <c r="V120" s="1">
        <v>4.1764999999999999</v>
      </c>
    </row>
    <row r="121" spans="1:22" x14ac:dyDescent="0.25">
      <c r="A121" s="1">
        <v>0.98040000000000005</v>
      </c>
      <c r="B121" s="9" t="s">
        <v>457</v>
      </c>
      <c r="C121" s="2">
        <v>4019</v>
      </c>
      <c r="D121" s="3" t="s">
        <v>458</v>
      </c>
      <c r="E121" s="9" t="s">
        <v>459</v>
      </c>
      <c r="F121" s="9" t="s">
        <v>460</v>
      </c>
      <c r="G121" s="1">
        <v>1621.8017</v>
      </c>
      <c r="H121" s="2">
        <v>117</v>
      </c>
      <c r="I121" s="2">
        <v>2</v>
      </c>
      <c r="J121" s="1">
        <v>1621.8159000000001</v>
      </c>
      <c r="K121" s="1">
        <v>811.90809999999999</v>
      </c>
      <c r="L121" s="9" t="s">
        <v>461</v>
      </c>
      <c r="M121" s="2">
        <v>4.75</v>
      </c>
      <c r="N121" s="4">
        <v>5895.65</v>
      </c>
      <c r="O121" s="1">
        <v>8.7448320813648746</v>
      </c>
      <c r="P121" s="6">
        <v>29</v>
      </c>
      <c r="Q121" s="6">
        <v>20.7</v>
      </c>
      <c r="R121" s="6">
        <v>12.4</v>
      </c>
      <c r="S121" s="6">
        <v>10.8</v>
      </c>
      <c r="T121" s="5">
        <v>1.2E-2</v>
      </c>
      <c r="U121" s="1">
        <v>1.4200000000000001E-2</v>
      </c>
      <c r="V121" s="1">
        <v>3.6328</v>
      </c>
    </row>
    <row r="122" spans="1:22" x14ac:dyDescent="0.25">
      <c r="A122" s="1">
        <v>0.99570000000000003</v>
      </c>
      <c r="B122" s="9" t="s">
        <v>462</v>
      </c>
      <c r="C122" s="2">
        <v>4026</v>
      </c>
      <c r="D122" s="3" t="s">
        <v>423</v>
      </c>
      <c r="E122" s="9" t="s">
        <v>463</v>
      </c>
      <c r="F122" s="9" t="s">
        <v>464</v>
      </c>
      <c r="G122" s="1">
        <v>1577.7945</v>
      </c>
      <c r="H122" s="2">
        <v>1094</v>
      </c>
      <c r="I122" s="2">
        <v>2</v>
      </c>
      <c r="J122" s="1">
        <v>1577.8040000000001</v>
      </c>
      <c r="K122" s="1">
        <v>789.90449999999998</v>
      </c>
      <c r="L122" s="9" t="s">
        <v>465</v>
      </c>
      <c r="M122" s="2">
        <v>8.75</v>
      </c>
      <c r="N122" s="4">
        <v>5910.27</v>
      </c>
      <c r="O122" s="1">
        <v>6.0133851623835533</v>
      </c>
      <c r="P122" s="6">
        <v>36.799999999999997</v>
      </c>
      <c r="Q122" s="6">
        <v>22.8</v>
      </c>
      <c r="R122" s="6">
        <v>11.8</v>
      </c>
      <c r="S122" s="6">
        <v>11.4</v>
      </c>
      <c r="T122" s="5">
        <v>3.1E-4</v>
      </c>
      <c r="U122" s="1">
        <v>9.4999999999999998E-3</v>
      </c>
      <c r="V122" s="1">
        <v>5.6733000000000002</v>
      </c>
    </row>
    <row r="123" spans="1:22" x14ac:dyDescent="0.25">
      <c r="A123" s="1">
        <v>0.99470000000000003</v>
      </c>
      <c r="B123" s="9" t="s">
        <v>466</v>
      </c>
      <c r="C123" s="2">
        <v>4034</v>
      </c>
      <c r="D123" s="3" t="s">
        <v>93</v>
      </c>
      <c r="E123" s="9" t="s">
        <v>467</v>
      </c>
      <c r="F123" s="9" t="s">
        <v>391</v>
      </c>
      <c r="G123" s="1">
        <v>1351.6992</v>
      </c>
      <c r="H123" s="2">
        <v>761</v>
      </c>
      <c r="I123" s="2">
        <v>2</v>
      </c>
      <c r="J123" s="1">
        <v>1351.7075</v>
      </c>
      <c r="K123" s="1">
        <v>676.8569</v>
      </c>
      <c r="L123" s="9" t="s">
        <v>364</v>
      </c>
      <c r="M123" s="2">
        <v>6.74</v>
      </c>
      <c r="N123" s="4">
        <v>5927.15</v>
      </c>
      <c r="O123" s="1">
        <v>6.131281220594782</v>
      </c>
      <c r="P123" s="6">
        <v>50.2</v>
      </c>
      <c r="Q123" s="6">
        <v>40</v>
      </c>
      <c r="R123" s="6">
        <v>11.4</v>
      </c>
      <c r="S123" s="6">
        <v>11.4</v>
      </c>
      <c r="T123" s="5">
        <v>2.7E-4</v>
      </c>
      <c r="U123" s="1">
        <v>8.3000000000000001E-3</v>
      </c>
      <c r="V123" s="1">
        <v>5.3442999999999996</v>
      </c>
    </row>
    <row r="124" spans="1:22" x14ac:dyDescent="0.25">
      <c r="A124" s="1">
        <v>0.99539999999999995</v>
      </c>
      <c r="B124" s="9" t="s">
        <v>468</v>
      </c>
      <c r="C124" s="2">
        <v>4042</v>
      </c>
      <c r="D124" s="3" t="s">
        <v>469</v>
      </c>
      <c r="E124" s="9" t="s">
        <v>470</v>
      </c>
      <c r="F124" s="9" t="s">
        <v>48</v>
      </c>
      <c r="G124" s="1">
        <v>2047.1677</v>
      </c>
      <c r="H124" s="2">
        <v>583</v>
      </c>
      <c r="I124" s="2">
        <v>3</v>
      </c>
      <c r="J124" s="1">
        <v>2047.0217</v>
      </c>
      <c r="K124" s="1">
        <v>683.39649999999995</v>
      </c>
      <c r="L124" s="9" t="s">
        <v>49</v>
      </c>
      <c r="M124" s="2">
        <v>8.4700000000000006</v>
      </c>
      <c r="N124" s="4">
        <v>5941.8</v>
      </c>
      <c r="O124" s="1">
        <v>-71.212929341409662</v>
      </c>
      <c r="P124" s="6">
        <v>35.700000000000003</v>
      </c>
      <c r="Q124" s="6">
        <v>23</v>
      </c>
      <c r="R124" s="6">
        <v>8.8000000000000007</v>
      </c>
      <c r="S124" s="6">
        <v>9.5</v>
      </c>
      <c r="T124" s="5">
        <v>4.4999999999999999E-4</v>
      </c>
      <c r="U124" s="1">
        <v>-0.14599999999999999</v>
      </c>
      <c r="V124" s="1">
        <v>5.6637000000000004</v>
      </c>
    </row>
    <row r="125" spans="1:22" x14ac:dyDescent="0.25">
      <c r="A125" s="1">
        <v>0.98819999999999997</v>
      </c>
      <c r="B125" s="9" t="s">
        <v>471</v>
      </c>
      <c r="C125" s="2">
        <v>4043</v>
      </c>
      <c r="D125" s="3" t="s">
        <v>472</v>
      </c>
      <c r="E125" s="9" t="s">
        <v>473</v>
      </c>
      <c r="F125" s="9" t="s">
        <v>474</v>
      </c>
      <c r="G125" s="1">
        <v>1154.6773000000001</v>
      </c>
      <c r="H125" s="2">
        <v>887</v>
      </c>
      <c r="I125" s="2">
        <v>2</v>
      </c>
      <c r="J125" s="1">
        <v>1154.6724999999999</v>
      </c>
      <c r="K125" s="1">
        <v>578.34590000000003</v>
      </c>
      <c r="L125" s="9" t="s">
        <v>475</v>
      </c>
      <c r="M125" s="2">
        <v>9.5299999999999994</v>
      </c>
      <c r="N125" s="4">
        <v>5943.85</v>
      </c>
      <c r="O125" s="1">
        <v>-4.1497657370787966</v>
      </c>
      <c r="P125" s="6">
        <v>51.3</v>
      </c>
      <c r="Q125" s="6">
        <v>40.4</v>
      </c>
      <c r="R125" s="6">
        <v>10.5</v>
      </c>
      <c r="S125" s="6">
        <v>12</v>
      </c>
      <c r="T125" s="5">
        <v>6.8999999999999999E-3</v>
      </c>
      <c r="U125" s="1">
        <v>-4.7999999999999996E-3</v>
      </c>
      <c r="V125" s="1">
        <v>4.4169</v>
      </c>
    </row>
    <row r="126" spans="1:22" x14ac:dyDescent="0.25">
      <c r="A126" s="1">
        <v>0.99150000000000005</v>
      </c>
      <c r="B126" s="9" t="s">
        <v>476</v>
      </c>
      <c r="C126" s="2">
        <v>4044</v>
      </c>
      <c r="D126" s="3" t="s">
        <v>423</v>
      </c>
      <c r="E126" s="9" t="s">
        <v>477</v>
      </c>
      <c r="F126" s="9" t="s">
        <v>151</v>
      </c>
      <c r="G126" s="1">
        <v>1700.8630000000001</v>
      </c>
      <c r="H126" s="2">
        <v>747</v>
      </c>
      <c r="I126" s="2">
        <v>2</v>
      </c>
      <c r="J126" s="1">
        <v>1700.8588</v>
      </c>
      <c r="K126" s="1">
        <v>851.43880000000001</v>
      </c>
      <c r="L126" s="9" t="s">
        <v>152</v>
      </c>
      <c r="M126" s="2">
        <v>6.24</v>
      </c>
      <c r="N126" s="4">
        <v>5945.9</v>
      </c>
      <c r="O126" s="1">
        <v>-2.4664133229540397</v>
      </c>
      <c r="P126" s="6">
        <v>36.299999999999997</v>
      </c>
      <c r="Q126" s="6">
        <v>25.4</v>
      </c>
      <c r="R126" s="6">
        <v>12.4</v>
      </c>
      <c r="S126" s="6">
        <v>11.6</v>
      </c>
      <c r="T126" s="5">
        <v>8.8000000000000003E-4</v>
      </c>
      <c r="U126" s="1">
        <v>-4.1999999999999997E-3</v>
      </c>
      <c r="V126" s="1">
        <v>4.8545999999999996</v>
      </c>
    </row>
    <row r="127" spans="1:22" x14ac:dyDescent="0.25">
      <c r="A127" s="1">
        <v>0.98360000000000003</v>
      </c>
      <c r="B127" s="9" t="s">
        <v>478</v>
      </c>
      <c r="C127" s="2">
        <v>4054</v>
      </c>
      <c r="D127" s="3" t="s">
        <v>479</v>
      </c>
      <c r="E127" s="9" t="s">
        <v>480</v>
      </c>
      <c r="F127" s="9" t="s">
        <v>235</v>
      </c>
      <c r="G127" s="1">
        <v>1583.7877000000001</v>
      </c>
      <c r="H127" s="2">
        <v>119</v>
      </c>
      <c r="I127" s="2">
        <v>2</v>
      </c>
      <c r="J127" s="1">
        <v>1583.8013000000001</v>
      </c>
      <c r="K127" s="1">
        <v>792.90110000000004</v>
      </c>
      <c r="L127" s="9" t="s">
        <v>236</v>
      </c>
      <c r="M127" s="2">
        <v>6.76</v>
      </c>
      <c r="N127" s="4">
        <v>5961.66</v>
      </c>
      <c r="O127" s="1">
        <v>8.5761011051693572</v>
      </c>
      <c r="P127" s="6">
        <v>30.4</v>
      </c>
      <c r="Q127" s="6">
        <v>23.1</v>
      </c>
      <c r="R127" s="6">
        <v>10.5</v>
      </c>
      <c r="S127" s="6">
        <v>7</v>
      </c>
      <c r="T127" s="5">
        <v>8.6E-3</v>
      </c>
      <c r="U127" s="1">
        <v>1.3599999999999999E-2</v>
      </c>
      <c r="V127" s="1">
        <v>3.5760999999999998</v>
      </c>
    </row>
    <row r="128" spans="1:22" x14ac:dyDescent="0.25">
      <c r="A128" s="1">
        <v>0.97140000000000004</v>
      </c>
      <c r="B128" s="9" t="s">
        <v>481</v>
      </c>
      <c r="C128" s="2">
        <v>4055</v>
      </c>
      <c r="D128" s="3" t="s">
        <v>479</v>
      </c>
      <c r="E128" s="9" t="s">
        <v>459</v>
      </c>
      <c r="F128" s="9" t="s">
        <v>460</v>
      </c>
      <c r="G128" s="1">
        <v>1621.8017</v>
      </c>
      <c r="H128" s="2">
        <v>120</v>
      </c>
      <c r="I128" s="2">
        <v>2</v>
      </c>
      <c r="J128" s="1">
        <v>1621.8130000000001</v>
      </c>
      <c r="K128" s="1">
        <v>811.90809999999999</v>
      </c>
      <c r="L128" s="9" t="s">
        <v>461</v>
      </c>
      <c r="M128" s="2">
        <v>4.75</v>
      </c>
      <c r="N128" s="4">
        <v>5961.66</v>
      </c>
      <c r="O128" s="1">
        <v>6.9589156703819057</v>
      </c>
      <c r="P128" s="6">
        <v>31.1</v>
      </c>
      <c r="Q128" s="6">
        <v>23.6</v>
      </c>
      <c r="R128" s="6">
        <v>12.7</v>
      </c>
      <c r="S128" s="6">
        <v>10.7</v>
      </c>
      <c r="T128" s="5">
        <v>1.4999999999999999E-2</v>
      </c>
      <c r="U128" s="1">
        <v>1.1299999999999999E-2</v>
      </c>
      <c r="V128" s="1">
        <v>3.3338000000000001</v>
      </c>
    </row>
    <row r="129" spans="1:22" x14ac:dyDescent="0.25">
      <c r="A129" s="1">
        <v>0.99370000000000003</v>
      </c>
      <c r="B129" s="9" t="s">
        <v>482</v>
      </c>
      <c r="C129" s="2">
        <v>4056</v>
      </c>
      <c r="D129" s="3" t="s">
        <v>425</v>
      </c>
      <c r="E129" s="9" t="s">
        <v>483</v>
      </c>
      <c r="F129" s="9" t="s">
        <v>484</v>
      </c>
      <c r="G129" s="1">
        <v>1462.7017000000001</v>
      </c>
      <c r="H129" s="2">
        <v>1098</v>
      </c>
      <c r="I129" s="2">
        <v>2</v>
      </c>
      <c r="J129" s="1">
        <v>1462.7257</v>
      </c>
      <c r="K129" s="1">
        <v>732.35810000000004</v>
      </c>
      <c r="L129" s="9" t="s">
        <v>485</v>
      </c>
      <c r="M129" s="2">
        <v>4.32</v>
      </c>
      <c r="N129" s="4">
        <v>5961.66</v>
      </c>
      <c r="O129" s="1">
        <v>16.385426746833279</v>
      </c>
      <c r="P129" s="6">
        <v>32.9</v>
      </c>
      <c r="Q129" s="6">
        <v>22.7</v>
      </c>
      <c r="R129" s="6">
        <v>12</v>
      </c>
      <c r="S129" s="6">
        <v>10.199999999999999</v>
      </c>
      <c r="T129" s="5">
        <v>1.6000000000000001E-3</v>
      </c>
      <c r="U129" s="1">
        <v>2.4E-2</v>
      </c>
      <c r="V129" s="1">
        <v>4.8053999999999997</v>
      </c>
    </row>
    <row r="130" spans="1:22" x14ac:dyDescent="0.25">
      <c r="A130" s="1">
        <v>0.99760000000000004</v>
      </c>
      <c r="B130" s="9" t="s">
        <v>486</v>
      </c>
      <c r="C130" s="2">
        <v>4070</v>
      </c>
      <c r="D130" s="3" t="s">
        <v>326</v>
      </c>
      <c r="E130" s="9" t="s">
        <v>487</v>
      </c>
      <c r="F130" s="9" t="s">
        <v>488</v>
      </c>
      <c r="G130" s="1">
        <v>1268.5237</v>
      </c>
      <c r="H130" s="2">
        <v>123</v>
      </c>
      <c r="I130" s="2">
        <v>2</v>
      </c>
      <c r="J130" s="1">
        <v>1268.5399</v>
      </c>
      <c r="K130" s="1">
        <v>635.26909999999998</v>
      </c>
      <c r="L130" s="9" t="s">
        <v>489</v>
      </c>
      <c r="M130" s="2">
        <v>4.75</v>
      </c>
      <c r="N130" s="4">
        <v>5990.98</v>
      </c>
      <c r="O130" s="1">
        <v>12.750502110050686</v>
      </c>
      <c r="P130" s="6">
        <v>45.7</v>
      </c>
      <c r="Q130" s="6">
        <v>30.4</v>
      </c>
      <c r="R130" s="6">
        <v>9.5</v>
      </c>
      <c r="S130" s="6">
        <v>11.8</v>
      </c>
      <c r="T130" s="5">
        <v>2.9999999999999997E-4</v>
      </c>
      <c r="U130" s="1">
        <v>1.6199999999999999E-2</v>
      </c>
      <c r="V130" s="1">
        <v>6.1981999999999999</v>
      </c>
    </row>
    <row r="131" spans="1:22" x14ac:dyDescent="0.25">
      <c r="A131" s="1">
        <v>0.96789999999999998</v>
      </c>
      <c r="B131" s="9" t="s">
        <v>490</v>
      </c>
      <c r="C131" s="2">
        <v>4078</v>
      </c>
      <c r="D131" s="3" t="s">
        <v>343</v>
      </c>
      <c r="E131" s="9" t="s">
        <v>491</v>
      </c>
      <c r="F131" s="9" t="s">
        <v>484</v>
      </c>
      <c r="G131" s="1">
        <v>1147.5947000000001</v>
      </c>
      <c r="H131" s="2">
        <v>124</v>
      </c>
      <c r="I131" s="2">
        <v>2</v>
      </c>
      <c r="J131" s="1">
        <v>1147.6148000000001</v>
      </c>
      <c r="K131" s="1">
        <v>574.80460000000005</v>
      </c>
      <c r="L131" s="9" t="s">
        <v>485</v>
      </c>
      <c r="M131" s="2">
        <v>6.09</v>
      </c>
      <c r="N131" s="4">
        <v>6005.66</v>
      </c>
      <c r="O131" s="1">
        <v>17.484202457669959</v>
      </c>
      <c r="P131" s="6">
        <v>25.7</v>
      </c>
      <c r="Q131" s="6">
        <v>19</v>
      </c>
      <c r="R131" s="6">
        <v>10.8</v>
      </c>
      <c r="S131" s="6">
        <v>8.3000000000000007</v>
      </c>
      <c r="T131" s="5">
        <v>9.1999999999999998E-2</v>
      </c>
      <c r="U131" s="1">
        <v>2.01E-2</v>
      </c>
      <c r="V131" s="1">
        <v>3.0629</v>
      </c>
    </row>
    <row r="132" spans="1:22" x14ac:dyDescent="0.25">
      <c r="A132" s="1">
        <v>0.99770000000000003</v>
      </c>
      <c r="B132" s="9" t="s">
        <v>492</v>
      </c>
      <c r="C132" s="2">
        <v>4094</v>
      </c>
      <c r="D132" s="3" t="s">
        <v>493</v>
      </c>
      <c r="E132" s="9" t="s">
        <v>494</v>
      </c>
      <c r="F132" s="9" t="s">
        <v>495</v>
      </c>
      <c r="G132" s="1">
        <v>1368.7327</v>
      </c>
      <c r="H132" s="2">
        <v>605</v>
      </c>
      <c r="I132" s="2">
        <v>2</v>
      </c>
      <c r="J132" s="1">
        <v>1368.7207000000001</v>
      </c>
      <c r="K132" s="1">
        <v>685.37360000000001</v>
      </c>
      <c r="L132" s="9" t="s">
        <v>157</v>
      </c>
      <c r="M132" s="2">
        <v>4.75</v>
      </c>
      <c r="N132" s="4">
        <v>6037.16</v>
      </c>
      <c r="O132" s="1">
        <v>-8.7543494526197101</v>
      </c>
      <c r="P132" s="6">
        <v>49.8</v>
      </c>
      <c r="Q132" s="6">
        <v>27.5</v>
      </c>
      <c r="R132" s="6">
        <v>12.3</v>
      </c>
      <c r="S132" s="6">
        <v>10.4</v>
      </c>
      <c r="T132" s="5">
        <v>2.1999999999999999E-5</v>
      </c>
      <c r="U132" s="1">
        <v>-1.2E-2</v>
      </c>
      <c r="V132" s="1">
        <v>7.1462000000000003</v>
      </c>
    </row>
    <row r="133" spans="1:22" x14ac:dyDescent="0.25">
      <c r="A133" s="1">
        <v>0.99839999999999995</v>
      </c>
      <c r="B133" s="9" t="s">
        <v>496</v>
      </c>
      <c r="C133" s="2">
        <v>4098</v>
      </c>
      <c r="D133" s="3" t="s">
        <v>270</v>
      </c>
      <c r="E133" s="9" t="s">
        <v>497</v>
      </c>
      <c r="F133" s="9" t="s">
        <v>498</v>
      </c>
      <c r="G133" s="1">
        <v>1812.9694999999999</v>
      </c>
      <c r="H133" s="2">
        <v>126</v>
      </c>
      <c r="I133" s="2">
        <v>2</v>
      </c>
      <c r="J133" s="1">
        <v>1812.9609</v>
      </c>
      <c r="K133" s="1">
        <v>907.49199999999996</v>
      </c>
      <c r="L133" s="9" t="s">
        <v>499</v>
      </c>
      <c r="M133" s="2">
        <v>8.43</v>
      </c>
      <c r="N133" s="4">
        <v>6042.31</v>
      </c>
      <c r="O133" s="1">
        <v>-4.7383337814548234</v>
      </c>
      <c r="P133" s="6">
        <v>41.6</v>
      </c>
      <c r="Q133" s="6">
        <v>23.6</v>
      </c>
      <c r="R133" s="6">
        <v>10.3</v>
      </c>
      <c r="S133" s="6">
        <v>10.8</v>
      </c>
      <c r="T133" s="5">
        <v>3.1000000000000001E-5</v>
      </c>
      <c r="U133" s="1">
        <v>-8.6E-3</v>
      </c>
      <c r="V133" s="1">
        <v>6.6896000000000004</v>
      </c>
    </row>
    <row r="134" spans="1:22" x14ac:dyDescent="0.25">
      <c r="A134" s="1">
        <v>0.98919999999999997</v>
      </c>
      <c r="B134" s="9" t="s">
        <v>500</v>
      </c>
      <c r="C134" s="2">
        <v>4122</v>
      </c>
      <c r="D134" s="3" t="s">
        <v>501</v>
      </c>
      <c r="E134" s="9" t="s">
        <v>502</v>
      </c>
      <c r="F134" s="9" t="s">
        <v>267</v>
      </c>
      <c r="G134" s="1">
        <v>1249.6264000000001</v>
      </c>
      <c r="H134" s="2">
        <v>503</v>
      </c>
      <c r="I134" s="2">
        <v>2</v>
      </c>
      <c r="J134" s="1">
        <v>1249.6338000000001</v>
      </c>
      <c r="K134" s="1">
        <v>625.82050000000004</v>
      </c>
      <c r="L134" s="9" t="s">
        <v>268</v>
      </c>
      <c r="M134" s="2">
        <v>4.75</v>
      </c>
      <c r="N134" s="4">
        <v>6086.31</v>
      </c>
      <c r="O134" s="1">
        <v>5.9122384134108739</v>
      </c>
      <c r="P134" s="6">
        <v>27.8</v>
      </c>
      <c r="Q134" s="6">
        <v>20.7</v>
      </c>
      <c r="R134" s="6">
        <v>12.9</v>
      </c>
      <c r="S134" s="6">
        <v>10.4</v>
      </c>
      <c r="T134" s="5">
        <v>4.7000000000000002E-3</v>
      </c>
      <c r="U134" s="1">
        <v>7.4000000000000003E-3</v>
      </c>
      <c r="V134" s="1">
        <v>4.4043000000000001</v>
      </c>
    </row>
    <row r="135" spans="1:22" x14ac:dyDescent="0.25">
      <c r="A135" s="1">
        <v>0.98309999999999997</v>
      </c>
      <c r="B135" s="9" t="s">
        <v>503</v>
      </c>
      <c r="C135" s="2">
        <v>4130</v>
      </c>
      <c r="D135" s="3" t="s">
        <v>423</v>
      </c>
      <c r="E135" s="9" t="s">
        <v>494</v>
      </c>
      <c r="F135" s="9" t="s">
        <v>495</v>
      </c>
      <c r="G135" s="1">
        <v>1368.7327</v>
      </c>
      <c r="H135" s="2">
        <v>505</v>
      </c>
      <c r="I135" s="2">
        <v>2</v>
      </c>
      <c r="J135" s="1">
        <v>1368.7454</v>
      </c>
      <c r="K135" s="1">
        <v>685.37360000000001</v>
      </c>
      <c r="L135" s="9" t="s">
        <v>157</v>
      </c>
      <c r="M135" s="2">
        <v>4.75</v>
      </c>
      <c r="N135" s="4">
        <v>6101.02</v>
      </c>
      <c r="O135" s="1">
        <v>9.2650198373558581</v>
      </c>
      <c r="P135" s="6">
        <v>35.5</v>
      </c>
      <c r="Q135" s="6">
        <v>28.7</v>
      </c>
      <c r="R135" s="6">
        <v>12.1</v>
      </c>
      <c r="S135" s="6">
        <v>10.4</v>
      </c>
      <c r="T135" s="5">
        <v>3.3999999999999998E-3</v>
      </c>
      <c r="U135" s="1">
        <v>1.2699999999999999E-2</v>
      </c>
      <c r="V135" s="1">
        <v>3.7723</v>
      </c>
    </row>
    <row r="136" spans="1:22" x14ac:dyDescent="0.25">
      <c r="A136" s="1">
        <v>0.99490000000000001</v>
      </c>
      <c r="B136" s="9" t="s">
        <v>504</v>
      </c>
      <c r="C136" s="2">
        <v>4158</v>
      </c>
      <c r="D136" s="3" t="s">
        <v>201</v>
      </c>
      <c r="E136" s="9" t="s">
        <v>502</v>
      </c>
      <c r="F136" s="9" t="s">
        <v>267</v>
      </c>
      <c r="G136" s="1">
        <v>1249.6267</v>
      </c>
      <c r="H136" s="2">
        <v>764</v>
      </c>
      <c r="I136" s="2">
        <v>2</v>
      </c>
      <c r="J136" s="1">
        <v>1249.6374000000001</v>
      </c>
      <c r="K136" s="1">
        <v>625.82060000000001</v>
      </c>
      <c r="L136" s="9" t="s">
        <v>268</v>
      </c>
      <c r="M136" s="2">
        <v>4.75</v>
      </c>
      <c r="N136" s="4">
        <v>6154.67</v>
      </c>
      <c r="O136" s="1">
        <v>8.5487757993265152</v>
      </c>
      <c r="P136" s="6">
        <v>46.5</v>
      </c>
      <c r="Q136" s="6">
        <v>30.8</v>
      </c>
      <c r="R136" s="6">
        <v>12.8</v>
      </c>
      <c r="S136" s="6">
        <v>10.7</v>
      </c>
      <c r="T136" s="5">
        <v>1.1999999999999999E-3</v>
      </c>
      <c r="U136" s="1">
        <v>1.0699999999999999E-2</v>
      </c>
      <c r="V136" s="1">
        <v>5.5110999999999999</v>
      </c>
    </row>
    <row r="137" spans="1:22" x14ac:dyDescent="0.25">
      <c r="A137" s="1">
        <v>0.98340000000000005</v>
      </c>
      <c r="B137" s="9" t="s">
        <v>505</v>
      </c>
      <c r="C137" s="2">
        <v>4166</v>
      </c>
      <c r="D137" s="3" t="s">
        <v>178</v>
      </c>
      <c r="E137" s="9" t="s">
        <v>494</v>
      </c>
      <c r="F137" s="9" t="s">
        <v>495</v>
      </c>
      <c r="G137" s="1">
        <v>1368.7327</v>
      </c>
      <c r="H137" s="2">
        <v>758</v>
      </c>
      <c r="I137" s="2">
        <v>2</v>
      </c>
      <c r="J137" s="1">
        <v>1368.7618</v>
      </c>
      <c r="K137" s="1">
        <v>685.37360000000001</v>
      </c>
      <c r="L137" s="9" t="s">
        <v>157</v>
      </c>
      <c r="M137" s="2">
        <v>4.75</v>
      </c>
      <c r="N137" s="4">
        <v>6169.37</v>
      </c>
      <c r="O137" s="1">
        <v>21.229297422602798</v>
      </c>
      <c r="P137" s="6">
        <v>39.1</v>
      </c>
      <c r="Q137" s="6">
        <v>28.9</v>
      </c>
      <c r="R137" s="6">
        <v>12.3</v>
      </c>
      <c r="S137" s="6">
        <v>10.8</v>
      </c>
      <c r="T137" s="5">
        <v>3.0999999999999999E-3</v>
      </c>
      <c r="U137" s="1">
        <v>2.9100000000000001E-2</v>
      </c>
      <c r="V137" s="1">
        <v>4.1210000000000004</v>
      </c>
    </row>
    <row r="138" spans="1:22" x14ac:dyDescent="0.25">
      <c r="A138" s="1">
        <v>0.99670000000000003</v>
      </c>
      <c r="B138" s="9" t="s">
        <v>506</v>
      </c>
      <c r="C138" s="2">
        <v>4186</v>
      </c>
      <c r="D138" s="3" t="s">
        <v>280</v>
      </c>
      <c r="E138" s="9" t="s">
        <v>507</v>
      </c>
      <c r="F138" s="9" t="s">
        <v>508</v>
      </c>
      <c r="G138" s="1">
        <v>1634.7766999999999</v>
      </c>
      <c r="H138" s="2">
        <v>129</v>
      </c>
      <c r="I138" s="2">
        <v>2</v>
      </c>
      <c r="J138" s="1">
        <v>1634.8044</v>
      </c>
      <c r="K138" s="1">
        <v>818.39559999999994</v>
      </c>
      <c r="L138" s="9" t="s">
        <v>509</v>
      </c>
      <c r="M138" s="2">
        <v>5.51</v>
      </c>
      <c r="N138" s="4">
        <v>6203.92</v>
      </c>
      <c r="O138" s="1">
        <v>16.923355892920249</v>
      </c>
      <c r="P138" s="6">
        <v>43.5</v>
      </c>
      <c r="Q138" s="6">
        <v>30.6</v>
      </c>
      <c r="R138" s="6">
        <v>12</v>
      </c>
      <c r="S138" s="6">
        <v>11.4</v>
      </c>
      <c r="T138" s="5">
        <v>1.6000000000000001E-4</v>
      </c>
      <c r="U138" s="1">
        <v>2.7699999999999999E-2</v>
      </c>
      <c r="V138" s="1">
        <v>5.5945999999999998</v>
      </c>
    </row>
    <row r="139" spans="1:22" x14ac:dyDescent="0.25">
      <c r="A139" s="1">
        <v>0.98380000000000001</v>
      </c>
      <c r="B139" s="9" t="s">
        <v>510</v>
      </c>
      <c r="C139" s="2">
        <v>4187</v>
      </c>
      <c r="D139" s="3" t="s">
        <v>511</v>
      </c>
      <c r="E139" s="9" t="s">
        <v>512</v>
      </c>
      <c r="F139" s="9" t="s">
        <v>513</v>
      </c>
      <c r="G139" s="1">
        <v>1343.6427000000001</v>
      </c>
      <c r="H139" s="2">
        <v>130</v>
      </c>
      <c r="I139" s="2">
        <v>2</v>
      </c>
      <c r="J139" s="1">
        <v>1343.6631</v>
      </c>
      <c r="K139" s="1">
        <v>672.82860000000005</v>
      </c>
      <c r="L139" s="9" t="s">
        <v>514</v>
      </c>
      <c r="M139" s="2">
        <v>6.22</v>
      </c>
      <c r="N139" s="4">
        <v>6203.92</v>
      </c>
      <c r="O139" s="1">
        <v>15.15987875664025</v>
      </c>
      <c r="P139" s="6">
        <v>30.1</v>
      </c>
      <c r="Q139" s="6">
        <v>22.5</v>
      </c>
      <c r="R139" s="6">
        <v>10.9</v>
      </c>
      <c r="S139" s="6">
        <v>11.1</v>
      </c>
      <c r="T139" s="5">
        <v>2.3E-2</v>
      </c>
      <c r="U139" s="1">
        <v>2.0400000000000001E-2</v>
      </c>
      <c r="V139" s="1">
        <v>3.5861000000000001</v>
      </c>
    </row>
    <row r="140" spans="1:22" x14ac:dyDescent="0.25">
      <c r="A140" s="1">
        <v>0.99280000000000002</v>
      </c>
      <c r="B140" s="9" t="s">
        <v>515</v>
      </c>
      <c r="C140" s="2">
        <v>4190</v>
      </c>
      <c r="D140" s="3" t="s">
        <v>33</v>
      </c>
      <c r="E140" s="9" t="s">
        <v>516</v>
      </c>
      <c r="F140" s="9" t="s">
        <v>517</v>
      </c>
      <c r="G140" s="1">
        <v>1168.6927000000001</v>
      </c>
      <c r="H140" s="2">
        <v>1104</v>
      </c>
      <c r="I140" s="2">
        <v>2</v>
      </c>
      <c r="J140" s="1">
        <v>1168.6618000000001</v>
      </c>
      <c r="K140" s="1">
        <v>585.35360000000003</v>
      </c>
      <c r="L140" s="9" t="s">
        <v>518</v>
      </c>
      <c r="M140" s="2">
        <v>9.5299999999999994</v>
      </c>
      <c r="N140" s="4">
        <v>6211.27</v>
      </c>
      <c r="O140" s="1">
        <v>-26.394302520732769</v>
      </c>
      <c r="P140" s="6">
        <v>44.5</v>
      </c>
      <c r="Q140" s="6">
        <v>32</v>
      </c>
      <c r="R140" s="6">
        <v>10.7</v>
      </c>
      <c r="S140" s="6">
        <v>12.1</v>
      </c>
      <c r="T140" s="5">
        <v>0.01</v>
      </c>
      <c r="U140" s="1">
        <v>-3.09E-2</v>
      </c>
      <c r="V140" s="1">
        <v>4.5941000000000001</v>
      </c>
    </row>
    <row r="141" spans="1:22" x14ac:dyDescent="0.25">
      <c r="A141" s="1">
        <v>0.98760000000000003</v>
      </c>
      <c r="B141" s="9" t="s">
        <v>519</v>
      </c>
      <c r="C141" s="2">
        <v>4202</v>
      </c>
      <c r="D141" s="3" t="s">
        <v>520</v>
      </c>
      <c r="E141" s="9" t="s">
        <v>494</v>
      </c>
      <c r="F141" s="9" t="s">
        <v>495</v>
      </c>
      <c r="G141" s="1">
        <v>1368.7322999999999</v>
      </c>
      <c r="H141" s="2">
        <v>511</v>
      </c>
      <c r="I141" s="2">
        <v>2</v>
      </c>
      <c r="J141" s="1">
        <v>1368.7330999999999</v>
      </c>
      <c r="K141" s="1">
        <v>685.37339999999995</v>
      </c>
      <c r="L141" s="9" t="s">
        <v>157</v>
      </c>
      <c r="M141" s="2">
        <v>4.75</v>
      </c>
      <c r="N141" s="4">
        <v>6233.32</v>
      </c>
      <c r="O141" s="1">
        <v>0.58362346714944002</v>
      </c>
      <c r="P141" s="6">
        <v>33.200000000000003</v>
      </c>
      <c r="Q141" s="6">
        <v>24.6</v>
      </c>
      <c r="R141" s="6">
        <v>12.4</v>
      </c>
      <c r="S141" s="6">
        <v>10.5</v>
      </c>
      <c r="T141" s="5">
        <v>3.5999999999999999E-3</v>
      </c>
      <c r="U141" s="1">
        <v>8.0000000000000004E-4</v>
      </c>
      <c r="V141" s="1">
        <v>4.0465</v>
      </c>
    </row>
    <row r="142" spans="1:22" x14ac:dyDescent="0.25">
      <c r="A142" s="1">
        <v>0.99129999999999996</v>
      </c>
      <c r="B142" s="9" t="s">
        <v>521</v>
      </c>
      <c r="C142" s="2">
        <v>4210</v>
      </c>
      <c r="D142" s="3" t="s">
        <v>522</v>
      </c>
      <c r="E142" s="9" t="s">
        <v>523</v>
      </c>
      <c r="F142" s="9" t="s">
        <v>524</v>
      </c>
      <c r="G142" s="1">
        <v>1858.8987</v>
      </c>
      <c r="H142" s="2">
        <v>581</v>
      </c>
      <c r="I142" s="2">
        <v>2</v>
      </c>
      <c r="J142" s="1">
        <v>1858.9197999999999</v>
      </c>
      <c r="K142" s="1">
        <v>930.45659999999998</v>
      </c>
      <c r="L142" s="9" t="s">
        <v>525</v>
      </c>
      <c r="M142" s="2">
        <v>4.07</v>
      </c>
      <c r="N142" s="4">
        <v>6250.22</v>
      </c>
      <c r="O142" s="1">
        <v>11.338519174349454</v>
      </c>
      <c r="P142" s="6">
        <v>40.700000000000003</v>
      </c>
      <c r="Q142" s="6">
        <v>28.2</v>
      </c>
      <c r="R142" s="6">
        <v>13.6</v>
      </c>
      <c r="S142" s="6">
        <v>12.8</v>
      </c>
      <c r="T142" s="5">
        <v>3.3E-4</v>
      </c>
      <c r="U142" s="1">
        <v>2.1100000000000001E-2</v>
      </c>
      <c r="V142" s="1">
        <v>4.8350999999999997</v>
      </c>
    </row>
    <row r="143" spans="1:22" x14ac:dyDescent="0.25">
      <c r="A143" s="1">
        <v>0.99229999999999996</v>
      </c>
      <c r="B143" s="9" t="s">
        <v>526</v>
      </c>
      <c r="C143" s="2">
        <v>4211</v>
      </c>
      <c r="D143" s="3" t="s">
        <v>311</v>
      </c>
      <c r="E143" s="9" t="s">
        <v>527</v>
      </c>
      <c r="F143" s="9" t="s">
        <v>528</v>
      </c>
      <c r="G143" s="1">
        <v>1379.6647</v>
      </c>
      <c r="H143" s="2">
        <v>132</v>
      </c>
      <c r="I143" s="2">
        <v>2</v>
      </c>
      <c r="J143" s="1">
        <v>1379.6745000000001</v>
      </c>
      <c r="K143" s="1">
        <v>690.83960000000002</v>
      </c>
      <c r="L143" s="9" t="s">
        <v>529</v>
      </c>
      <c r="M143" s="2">
        <v>4.32</v>
      </c>
      <c r="N143" s="4">
        <v>6248.02</v>
      </c>
      <c r="O143" s="1">
        <v>7.0928186513917266</v>
      </c>
      <c r="P143" s="6">
        <v>39.9</v>
      </c>
      <c r="Q143" s="6">
        <v>26</v>
      </c>
      <c r="R143" s="6">
        <v>12</v>
      </c>
      <c r="S143" s="6">
        <v>10</v>
      </c>
      <c r="T143" s="5">
        <v>4.5999999999999999E-3</v>
      </c>
      <c r="U143" s="1">
        <v>9.7999999999999997E-3</v>
      </c>
      <c r="V143" s="1">
        <v>4.4947999999999997</v>
      </c>
    </row>
    <row r="144" spans="1:22" x14ac:dyDescent="0.25">
      <c r="A144" s="1">
        <v>0.98089999999999999</v>
      </c>
      <c r="B144" s="9" t="s">
        <v>530</v>
      </c>
      <c r="C144" s="2">
        <v>4212</v>
      </c>
      <c r="D144" s="3" t="s">
        <v>69</v>
      </c>
      <c r="E144" s="9" t="s">
        <v>531</v>
      </c>
      <c r="F144" s="9" t="s">
        <v>532</v>
      </c>
      <c r="G144" s="1">
        <v>1182.6206999999999</v>
      </c>
      <c r="H144" s="2">
        <v>283</v>
      </c>
      <c r="I144" s="2">
        <v>2</v>
      </c>
      <c r="J144" s="1">
        <v>1182.6008999999999</v>
      </c>
      <c r="K144" s="1">
        <v>592.31759999999997</v>
      </c>
      <c r="L144" s="9" t="s">
        <v>533</v>
      </c>
      <c r="M144" s="2">
        <v>6.22</v>
      </c>
      <c r="N144" s="4">
        <v>6254.32</v>
      </c>
      <c r="O144" s="1">
        <v>-16.714006134546739</v>
      </c>
      <c r="P144" s="6">
        <v>39.5</v>
      </c>
      <c r="Q144" s="6">
        <v>28.3</v>
      </c>
      <c r="R144" s="6">
        <v>10</v>
      </c>
      <c r="S144" s="6">
        <v>11</v>
      </c>
      <c r="T144" s="5">
        <v>2.5999999999999999E-2</v>
      </c>
      <c r="U144" s="1">
        <v>-1.9800000000000002E-2</v>
      </c>
      <c r="V144" s="1">
        <v>3.8586999999999998</v>
      </c>
    </row>
    <row r="145" spans="1:22" x14ac:dyDescent="0.25">
      <c r="A145" s="1">
        <v>0.96989999999999998</v>
      </c>
      <c r="B145" s="9" t="s">
        <v>534</v>
      </c>
      <c r="C145" s="2">
        <v>4220</v>
      </c>
      <c r="D145" s="3" t="s">
        <v>302</v>
      </c>
      <c r="E145" s="9" t="s">
        <v>535</v>
      </c>
      <c r="F145" s="9" t="s">
        <v>404</v>
      </c>
      <c r="G145" s="1">
        <v>1331.6465000000001</v>
      </c>
      <c r="H145" s="2">
        <v>134</v>
      </c>
      <c r="I145" s="2">
        <v>2</v>
      </c>
      <c r="J145" s="1">
        <v>1331.6415</v>
      </c>
      <c r="K145" s="1">
        <v>666.83050000000003</v>
      </c>
      <c r="L145" s="9" t="s">
        <v>405</v>
      </c>
      <c r="M145" s="2">
        <v>4.67</v>
      </c>
      <c r="N145" s="4">
        <v>6262.72</v>
      </c>
      <c r="O145" s="1">
        <v>-3.749078663918342</v>
      </c>
      <c r="P145" s="6">
        <v>34.700000000000003</v>
      </c>
      <c r="Q145" s="6">
        <v>24.8</v>
      </c>
      <c r="R145" s="6">
        <v>10.7</v>
      </c>
      <c r="S145" s="6">
        <v>12.7</v>
      </c>
      <c r="T145" s="5">
        <v>6.3E-2</v>
      </c>
      <c r="U145" s="1">
        <v>-5.0000000000000001E-3</v>
      </c>
      <c r="V145" s="1">
        <v>3.1101000000000001</v>
      </c>
    </row>
    <row r="146" spans="1:22" x14ac:dyDescent="0.25">
      <c r="A146" s="1">
        <v>0.99729999999999996</v>
      </c>
      <c r="B146" s="9" t="s">
        <v>536</v>
      </c>
      <c r="C146" s="2">
        <v>4223</v>
      </c>
      <c r="D146" s="3" t="s">
        <v>178</v>
      </c>
      <c r="E146" s="9" t="s">
        <v>507</v>
      </c>
      <c r="F146" s="9" t="s">
        <v>508</v>
      </c>
      <c r="G146" s="1">
        <v>1634.7763</v>
      </c>
      <c r="H146" s="2">
        <v>135</v>
      </c>
      <c r="I146" s="2">
        <v>2</v>
      </c>
      <c r="J146" s="1">
        <v>1634.7808</v>
      </c>
      <c r="K146" s="1">
        <v>818.3954</v>
      </c>
      <c r="L146" s="9" t="s">
        <v>509</v>
      </c>
      <c r="M146" s="2">
        <v>5.51</v>
      </c>
      <c r="N146" s="4">
        <v>6270.07</v>
      </c>
      <c r="O146" s="1">
        <v>2.7492823151254271</v>
      </c>
      <c r="P146" s="6">
        <v>39.6</v>
      </c>
      <c r="Q146" s="6">
        <v>24.3</v>
      </c>
      <c r="R146" s="6">
        <v>12.2</v>
      </c>
      <c r="S146" s="6">
        <v>10.7</v>
      </c>
      <c r="T146" s="5">
        <v>1.8000000000000001E-4</v>
      </c>
      <c r="U146" s="1">
        <v>4.4999999999999997E-3</v>
      </c>
      <c r="V146" s="1">
        <v>5.9409000000000001</v>
      </c>
    </row>
    <row r="147" spans="1:22" x14ac:dyDescent="0.25">
      <c r="A147" s="1">
        <v>0.97389999999999999</v>
      </c>
      <c r="B147" s="9" t="s">
        <v>537</v>
      </c>
      <c r="C147" s="2">
        <v>4226</v>
      </c>
      <c r="D147" s="3" t="s">
        <v>33</v>
      </c>
      <c r="E147" s="9" t="s">
        <v>516</v>
      </c>
      <c r="F147" s="9" t="s">
        <v>517</v>
      </c>
      <c r="G147" s="1">
        <v>1168.693</v>
      </c>
      <c r="H147" s="2">
        <v>1108</v>
      </c>
      <c r="I147" s="2">
        <v>2</v>
      </c>
      <c r="J147" s="1">
        <v>1168.6992</v>
      </c>
      <c r="K147" s="1">
        <v>585.35379999999998</v>
      </c>
      <c r="L147" s="9" t="s">
        <v>518</v>
      </c>
      <c r="M147" s="2">
        <v>9.5299999999999994</v>
      </c>
      <c r="N147" s="4">
        <v>6277.42</v>
      </c>
      <c r="O147" s="1">
        <v>5.2959423856136238</v>
      </c>
      <c r="P147" s="6">
        <v>44.6</v>
      </c>
      <c r="Q147" s="6">
        <v>34.200000000000003</v>
      </c>
      <c r="R147" s="6">
        <v>10.7</v>
      </c>
      <c r="S147" s="6">
        <v>12.3</v>
      </c>
      <c r="T147" s="5">
        <v>6.6000000000000003E-2</v>
      </c>
      <c r="U147" s="1">
        <v>6.1999999999999998E-3</v>
      </c>
      <c r="V147" s="1">
        <v>3.2566999999999999</v>
      </c>
    </row>
    <row r="148" spans="1:22" x14ac:dyDescent="0.25">
      <c r="A148" s="1">
        <v>0.99560000000000004</v>
      </c>
      <c r="B148" s="9" t="s">
        <v>538</v>
      </c>
      <c r="C148" s="2">
        <v>4228</v>
      </c>
      <c r="D148" s="3" t="s">
        <v>331</v>
      </c>
      <c r="E148" s="9" t="s">
        <v>539</v>
      </c>
      <c r="F148" s="9" t="s">
        <v>540</v>
      </c>
      <c r="G148" s="1">
        <v>1315.7166999999999</v>
      </c>
      <c r="H148" s="2">
        <v>137</v>
      </c>
      <c r="I148" s="2">
        <v>2</v>
      </c>
      <c r="J148" s="1">
        <v>1315.7282</v>
      </c>
      <c r="K148" s="1">
        <v>658.86559999999997</v>
      </c>
      <c r="L148" s="9" t="s">
        <v>514</v>
      </c>
      <c r="M148" s="2">
        <v>8.75</v>
      </c>
      <c r="N148" s="4">
        <v>6277.42</v>
      </c>
      <c r="O148" s="1">
        <v>8.7271212823981106</v>
      </c>
      <c r="P148" s="6">
        <v>39.799999999999997</v>
      </c>
      <c r="Q148" s="6">
        <v>26.2</v>
      </c>
      <c r="R148" s="6">
        <v>11.6</v>
      </c>
      <c r="S148" s="6">
        <v>12</v>
      </c>
      <c r="T148" s="5">
        <v>2E-3</v>
      </c>
      <c r="U148" s="1">
        <v>1.15E-2</v>
      </c>
      <c r="V148" s="1">
        <v>4.8487</v>
      </c>
    </row>
    <row r="149" spans="1:22" x14ac:dyDescent="0.25">
      <c r="A149" s="1">
        <v>0.9889</v>
      </c>
      <c r="B149" s="9" t="s">
        <v>541</v>
      </c>
      <c r="C149" s="2">
        <v>4246</v>
      </c>
      <c r="D149" s="3" t="s">
        <v>425</v>
      </c>
      <c r="E149" s="9" t="s">
        <v>527</v>
      </c>
      <c r="F149" s="9" t="s">
        <v>528</v>
      </c>
      <c r="G149" s="1">
        <v>1379.6647</v>
      </c>
      <c r="H149" s="2">
        <v>138</v>
      </c>
      <c r="I149" s="2">
        <v>2</v>
      </c>
      <c r="J149" s="1">
        <v>1379.6850999999999</v>
      </c>
      <c r="K149" s="1">
        <v>690.83960000000002</v>
      </c>
      <c r="L149" s="9" t="s">
        <v>529</v>
      </c>
      <c r="M149" s="2">
        <v>4.32</v>
      </c>
      <c r="N149" s="4">
        <v>6314.17</v>
      </c>
      <c r="O149" s="1">
        <v>14.764642906978699</v>
      </c>
      <c r="P149" s="6">
        <v>35.700000000000003</v>
      </c>
      <c r="Q149" s="6">
        <v>24.8</v>
      </c>
      <c r="R149" s="6">
        <v>11.7</v>
      </c>
      <c r="S149" s="6">
        <v>10</v>
      </c>
      <c r="T149" s="5">
        <v>6.4999999999999997E-3</v>
      </c>
      <c r="U149" s="1">
        <v>2.0400000000000001E-2</v>
      </c>
      <c r="V149" s="1">
        <v>4.1361999999999997</v>
      </c>
    </row>
    <row r="150" spans="1:22" x14ac:dyDescent="0.25">
      <c r="A150" s="1">
        <v>0.98709999999999998</v>
      </c>
      <c r="B150" s="9" t="s">
        <v>542</v>
      </c>
      <c r="C150" s="2">
        <v>4264</v>
      </c>
      <c r="D150" s="3" t="s">
        <v>146</v>
      </c>
      <c r="E150" s="9" t="s">
        <v>543</v>
      </c>
      <c r="F150" s="9" t="s">
        <v>544</v>
      </c>
      <c r="G150" s="1">
        <v>1401.7114999999999</v>
      </c>
      <c r="H150" s="2">
        <v>1110</v>
      </c>
      <c r="I150" s="2">
        <v>2</v>
      </c>
      <c r="J150" s="1">
        <v>1401.7177999999999</v>
      </c>
      <c r="K150" s="1">
        <v>701.86300000000006</v>
      </c>
      <c r="L150" s="9" t="s">
        <v>212</v>
      </c>
      <c r="M150" s="2">
        <v>8.4600000000000009</v>
      </c>
      <c r="N150" s="4">
        <v>6343.58</v>
      </c>
      <c r="O150" s="1">
        <v>4.4880553612314653</v>
      </c>
      <c r="P150" s="6">
        <v>38.9</v>
      </c>
      <c r="Q150" s="6">
        <v>32.1</v>
      </c>
      <c r="R150" s="6">
        <v>10.5</v>
      </c>
      <c r="S150" s="6">
        <v>11.4</v>
      </c>
      <c r="T150" s="5">
        <v>4.1000000000000003E-3</v>
      </c>
      <c r="U150" s="1">
        <v>6.3E-3</v>
      </c>
      <c r="V150" s="1">
        <v>3.895</v>
      </c>
    </row>
    <row r="151" spans="1:22" x14ac:dyDescent="0.25">
      <c r="A151" s="1">
        <v>0.99319999999999997</v>
      </c>
      <c r="B151" s="9" t="s">
        <v>545</v>
      </c>
      <c r="C151" s="2">
        <v>4270</v>
      </c>
      <c r="D151" s="3" t="s">
        <v>425</v>
      </c>
      <c r="E151" s="9" t="s">
        <v>546</v>
      </c>
      <c r="F151" s="9" t="s">
        <v>547</v>
      </c>
      <c r="G151" s="1">
        <v>1349.6537000000001</v>
      </c>
      <c r="H151" s="2">
        <v>140</v>
      </c>
      <c r="I151" s="2">
        <v>2</v>
      </c>
      <c r="J151" s="1">
        <v>1349.6613</v>
      </c>
      <c r="K151" s="1">
        <v>675.83410000000003</v>
      </c>
      <c r="L151" s="9" t="s">
        <v>548</v>
      </c>
      <c r="M151" s="2">
        <v>4.32</v>
      </c>
      <c r="N151" s="4">
        <v>6358.28</v>
      </c>
      <c r="O151" s="1">
        <v>5.6226816610762906</v>
      </c>
      <c r="P151" s="6">
        <v>36</v>
      </c>
      <c r="Q151" s="6">
        <v>23.3</v>
      </c>
      <c r="R151" s="6">
        <v>12.1</v>
      </c>
      <c r="S151" s="6">
        <v>10</v>
      </c>
      <c r="T151" s="5">
        <v>3.5999999999999999E-3</v>
      </c>
      <c r="U151" s="1">
        <v>7.6E-3</v>
      </c>
      <c r="V151" s="1">
        <v>4.6283000000000003</v>
      </c>
    </row>
    <row r="152" spans="1:22" x14ac:dyDescent="0.25">
      <c r="A152" s="1">
        <v>0.99070000000000003</v>
      </c>
      <c r="B152" s="9" t="s">
        <v>549</v>
      </c>
      <c r="C152" s="2">
        <v>4272</v>
      </c>
      <c r="D152" s="3" t="s">
        <v>550</v>
      </c>
      <c r="E152" s="9" t="s">
        <v>551</v>
      </c>
      <c r="F152" s="9" t="s">
        <v>552</v>
      </c>
      <c r="G152" s="1">
        <v>1864.895</v>
      </c>
      <c r="H152" s="2">
        <v>1112</v>
      </c>
      <c r="I152" s="2">
        <v>2</v>
      </c>
      <c r="J152" s="1">
        <v>1864.8964000000001</v>
      </c>
      <c r="K152" s="1">
        <v>933.45479999999998</v>
      </c>
      <c r="L152" s="9" t="s">
        <v>456</v>
      </c>
      <c r="M152" s="2">
        <v>4.37</v>
      </c>
      <c r="N152" s="4">
        <v>6358.28</v>
      </c>
      <c r="O152" s="1">
        <v>0.74990240555836241</v>
      </c>
      <c r="P152" s="6">
        <v>34.799999999999997</v>
      </c>
      <c r="Q152" s="6">
        <v>23</v>
      </c>
      <c r="R152" s="6">
        <v>10.5</v>
      </c>
      <c r="S152" s="6">
        <v>12.9</v>
      </c>
      <c r="T152" s="5">
        <v>1.9E-3</v>
      </c>
      <c r="U152" s="1">
        <v>1.4E-3</v>
      </c>
      <c r="V152" s="1">
        <v>4.2626999999999997</v>
      </c>
    </row>
    <row r="153" spans="1:22" x14ac:dyDescent="0.25">
      <c r="A153" s="1">
        <v>0.9798</v>
      </c>
      <c r="B153" s="9" t="s">
        <v>553</v>
      </c>
      <c r="C153" s="2">
        <v>4287</v>
      </c>
      <c r="D153" s="3" t="s">
        <v>154</v>
      </c>
      <c r="E153" s="9" t="s">
        <v>554</v>
      </c>
      <c r="F153" s="9" t="s">
        <v>555</v>
      </c>
      <c r="G153" s="1">
        <v>1227.5847000000001</v>
      </c>
      <c r="H153" s="2">
        <v>286</v>
      </c>
      <c r="I153" s="2">
        <v>2</v>
      </c>
      <c r="J153" s="1">
        <v>1227.5979</v>
      </c>
      <c r="K153" s="1">
        <v>614.79960000000005</v>
      </c>
      <c r="L153" s="9" t="s">
        <v>556</v>
      </c>
      <c r="M153" s="2">
        <v>6.22</v>
      </c>
      <c r="N153" s="4">
        <v>6391.93</v>
      </c>
      <c r="O153" s="1">
        <v>10.735205423035406</v>
      </c>
      <c r="P153" s="6">
        <v>35.4</v>
      </c>
      <c r="Q153" s="6">
        <v>26.6</v>
      </c>
      <c r="R153" s="6">
        <v>10.199999999999999</v>
      </c>
      <c r="S153" s="6">
        <v>10.3</v>
      </c>
      <c r="T153" s="5">
        <v>0.02</v>
      </c>
      <c r="U153" s="1">
        <v>1.32E-2</v>
      </c>
      <c r="V153" s="1">
        <v>3.8121999999999998</v>
      </c>
    </row>
    <row r="154" spans="1:22" x14ac:dyDescent="0.25">
      <c r="A154" s="1">
        <v>0.96799999999999997</v>
      </c>
      <c r="B154" s="9" t="s">
        <v>557</v>
      </c>
      <c r="C154" s="2">
        <v>4295</v>
      </c>
      <c r="D154" s="3" t="s">
        <v>558</v>
      </c>
      <c r="E154" s="9" t="s">
        <v>559</v>
      </c>
      <c r="F154" s="9" t="s">
        <v>560</v>
      </c>
      <c r="G154" s="1">
        <v>1563.0087000000001</v>
      </c>
      <c r="H154" s="2">
        <v>599</v>
      </c>
      <c r="I154" s="2">
        <v>3</v>
      </c>
      <c r="J154" s="1">
        <v>1563.1531</v>
      </c>
      <c r="K154" s="1">
        <v>522.01020000000005</v>
      </c>
      <c r="L154" s="9" t="s">
        <v>561</v>
      </c>
      <c r="M154" s="2">
        <v>4.5999999999999996</v>
      </c>
      <c r="N154" s="4">
        <v>6406.63</v>
      </c>
      <c r="O154" s="1">
        <v>92.207649071480461</v>
      </c>
      <c r="P154" s="6">
        <v>30.6</v>
      </c>
      <c r="Q154" s="6">
        <v>28.6</v>
      </c>
      <c r="R154" s="6">
        <v>14.1</v>
      </c>
      <c r="S154" s="6">
        <v>11</v>
      </c>
      <c r="T154" s="5">
        <v>2.1999999999999999E-2</v>
      </c>
      <c r="U154" s="1">
        <v>0.1444</v>
      </c>
      <c r="V154" s="1">
        <v>2.5895000000000001</v>
      </c>
    </row>
    <row r="155" spans="1:22" x14ac:dyDescent="0.25">
      <c r="A155" s="1">
        <v>0.99580000000000002</v>
      </c>
      <c r="B155" s="9" t="s">
        <v>562</v>
      </c>
      <c r="C155" s="2">
        <v>4306</v>
      </c>
      <c r="D155" s="3" t="s">
        <v>174</v>
      </c>
      <c r="E155" s="9" t="s">
        <v>551</v>
      </c>
      <c r="F155" s="9" t="s">
        <v>552</v>
      </c>
      <c r="G155" s="1">
        <v>1864.8947000000001</v>
      </c>
      <c r="H155" s="2">
        <v>894</v>
      </c>
      <c r="I155" s="2">
        <v>2</v>
      </c>
      <c r="J155" s="1">
        <v>1864.9245000000001</v>
      </c>
      <c r="K155" s="1">
        <v>933.45460000000003</v>
      </c>
      <c r="L155" s="9" t="s">
        <v>456</v>
      </c>
      <c r="M155" s="2">
        <v>4.37</v>
      </c>
      <c r="N155" s="4">
        <v>6426.73</v>
      </c>
      <c r="O155" s="1">
        <v>15.962211766913999</v>
      </c>
      <c r="P155" s="6">
        <v>46.9</v>
      </c>
      <c r="Q155" s="6">
        <v>26.6</v>
      </c>
      <c r="R155" s="6">
        <v>10.6</v>
      </c>
      <c r="S155" s="6">
        <v>12.9</v>
      </c>
      <c r="T155" s="5">
        <v>1.5999999999999999E-5</v>
      </c>
      <c r="U155" s="1">
        <v>2.98E-2</v>
      </c>
      <c r="V155" s="1">
        <v>6.5484999999999998</v>
      </c>
    </row>
    <row r="156" spans="1:22" x14ac:dyDescent="0.25">
      <c r="A156" s="1">
        <v>0.99539999999999995</v>
      </c>
      <c r="B156" s="9" t="s">
        <v>563</v>
      </c>
      <c r="C156" s="2">
        <v>4308</v>
      </c>
      <c r="D156" s="3" t="s">
        <v>280</v>
      </c>
      <c r="E156" s="9" t="s">
        <v>564</v>
      </c>
      <c r="F156" s="9" t="s">
        <v>565</v>
      </c>
      <c r="G156" s="1">
        <v>1540.6867999999999</v>
      </c>
      <c r="H156" s="2">
        <v>788</v>
      </c>
      <c r="I156" s="2">
        <v>2</v>
      </c>
      <c r="J156" s="1">
        <v>1540.6960999999999</v>
      </c>
      <c r="K156" s="1">
        <v>771.35069999999996</v>
      </c>
      <c r="L156" s="9" t="s">
        <v>566</v>
      </c>
      <c r="M156" s="2">
        <v>4.32</v>
      </c>
      <c r="N156" s="4">
        <v>6430.83</v>
      </c>
      <c r="O156" s="1">
        <v>6.0283863098847252</v>
      </c>
      <c r="P156" s="6">
        <v>42.4</v>
      </c>
      <c r="Q156" s="6">
        <v>27</v>
      </c>
      <c r="R156" s="6">
        <v>11.6</v>
      </c>
      <c r="S156" s="6">
        <v>11.2</v>
      </c>
      <c r="T156" s="5">
        <v>2.7999999999999998E-4</v>
      </c>
      <c r="U156" s="1">
        <v>9.2999999999999992E-3</v>
      </c>
      <c r="V156" s="1">
        <v>5.6420000000000003</v>
      </c>
    </row>
    <row r="157" spans="1:22" x14ac:dyDescent="0.25">
      <c r="A157" s="1">
        <v>0.99129999999999996</v>
      </c>
      <c r="B157" s="9" t="s">
        <v>567</v>
      </c>
      <c r="C157" s="2">
        <v>4327</v>
      </c>
      <c r="D157" s="3" t="s">
        <v>568</v>
      </c>
      <c r="E157" s="9" t="s">
        <v>569</v>
      </c>
      <c r="F157" s="9" t="s">
        <v>570</v>
      </c>
      <c r="G157" s="1">
        <v>1606.7661000000001</v>
      </c>
      <c r="H157" s="2">
        <v>637</v>
      </c>
      <c r="I157" s="2">
        <v>2</v>
      </c>
      <c r="J157" s="1">
        <v>1606.7722000000001</v>
      </c>
      <c r="K157" s="1">
        <v>804.39030000000002</v>
      </c>
      <c r="L157" s="9" t="s">
        <v>571</v>
      </c>
      <c r="M157" s="2">
        <v>4.75</v>
      </c>
      <c r="N157" s="4">
        <v>6465.53</v>
      </c>
      <c r="O157" s="1">
        <v>3.7916916700760814</v>
      </c>
      <c r="P157" s="6">
        <v>35.799999999999997</v>
      </c>
      <c r="Q157" s="6">
        <v>23.7</v>
      </c>
      <c r="R157" s="6">
        <v>9.5</v>
      </c>
      <c r="S157" s="6">
        <v>12</v>
      </c>
      <c r="T157" s="5">
        <v>9.1E-4</v>
      </c>
      <c r="U157" s="1">
        <v>6.1000000000000004E-3</v>
      </c>
      <c r="V157" s="1">
        <v>4.8395000000000001</v>
      </c>
    </row>
    <row r="158" spans="1:22" x14ac:dyDescent="0.25">
      <c r="A158" s="1">
        <v>0.99850000000000005</v>
      </c>
      <c r="B158" s="9" t="s">
        <v>572</v>
      </c>
      <c r="C158" s="2">
        <v>4331</v>
      </c>
      <c r="D158" s="3" t="s">
        <v>105</v>
      </c>
      <c r="E158" s="9" t="s">
        <v>573</v>
      </c>
      <c r="F158" s="9" t="s">
        <v>347</v>
      </c>
      <c r="G158" s="1">
        <v>1801.9437</v>
      </c>
      <c r="H158" s="2">
        <v>895</v>
      </c>
      <c r="I158" s="2">
        <v>2</v>
      </c>
      <c r="J158" s="1">
        <v>1801.9722999999999</v>
      </c>
      <c r="K158" s="1">
        <v>901.97910000000002</v>
      </c>
      <c r="L158" s="9" t="s">
        <v>258</v>
      </c>
      <c r="M158" s="2">
        <v>9.6999999999999993</v>
      </c>
      <c r="N158" s="4">
        <v>6472.88</v>
      </c>
      <c r="O158" s="1">
        <v>15.854025885965651</v>
      </c>
      <c r="P158" s="6">
        <v>46.6</v>
      </c>
      <c r="Q158" s="6">
        <v>29.3</v>
      </c>
      <c r="R158" s="6">
        <v>12.2</v>
      </c>
      <c r="S158" s="6">
        <v>11</v>
      </c>
      <c r="T158" s="5">
        <v>2.5000000000000001E-4</v>
      </c>
      <c r="U158" s="1">
        <v>2.86E-2</v>
      </c>
      <c r="V158" s="1">
        <v>5.5342000000000002</v>
      </c>
    </row>
    <row r="159" spans="1:22" x14ac:dyDescent="0.25">
      <c r="A159" s="1">
        <v>0.98780000000000001</v>
      </c>
      <c r="B159" s="9" t="s">
        <v>574</v>
      </c>
      <c r="C159" s="2">
        <v>4332</v>
      </c>
      <c r="D159" s="3" t="s">
        <v>520</v>
      </c>
      <c r="E159" s="9" t="s">
        <v>575</v>
      </c>
      <c r="F159" s="9" t="s">
        <v>576</v>
      </c>
      <c r="G159" s="1">
        <v>1580.7327</v>
      </c>
      <c r="H159" s="2">
        <v>142</v>
      </c>
      <c r="I159" s="2">
        <v>2</v>
      </c>
      <c r="J159" s="1">
        <v>1580.7565</v>
      </c>
      <c r="K159" s="1">
        <v>791.37360000000001</v>
      </c>
      <c r="L159" s="9" t="s">
        <v>577</v>
      </c>
      <c r="M159" s="2">
        <v>4.75</v>
      </c>
      <c r="N159" s="4">
        <v>6468.63</v>
      </c>
      <c r="O159" s="1">
        <v>15.03714554036172</v>
      </c>
      <c r="P159" s="6">
        <v>32.799999999999997</v>
      </c>
      <c r="Q159" s="6">
        <v>22.7</v>
      </c>
      <c r="R159" s="6">
        <v>11.8</v>
      </c>
      <c r="S159" s="6">
        <v>10.6</v>
      </c>
      <c r="T159" s="5">
        <v>5.8999999999999999E-3</v>
      </c>
      <c r="U159" s="1">
        <v>2.3800000000000002E-2</v>
      </c>
      <c r="V159" s="1">
        <v>4.0442</v>
      </c>
    </row>
    <row r="160" spans="1:22" x14ac:dyDescent="0.25">
      <c r="A160" s="1">
        <v>0.99650000000000005</v>
      </c>
      <c r="B160" s="9" t="s">
        <v>578</v>
      </c>
      <c r="C160" s="2">
        <v>4340</v>
      </c>
      <c r="D160" s="3" t="s">
        <v>423</v>
      </c>
      <c r="E160" s="9" t="s">
        <v>579</v>
      </c>
      <c r="F160" s="9" t="s">
        <v>580</v>
      </c>
      <c r="G160" s="1">
        <v>1079.5607</v>
      </c>
      <c r="H160" s="2">
        <v>143</v>
      </c>
      <c r="I160" s="2">
        <v>2</v>
      </c>
      <c r="J160" s="1">
        <v>1079.6257000000001</v>
      </c>
      <c r="K160" s="1">
        <v>540.7876</v>
      </c>
      <c r="L160" s="9" t="s">
        <v>581</v>
      </c>
      <c r="M160" s="2">
        <v>5.52</v>
      </c>
      <c r="N160" s="4">
        <v>6483.33</v>
      </c>
      <c r="O160" s="1">
        <v>60.097531822105388</v>
      </c>
      <c r="P160" s="6">
        <v>35.5</v>
      </c>
      <c r="Q160" s="6">
        <v>24.3</v>
      </c>
      <c r="R160" s="6">
        <v>11.4</v>
      </c>
      <c r="S160" s="6">
        <v>10.9</v>
      </c>
      <c r="T160" s="5">
        <v>5.8E-4</v>
      </c>
      <c r="U160" s="1">
        <v>6.5000000000000002E-2</v>
      </c>
      <c r="V160" s="1">
        <v>5.1071</v>
      </c>
    </row>
    <row r="161" spans="1:22" x14ac:dyDescent="0.25">
      <c r="A161" s="1">
        <v>0.99270000000000003</v>
      </c>
      <c r="B161" s="9" t="s">
        <v>582</v>
      </c>
      <c r="C161" s="2">
        <v>4342</v>
      </c>
      <c r="D161" s="3" t="s">
        <v>280</v>
      </c>
      <c r="E161" s="9" t="s">
        <v>564</v>
      </c>
      <c r="F161" s="9" t="s">
        <v>565</v>
      </c>
      <c r="G161" s="1">
        <v>1540.6867</v>
      </c>
      <c r="H161" s="2">
        <v>898</v>
      </c>
      <c r="I161" s="2">
        <v>2</v>
      </c>
      <c r="J161" s="1">
        <v>1540.7077999999999</v>
      </c>
      <c r="K161" s="1">
        <v>771.35059999999999</v>
      </c>
      <c r="L161" s="9" t="s">
        <v>566</v>
      </c>
      <c r="M161" s="2">
        <v>4.32</v>
      </c>
      <c r="N161" s="4">
        <v>6492.88</v>
      </c>
      <c r="O161" s="1">
        <v>13.677308347202946</v>
      </c>
      <c r="P161" s="6">
        <v>42.3</v>
      </c>
      <c r="Q161" s="6">
        <v>27.4</v>
      </c>
      <c r="R161" s="6">
        <v>11.7</v>
      </c>
      <c r="S161" s="6">
        <v>10.8</v>
      </c>
      <c r="T161" s="5">
        <v>1E-3</v>
      </c>
      <c r="U161" s="1">
        <v>2.1100000000000001E-2</v>
      </c>
      <c r="V161" s="1">
        <v>5.0285000000000002</v>
      </c>
    </row>
    <row r="162" spans="1:22" x14ac:dyDescent="0.25">
      <c r="A162" s="1">
        <v>0.99680000000000002</v>
      </c>
      <c r="B162" s="9" t="s">
        <v>583</v>
      </c>
      <c r="C162" s="2">
        <v>4354</v>
      </c>
      <c r="D162" s="3" t="s">
        <v>95</v>
      </c>
      <c r="E162" s="9" t="s">
        <v>584</v>
      </c>
      <c r="F162" s="9" t="s">
        <v>585</v>
      </c>
      <c r="G162" s="1">
        <v>1305.5736999999999</v>
      </c>
      <c r="H162" s="2">
        <v>146</v>
      </c>
      <c r="I162" s="2">
        <v>2</v>
      </c>
      <c r="J162" s="1">
        <v>1305.5929000000001</v>
      </c>
      <c r="K162" s="1">
        <v>653.79409999999996</v>
      </c>
      <c r="L162" s="9" t="s">
        <v>86</v>
      </c>
      <c r="M162" s="2">
        <v>4.71</v>
      </c>
      <c r="N162" s="4">
        <v>6512.73</v>
      </c>
      <c r="O162" s="1">
        <v>14.683521922268799</v>
      </c>
      <c r="P162" s="6">
        <v>31</v>
      </c>
      <c r="Q162" s="6">
        <v>19.3</v>
      </c>
      <c r="R162" s="6">
        <v>11.2</v>
      </c>
      <c r="S162" s="6">
        <v>7.6</v>
      </c>
      <c r="T162" s="5">
        <v>8.1999999999999998E-4</v>
      </c>
      <c r="U162" s="1">
        <v>1.9199999999999998E-2</v>
      </c>
      <c r="V162" s="1">
        <v>5.6489000000000003</v>
      </c>
    </row>
    <row r="163" spans="1:22" x14ac:dyDescent="0.25">
      <c r="A163" s="1">
        <v>0.97070000000000001</v>
      </c>
      <c r="B163" s="9" t="s">
        <v>586</v>
      </c>
      <c r="C163" s="2">
        <v>4355</v>
      </c>
      <c r="D163" s="3" t="s">
        <v>425</v>
      </c>
      <c r="E163" s="9" t="s">
        <v>587</v>
      </c>
      <c r="F163" s="9" t="s">
        <v>588</v>
      </c>
      <c r="G163" s="1">
        <v>1520.7007000000001</v>
      </c>
      <c r="H163" s="2">
        <v>291</v>
      </c>
      <c r="I163" s="2">
        <v>2</v>
      </c>
      <c r="J163" s="1">
        <v>1520.7364</v>
      </c>
      <c r="K163" s="1">
        <v>761.35760000000005</v>
      </c>
      <c r="L163" s="9" t="s">
        <v>589</v>
      </c>
      <c r="M163" s="2">
        <v>4.75</v>
      </c>
      <c r="N163" s="4">
        <v>6516.98</v>
      </c>
      <c r="O163" s="1">
        <v>23.44496199945991</v>
      </c>
      <c r="P163" s="6">
        <v>32.799999999999997</v>
      </c>
      <c r="Q163" s="6">
        <v>23</v>
      </c>
      <c r="R163" s="6">
        <v>12</v>
      </c>
      <c r="S163" s="6">
        <v>10</v>
      </c>
      <c r="T163" s="5">
        <v>1.7000000000000001E-2</v>
      </c>
      <c r="U163" s="1">
        <v>3.5700000000000003E-2</v>
      </c>
      <c r="V163" s="1">
        <v>3.6619999999999999</v>
      </c>
    </row>
    <row r="164" spans="1:22" x14ac:dyDescent="0.25">
      <c r="A164" s="1">
        <v>0.97170000000000001</v>
      </c>
      <c r="B164" s="9" t="s">
        <v>590</v>
      </c>
      <c r="C164" s="2">
        <v>4370</v>
      </c>
      <c r="D164" s="3" t="s">
        <v>591</v>
      </c>
      <c r="E164" s="9" t="s">
        <v>592</v>
      </c>
      <c r="F164" s="9" t="s">
        <v>130</v>
      </c>
      <c r="G164" s="1">
        <v>1658.8487</v>
      </c>
      <c r="H164" s="2">
        <v>149</v>
      </c>
      <c r="I164" s="2">
        <v>2</v>
      </c>
      <c r="J164" s="1">
        <v>1658.8679999999999</v>
      </c>
      <c r="K164" s="1">
        <v>830.4316</v>
      </c>
      <c r="L164" s="9" t="s">
        <v>131</v>
      </c>
      <c r="M164" s="2">
        <v>6.26</v>
      </c>
      <c r="N164" s="4">
        <v>6542.13</v>
      </c>
      <c r="O164" s="1">
        <v>11.620463383137155</v>
      </c>
      <c r="P164" s="6">
        <v>30.4</v>
      </c>
      <c r="Q164" s="6">
        <v>23.2</v>
      </c>
      <c r="R164" s="6">
        <v>12</v>
      </c>
      <c r="S164" s="6">
        <v>9.8000000000000007</v>
      </c>
      <c r="T164" s="5">
        <v>1.7000000000000001E-2</v>
      </c>
      <c r="U164" s="1">
        <v>1.9300000000000001E-2</v>
      </c>
      <c r="V164" s="1">
        <v>3.1551</v>
      </c>
    </row>
    <row r="165" spans="1:22" x14ac:dyDescent="0.25">
      <c r="A165" s="1">
        <v>0.98609999999999998</v>
      </c>
      <c r="B165" s="9" t="s">
        <v>593</v>
      </c>
      <c r="C165" s="2">
        <v>4374</v>
      </c>
      <c r="D165" s="3" t="s">
        <v>183</v>
      </c>
      <c r="E165" s="9" t="s">
        <v>594</v>
      </c>
      <c r="F165" s="9" t="s">
        <v>415</v>
      </c>
      <c r="G165" s="1">
        <v>1218.5988</v>
      </c>
      <c r="H165" s="2">
        <v>1122</v>
      </c>
      <c r="I165" s="2">
        <v>2</v>
      </c>
      <c r="J165" s="1">
        <v>1218.604</v>
      </c>
      <c r="K165" s="1">
        <v>610.30669999999998</v>
      </c>
      <c r="L165" s="9" t="s">
        <v>416</v>
      </c>
      <c r="M165" s="2">
        <v>4.75</v>
      </c>
      <c r="N165" s="4">
        <v>6549.48</v>
      </c>
      <c r="O165" s="1">
        <v>4.2601531328428797</v>
      </c>
      <c r="P165" s="6">
        <v>33.1</v>
      </c>
      <c r="Q165" s="6">
        <v>26.1</v>
      </c>
      <c r="R165" s="6">
        <v>12</v>
      </c>
      <c r="S165" s="6">
        <v>10.9</v>
      </c>
      <c r="T165" s="5">
        <v>9.4999999999999998E-3</v>
      </c>
      <c r="U165" s="1">
        <v>5.1999999999999998E-3</v>
      </c>
      <c r="V165" s="1">
        <v>3.8260000000000001</v>
      </c>
    </row>
    <row r="166" spans="1:22" x14ac:dyDescent="0.25">
      <c r="A166" s="1">
        <v>0.99570000000000003</v>
      </c>
      <c r="B166" s="9" t="s">
        <v>595</v>
      </c>
      <c r="C166" s="2">
        <v>4378</v>
      </c>
      <c r="D166" s="3" t="s">
        <v>105</v>
      </c>
      <c r="E166" s="9" t="s">
        <v>596</v>
      </c>
      <c r="F166" s="9" t="s">
        <v>597</v>
      </c>
      <c r="G166" s="1">
        <v>1780.9731999999999</v>
      </c>
      <c r="H166" s="2">
        <v>1123</v>
      </c>
      <c r="I166" s="2">
        <v>2</v>
      </c>
      <c r="J166" s="1">
        <v>1780.9729</v>
      </c>
      <c r="K166" s="1">
        <v>891.49390000000005</v>
      </c>
      <c r="L166" s="9" t="s">
        <v>157</v>
      </c>
      <c r="M166" s="2">
        <v>9.31</v>
      </c>
      <c r="N166" s="4">
        <v>6556.83</v>
      </c>
      <c r="O166" s="1">
        <v>-0.16825690001917004</v>
      </c>
      <c r="P166" s="6">
        <v>46</v>
      </c>
      <c r="Q166" s="6">
        <v>28.7</v>
      </c>
      <c r="R166" s="6">
        <v>12</v>
      </c>
      <c r="S166" s="6">
        <v>10.9</v>
      </c>
      <c r="T166" s="5">
        <v>1.6000000000000001E-4</v>
      </c>
      <c r="U166" s="1">
        <v>-2.9999999999999997E-4</v>
      </c>
      <c r="V166" s="1">
        <v>5.7457000000000003</v>
      </c>
    </row>
    <row r="167" spans="1:22" x14ac:dyDescent="0.25">
      <c r="A167" s="1">
        <v>0.997</v>
      </c>
      <c r="B167" s="9" t="s">
        <v>598</v>
      </c>
      <c r="C167" s="2">
        <v>4390</v>
      </c>
      <c r="D167" s="3" t="s">
        <v>95</v>
      </c>
      <c r="E167" s="9" t="s">
        <v>584</v>
      </c>
      <c r="F167" s="9" t="s">
        <v>585</v>
      </c>
      <c r="G167" s="1">
        <v>1305.5736999999999</v>
      </c>
      <c r="H167" s="2">
        <v>150</v>
      </c>
      <c r="I167" s="2">
        <v>2</v>
      </c>
      <c r="J167" s="1">
        <v>1305.5840000000001</v>
      </c>
      <c r="K167" s="1">
        <v>653.79409999999996</v>
      </c>
      <c r="L167" s="9" t="s">
        <v>86</v>
      </c>
      <c r="M167" s="2">
        <v>4.71</v>
      </c>
      <c r="N167" s="4">
        <v>6578.88</v>
      </c>
      <c r="O167" s="1">
        <v>7.8770976978837837</v>
      </c>
      <c r="P167" s="6">
        <v>31.7</v>
      </c>
      <c r="Q167" s="6">
        <v>22</v>
      </c>
      <c r="R167" s="6">
        <v>11.9</v>
      </c>
      <c r="S167" s="6">
        <v>8.1999999999999993</v>
      </c>
      <c r="T167" s="5">
        <v>3.2000000000000003E-4</v>
      </c>
      <c r="U167" s="1">
        <v>1.03E-2</v>
      </c>
      <c r="V167" s="1">
        <v>5.7583000000000002</v>
      </c>
    </row>
    <row r="168" spans="1:22" x14ac:dyDescent="0.25">
      <c r="A168" s="1">
        <v>0.98550000000000004</v>
      </c>
      <c r="B168" s="9" t="s">
        <v>599</v>
      </c>
      <c r="C168" s="2">
        <v>4414</v>
      </c>
      <c r="D168" s="3" t="s">
        <v>316</v>
      </c>
      <c r="E168" s="9" t="s">
        <v>596</v>
      </c>
      <c r="F168" s="9" t="s">
        <v>597</v>
      </c>
      <c r="G168" s="1">
        <v>1780.9731999999999</v>
      </c>
      <c r="H168" s="2">
        <v>1124</v>
      </c>
      <c r="I168" s="2">
        <v>2</v>
      </c>
      <c r="J168" s="1">
        <v>1780.9809</v>
      </c>
      <c r="K168" s="1">
        <v>891.49390000000005</v>
      </c>
      <c r="L168" s="9" t="s">
        <v>157</v>
      </c>
      <c r="M168" s="2">
        <v>9.31</v>
      </c>
      <c r="N168" s="4">
        <v>6622.98</v>
      </c>
      <c r="O168" s="1">
        <v>4.3185937671586982</v>
      </c>
      <c r="P168" s="6">
        <v>39.6</v>
      </c>
      <c r="Q168" s="6">
        <v>30.8</v>
      </c>
      <c r="R168" s="6">
        <v>12.2</v>
      </c>
      <c r="S168" s="6">
        <v>10.8</v>
      </c>
      <c r="T168" s="5">
        <v>3.3999999999999998E-3</v>
      </c>
      <c r="U168" s="1">
        <v>7.7000000000000002E-3</v>
      </c>
      <c r="V168" s="1">
        <v>3.7808000000000002</v>
      </c>
    </row>
    <row r="169" spans="1:22" x14ac:dyDescent="0.25">
      <c r="A169" s="1">
        <v>0.99109999999999998</v>
      </c>
      <c r="B169" s="9" t="s">
        <v>600</v>
      </c>
      <c r="C169" s="2">
        <v>4422</v>
      </c>
      <c r="D169" s="3" t="s">
        <v>425</v>
      </c>
      <c r="E169" s="9" t="s">
        <v>601</v>
      </c>
      <c r="F169" s="9" t="s">
        <v>602</v>
      </c>
      <c r="G169" s="1">
        <v>1389.7578000000001</v>
      </c>
      <c r="H169" s="2">
        <v>1125</v>
      </c>
      <c r="I169" s="2">
        <v>2</v>
      </c>
      <c r="J169" s="1">
        <v>1389.7514000000001</v>
      </c>
      <c r="K169" s="1">
        <v>695.88620000000003</v>
      </c>
      <c r="L169" s="9" t="s">
        <v>603</v>
      </c>
      <c r="M169" s="2">
        <v>4.21</v>
      </c>
      <c r="N169" s="4">
        <v>6637.68</v>
      </c>
      <c r="O169" s="1">
        <v>-4.5984530229224259</v>
      </c>
      <c r="P169" s="6">
        <v>34.700000000000003</v>
      </c>
      <c r="Q169" s="6">
        <v>22.3</v>
      </c>
      <c r="R169" s="6">
        <v>12.2</v>
      </c>
      <c r="S169" s="6">
        <v>11.8</v>
      </c>
      <c r="T169" s="5">
        <v>7.4999999999999997E-3</v>
      </c>
      <c r="U169" s="1">
        <v>-6.4000000000000003E-3</v>
      </c>
      <c r="V169" s="1">
        <v>4.3103999999999996</v>
      </c>
    </row>
    <row r="170" spans="1:22" x14ac:dyDescent="0.25">
      <c r="A170" s="1">
        <v>0.99560000000000004</v>
      </c>
      <c r="B170" s="9" t="s">
        <v>604</v>
      </c>
      <c r="C170" s="2">
        <v>4446</v>
      </c>
      <c r="D170" s="3" t="s">
        <v>183</v>
      </c>
      <c r="E170" s="9" t="s">
        <v>605</v>
      </c>
      <c r="F170" s="9" t="s">
        <v>606</v>
      </c>
      <c r="G170" s="1">
        <v>1210.6994999999999</v>
      </c>
      <c r="H170" s="2">
        <v>519</v>
      </c>
      <c r="I170" s="2">
        <v>2</v>
      </c>
      <c r="J170" s="1">
        <v>1210.6963000000001</v>
      </c>
      <c r="K170" s="1">
        <v>606.35699999999997</v>
      </c>
      <c r="L170" s="9" t="s">
        <v>607</v>
      </c>
      <c r="M170" s="2">
        <v>6.22</v>
      </c>
      <c r="N170" s="4">
        <v>6681.83</v>
      </c>
      <c r="O170" s="1">
        <v>-2.6387095390999034</v>
      </c>
      <c r="P170" s="6">
        <v>35.5</v>
      </c>
      <c r="Q170" s="6">
        <v>22.5</v>
      </c>
      <c r="R170" s="6">
        <v>12.3</v>
      </c>
      <c r="S170" s="6">
        <v>13.2</v>
      </c>
      <c r="T170" s="5">
        <v>3.0000000000000001E-3</v>
      </c>
      <c r="U170" s="1">
        <v>-3.2000000000000002E-3</v>
      </c>
      <c r="V170" s="1">
        <v>5.1920000000000002</v>
      </c>
    </row>
    <row r="171" spans="1:22" x14ac:dyDescent="0.25">
      <c r="A171" s="1">
        <v>0.97960000000000003</v>
      </c>
      <c r="B171" s="9" t="s">
        <v>608</v>
      </c>
      <c r="C171" s="2">
        <v>4458</v>
      </c>
      <c r="D171" s="3" t="s">
        <v>331</v>
      </c>
      <c r="E171" s="9" t="s">
        <v>601</v>
      </c>
      <c r="F171" s="9" t="s">
        <v>602</v>
      </c>
      <c r="G171" s="1">
        <v>1389.7577000000001</v>
      </c>
      <c r="H171" s="2">
        <v>906</v>
      </c>
      <c r="I171" s="2">
        <v>2</v>
      </c>
      <c r="J171" s="1">
        <v>1389.7699</v>
      </c>
      <c r="K171" s="1">
        <v>695.88610000000006</v>
      </c>
      <c r="L171" s="9" t="s">
        <v>603</v>
      </c>
      <c r="M171" s="2">
        <v>4.21</v>
      </c>
      <c r="N171" s="4">
        <v>6706.03</v>
      </c>
      <c r="O171" s="1">
        <v>8.765802334606196</v>
      </c>
      <c r="P171" s="6">
        <v>41.6</v>
      </c>
      <c r="Q171" s="6">
        <v>27.8</v>
      </c>
      <c r="R171" s="6">
        <v>12.1</v>
      </c>
      <c r="S171" s="6">
        <v>13</v>
      </c>
      <c r="T171" s="5">
        <v>1.4999999999999999E-2</v>
      </c>
      <c r="U171" s="1">
        <v>1.2200000000000001E-2</v>
      </c>
      <c r="V171" s="1">
        <v>3.8719999999999999</v>
      </c>
    </row>
    <row r="172" spans="1:22" x14ac:dyDescent="0.25">
      <c r="A172" s="1">
        <v>0.9819</v>
      </c>
      <c r="B172" s="9" t="s">
        <v>609</v>
      </c>
      <c r="C172" s="2">
        <v>4483</v>
      </c>
      <c r="D172" s="3" t="s">
        <v>78</v>
      </c>
      <c r="E172" s="9" t="s">
        <v>605</v>
      </c>
      <c r="F172" s="9" t="s">
        <v>606</v>
      </c>
      <c r="G172" s="1">
        <v>1210.6996999999999</v>
      </c>
      <c r="H172" s="2">
        <v>296</v>
      </c>
      <c r="I172" s="2">
        <v>2</v>
      </c>
      <c r="J172" s="1">
        <v>1210.6266000000001</v>
      </c>
      <c r="K172" s="1">
        <v>606.35709999999995</v>
      </c>
      <c r="L172" s="9" t="s">
        <v>607</v>
      </c>
      <c r="M172" s="2">
        <v>6.22</v>
      </c>
      <c r="N172" s="4">
        <v>6752.18</v>
      </c>
      <c r="O172" s="1">
        <v>-60.27801109280324</v>
      </c>
      <c r="P172" s="6">
        <v>41.4</v>
      </c>
      <c r="Q172" s="6">
        <v>30.1</v>
      </c>
      <c r="R172" s="6">
        <v>10.6</v>
      </c>
      <c r="S172" s="6">
        <v>11.1</v>
      </c>
      <c r="T172" s="5">
        <v>1.4999999999999999E-2</v>
      </c>
      <c r="U172" s="1">
        <v>-7.3099999999999998E-2</v>
      </c>
      <c r="V172" s="1">
        <v>3.9058999999999999</v>
      </c>
    </row>
    <row r="173" spans="1:22" x14ac:dyDescent="0.25">
      <c r="A173" s="1">
        <v>0.98360000000000003</v>
      </c>
      <c r="B173" s="9" t="s">
        <v>610</v>
      </c>
      <c r="C173" s="2">
        <v>4491</v>
      </c>
      <c r="D173" s="3" t="s">
        <v>183</v>
      </c>
      <c r="E173" s="9" t="s">
        <v>611</v>
      </c>
      <c r="F173" s="9" t="s">
        <v>358</v>
      </c>
      <c r="G173" s="1">
        <v>1291.6847</v>
      </c>
      <c r="H173" s="2">
        <v>158</v>
      </c>
      <c r="I173" s="2">
        <v>2</v>
      </c>
      <c r="J173" s="1">
        <v>1291.6622</v>
      </c>
      <c r="K173" s="1">
        <v>646.84960000000001</v>
      </c>
      <c r="L173" s="9" t="s">
        <v>359</v>
      </c>
      <c r="M173" s="2">
        <v>6.22</v>
      </c>
      <c r="N173" s="4">
        <v>6762.63</v>
      </c>
      <c r="O173" s="1">
        <v>-17.3919872563885</v>
      </c>
      <c r="P173" s="6">
        <v>31.9</v>
      </c>
      <c r="Q173" s="6">
        <v>25.5</v>
      </c>
      <c r="R173" s="6">
        <v>11.4</v>
      </c>
      <c r="S173" s="6">
        <v>10.4</v>
      </c>
      <c r="T173" s="5">
        <v>1.4E-2</v>
      </c>
      <c r="U173" s="1">
        <v>-2.2499999999999999E-2</v>
      </c>
      <c r="V173" s="1">
        <v>3.5749</v>
      </c>
    </row>
    <row r="174" spans="1:22" x14ac:dyDescent="0.25">
      <c r="A174" s="1">
        <v>0.99519999999999997</v>
      </c>
      <c r="B174" s="9" t="s">
        <v>612</v>
      </c>
      <c r="C174" s="2">
        <v>4494</v>
      </c>
      <c r="D174" s="3" t="s">
        <v>311</v>
      </c>
      <c r="E174" s="9" t="s">
        <v>601</v>
      </c>
      <c r="F174" s="9" t="s">
        <v>602</v>
      </c>
      <c r="G174" s="1">
        <v>1389.7578000000001</v>
      </c>
      <c r="H174" s="2">
        <v>1128</v>
      </c>
      <c r="I174" s="2">
        <v>2</v>
      </c>
      <c r="J174" s="1">
        <v>1389.7628999999999</v>
      </c>
      <c r="K174" s="1">
        <v>695.88620000000003</v>
      </c>
      <c r="L174" s="9" t="s">
        <v>603</v>
      </c>
      <c r="M174" s="2">
        <v>4.21</v>
      </c>
      <c r="N174" s="4">
        <v>6769.98</v>
      </c>
      <c r="O174" s="1">
        <v>3.6643922526413086</v>
      </c>
      <c r="P174" s="6">
        <v>39</v>
      </c>
      <c r="Q174" s="6">
        <v>25.2</v>
      </c>
      <c r="R174" s="6">
        <v>12.6</v>
      </c>
      <c r="S174" s="6">
        <v>12.3</v>
      </c>
      <c r="T174" s="5">
        <v>7.9000000000000001E-4</v>
      </c>
      <c r="U174" s="1">
        <v>5.1000000000000004E-3</v>
      </c>
      <c r="V174" s="1">
        <v>5.3338000000000001</v>
      </c>
    </row>
    <row r="175" spans="1:22" x14ac:dyDescent="0.25">
      <c r="A175" s="1">
        <v>0.97009999999999996</v>
      </c>
      <c r="B175" s="9" t="s">
        <v>613</v>
      </c>
      <c r="C175" s="2">
        <v>4516</v>
      </c>
      <c r="D175" s="3" t="s">
        <v>423</v>
      </c>
      <c r="E175" s="9" t="s">
        <v>614</v>
      </c>
      <c r="F175" s="9" t="s">
        <v>615</v>
      </c>
      <c r="G175" s="1">
        <v>1639.9486999999999</v>
      </c>
      <c r="H175" s="2">
        <v>1129</v>
      </c>
      <c r="I175" s="2">
        <v>2</v>
      </c>
      <c r="J175" s="1">
        <v>1639.9664</v>
      </c>
      <c r="K175" s="1">
        <v>820.98159999999996</v>
      </c>
      <c r="L175" s="9" t="s">
        <v>616</v>
      </c>
      <c r="M175" s="2">
        <v>10</v>
      </c>
      <c r="N175" s="4">
        <v>6806.74</v>
      </c>
      <c r="O175" s="1">
        <v>10.779778742909707</v>
      </c>
      <c r="P175" s="6">
        <v>36.1</v>
      </c>
      <c r="Q175" s="6">
        <v>27.7</v>
      </c>
      <c r="R175" s="6">
        <v>12.4</v>
      </c>
      <c r="S175" s="6">
        <v>10.6</v>
      </c>
      <c r="T175" s="5">
        <v>2.1000000000000001E-2</v>
      </c>
      <c r="U175" s="1">
        <v>1.77E-2</v>
      </c>
      <c r="V175" s="1">
        <v>3.1469</v>
      </c>
    </row>
    <row r="176" spans="1:22" x14ac:dyDescent="0.25">
      <c r="A176" s="1">
        <v>0.99719999999999998</v>
      </c>
      <c r="B176" s="9" t="s">
        <v>617</v>
      </c>
      <c r="C176" s="2">
        <v>4540</v>
      </c>
      <c r="D176" s="3" t="s">
        <v>520</v>
      </c>
      <c r="E176" s="9" t="s">
        <v>618</v>
      </c>
      <c r="F176" s="9" t="s">
        <v>619</v>
      </c>
      <c r="G176" s="1">
        <v>1641.8336999999999</v>
      </c>
      <c r="H176" s="2">
        <v>717</v>
      </c>
      <c r="I176" s="2">
        <v>2</v>
      </c>
      <c r="J176" s="1">
        <v>1641.8433</v>
      </c>
      <c r="K176" s="1">
        <v>821.92409999999995</v>
      </c>
      <c r="L176" s="9" t="s">
        <v>571</v>
      </c>
      <c r="M176" s="2">
        <v>6.76</v>
      </c>
      <c r="N176" s="4">
        <v>6856.84</v>
      </c>
      <c r="O176" s="1">
        <v>5.8399552951422153</v>
      </c>
      <c r="P176" s="6">
        <v>33.4</v>
      </c>
      <c r="Q176" s="6">
        <v>20.3</v>
      </c>
      <c r="R176" s="6">
        <v>9.5</v>
      </c>
      <c r="S176" s="6">
        <v>11.4</v>
      </c>
      <c r="T176" s="5">
        <v>5.8E-5</v>
      </c>
      <c r="U176" s="1">
        <v>9.5999999999999992E-3</v>
      </c>
      <c r="V176" s="1">
        <v>6.4694000000000003</v>
      </c>
    </row>
    <row r="177" spans="1:22" x14ac:dyDescent="0.25">
      <c r="A177" s="1">
        <v>0.99419999999999997</v>
      </c>
      <c r="B177" s="9" t="s">
        <v>620</v>
      </c>
      <c r="C177" s="2">
        <v>4578</v>
      </c>
      <c r="D177" s="3" t="s">
        <v>621</v>
      </c>
      <c r="E177" s="9" t="s">
        <v>622</v>
      </c>
      <c r="F177" s="9" t="s">
        <v>623</v>
      </c>
      <c r="G177" s="1">
        <v>1261.6992</v>
      </c>
      <c r="H177" s="2">
        <v>525</v>
      </c>
      <c r="I177" s="2">
        <v>2</v>
      </c>
      <c r="J177" s="1">
        <v>1261.7</v>
      </c>
      <c r="K177" s="1">
        <v>631.8569</v>
      </c>
      <c r="L177" s="9" t="s">
        <v>412</v>
      </c>
      <c r="M177" s="2">
        <v>6.22</v>
      </c>
      <c r="N177" s="4">
        <v>6923.64</v>
      </c>
      <c r="O177" s="1">
        <v>0.63305473122157885</v>
      </c>
      <c r="P177" s="6">
        <v>36.700000000000003</v>
      </c>
      <c r="Q177" s="6">
        <v>24.1</v>
      </c>
      <c r="R177" s="6">
        <v>11.9</v>
      </c>
      <c r="S177" s="6">
        <v>11.1</v>
      </c>
      <c r="T177" s="5">
        <v>4.7999999999999996E-3</v>
      </c>
      <c r="U177" s="1">
        <v>8.0000000000000004E-4</v>
      </c>
      <c r="V177" s="1">
        <v>4.8384999999999998</v>
      </c>
    </row>
    <row r="178" spans="1:22" x14ac:dyDescent="0.25">
      <c r="A178" s="1">
        <v>0.99170000000000003</v>
      </c>
      <c r="B178" s="9" t="s">
        <v>624</v>
      </c>
      <c r="C178" s="2">
        <v>4614</v>
      </c>
      <c r="D178" s="3" t="s">
        <v>621</v>
      </c>
      <c r="E178" s="9" t="s">
        <v>622</v>
      </c>
      <c r="F178" s="9" t="s">
        <v>623</v>
      </c>
      <c r="G178" s="1">
        <v>1261.6992</v>
      </c>
      <c r="H178" s="2">
        <v>163</v>
      </c>
      <c r="I178" s="2">
        <v>2</v>
      </c>
      <c r="J178" s="1">
        <v>1261.7041999999999</v>
      </c>
      <c r="K178" s="1">
        <v>631.8569</v>
      </c>
      <c r="L178" s="9" t="s">
        <v>412</v>
      </c>
      <c r="M178" s="2">
        <v>6.22</v>
      </c>
      <c r="N178" s="4">
        <v>6989.34</v>
      </c>
      <c r="O178" s="1">
        <v>3.9565920701348678</v>
      </c>
      <c r="P178" s="6">
        <v>37</v>
      </c>
      <c r="Q178" s="6">
        <v>26.1</v>
      </c>
      <c r="R178" s="6">
        <v>12.3</v>
      </c>
      <c r="S178" s="6">
        <v>11.3</v>
      </c>
      <c r="T178" s="5">
        <v>1.0999999999999999E-2</v>
      </c>
      <c r="U178" s="1">
        <v>5.0000000000000001E-3</v>
      </c>
      <c r="V178" s="1">
        <v>4.1723999999999997</v>
      </c>
    </row>
    <row r="179" spans="1:22" x14ac:dyDescent="0.25">
      <c r="A179" s="1">
        <v>0.99580000000000002</v>
      </c>
      <c r="B179" s="9" t="s">
        <v>625</v>
      </c>
      <c r="C179" s="2">
        <v>4626</v>
      </c>
      <c r="D179" s="3" t="s">
        <v>178</v>
      </c>
      <c r="E179" s="9" t="s">
        <v>626</v>
      </c>
      <c r="F179" s="9" t="s">
        <v>627</v>
      </c>
      <c r="G179" s="1">
        <v>1529.7547</v>
      </c>
      <c r="H179" s="2">
        <v>909</v>
      </c>
      <c r="I179" s="2">
        <v>2</v>
      </c>
      <c r="J179" s="1">
        <v>1529.7789</v>
      </c>
      <c r="K179" s="1">
        <v>765.88459999999998</v>
      </c>
      <c r="L179" s="9" t="s">
        <v>628</v>
      </c>
      <c r="M179" s="2">
        <v>4.3499999999999996</v>
      </c>
      <c r="N179" s="4">
        <v>7013.39</v>
      </c>
      <c r="O179" s="1">
        <v>15.798724768718419</v>
      </c>
      <c r="P179" s="6">
        <v>41.1</v>
      </c>
      <c r="Q179" s="6">
        <v>26.2</v>
      </c>
      <c r="R179" s="6">
        <v>12.1</v>
      </c>
      <c r="S179" s="6">
        <v>12.2</v>
      </c>
      <c r="T179" s="5">
        <v>2.9E-5</v>
      </c>
      <c r="U179" s="1">
        <v>2.4199999999999999E-2</v>
      </c>
      <c r="V179" s="1">
        <v>6.6452999999999998</v>
      </c>
    </row>
    <row r="180" spans="1:22" x14ac:dyDescent="0.25">
      <c r="A180" s="1">
        <v>0.99360000000000004</v>
      </c>
      <c r="B180" s="9" t="s">
        <v>629</v>
      </c>
      <c r="C180" s="2">
        <v>4650</v>
      </c>
      <c r="D180" s="3" t="s">
        <v>630</v>
      </c>
      <c r="E180" s="9" t="s">
        <v>631</v>
      </c>
      <c r="F180" s="9" t="s">
        <v>632</v>
      </c>
      <c r="G180" s="1">
        <v>1534.7447</v>
      </c>
      <c r="H180" s="2">
        <v>1136</v>
      </c>
      <c r="I180" s="2">
        <v>2</v>
      </c>
      <c r="J180" s="1">
        <v>1534.7560000000001</v>
      </c>
      <c r="K180" s="1">
        <v>768.37959999999998</v>
      </c>
      <c r="L180" s="9" t="s">
        <v>633</v>
      </c>
      <c r="M180" s="2">
        <v>4.21</v>
      </c>
      <c r="N180" s="4">
        <v>7055.04</v>
      </c>
      <c r="O180" s="1">
        <v>7.3531363924810078</v>
      </c>
      <c r="P180" s="6">
        <v>38.4</v>
      </c>
      <c r="Q180" s="6">
        <v>26</v>
      </c>
      <c r="R180" s="6">
        <v>11.2</v>
      </c>
      <c r="S180" s="6">
        <v>9</v>
      </c>
      <c r="T180" s="5">
        <v>6.3000000000000003E-4</v>
      </c>
      <c r="U180" s="1">
        <v>1.1299999999999999E-2</v>
      </c>
      <c r="V180" s="1">
        <v>4.7786</v>
      </c>
    </row>
    <row r="181" spans="1:22" x14ac:dyDescent="0.25">
      <c r="A181" s="1">
        <v>0.99690000000000001</v>
      </c>
      <c r="B181" s="9" t="s">
        <v>634</v>
      </c>
      <c r="C181" s="2">
        <v>4662</v>
      </c>
      <c r="D181" s="3" t="s">
        <v>316</v>
      </c>
      <c r="E181" s="9" t="s">
        <v>635</v>
      </c>
      <c r="F181" s="9" t="s">
        <v>340</v>
      </c>
      <c r="G181" s="1">
        <v>1664.8236999999999</v>
      </c>
      <c r="H181" s="2">
        <v>170</v>
      </c>
      <c r="I181" s="2">
        <v>2</v>
      </c>
      <c r="J181" s="1">
        <v>1664.836</v>
      </c>
      <c r="K181" s="1">
        <v>833.41909999999996</v>
      </c>
      <c r="L181" s="9" t="s">
        <v>341</v>
      </c>
      <c r="M181" s="2">
        <v>6.22</v>
      </c>
      <c r="N181" s="4">
        <v>7076.94</v>
      </c>
      <c r="O181" s="1">
        <v>7.3792405285648011</v>
      </c>
      <c r="P181" s="6">
        <v>37.799999999999997</v>
      </c>
      <c r="Q181" s="6">
        <v>23.5</v>
      </c>
      <c r="R181" s="6">
        <v>9.3000000000000007</v>
      </c>
      <c r="S181" s="6">
        <v>11</v>
      </c>
      <c r="T181" s="5">
        <v>4.8000000000000001E-4</v>
      </c>
      <c r="U181" s="1">
        <v>1.23E-2</v>
      </c>
      <c r="V181" s="1">
        <v>5.2854000000000001</v>
      </c>
    </row>
    <row r="182" spans="1:22" x14ac:dyDescent="0.25">
      <c r="A182" s="1">
        <v>0.99119999999999997</v>
      </c>
      <c r="B182" s="9" t="s">
        <v>636</v>
      </c>
      <c r="C182" s="2">
        <v>4667</v>
      </c>
      <c r="D182" s="3" t="s">
        <v>302</v>
      </c>
      <c r="E182" s="9" t="s">
        <v>637</v>
      </c>
      <c r="F182" s="9" t="s">
        <v>513</v>
      </c>
      <c r="G182" s="1">
        <v>1456.7272</v>
      </c>
      <c r="H182" s="2">
        <v>172</v>
      </c>
      <c r="I182" s="2">
        <v>2</v>
      </c>
      <c r="J182" s="1">
        <v>1456.7362000000001</v>
      </c>
      <c r="K182" s="1">
        <v>729.37090000000001</v>
      </c>
      <c r="L182" s="9" t="s">
        <v>514</v>
      </c>
      <c r="M182" s="2">
        <v>6.22</v>
      </c>
      <c r="N182" s="4">
        <v>7084.24</v>
      </c>
      <c r="O182" s="1">
        <v>6.1697004912041313</v>
      </c>
      <c r="P182" s="6">
        <v>33.1</v>
      </c>
      <c r="Q182" s="6">
        <v>22.9</v>
      </c>
      <c r="R182" s="6">
        <v>12.2</v>
      </c>
      <c r="S182" s="6">
        <v>10.4</v>
      </c>
      <c r="T182" s="5">
        <v>9.7999999999999997E-3</v>
      </c>
      <c r="U182" s="1">
        <v>8.9999999999999993E-3</v>
      </c>
      <c r="V182" s="1">
        <v>4.1180000000000003</v>
      </c>
    </row>
    <row r="183" spans="1:22" x14ac:dyDescent="0.25">
      <c r="A183" s="1">
        <v>0.98650000000000004</v>
      </c>
      <c r="B183" s="9" t="s">
        <v>638</v>
      </c>
      <c r="C183" s="2">
        <v>4687</v>
      </c>
      <c r="D183" s="3" t="s">
        <v>568</v>
      </c>
      <c r="E183" s="9" t="s">
        <v>639</v>
      </c>
      <c r="F183" s="9" t="s">
        <v>632</v>
      </c>
      <c r="G183" s="1">
        <v>1477.7237</v>
      </c>
      <c r="H183" s="2">
        <v>1139</v>
      </c>
      <c r="I183" s="2">
        <v>2</v>
      </c>
      <c r="J183" s="1">
        <v>1477.7517</v>
      </c>
      <c r="K183" s="1">
        <v>739.8691</v>
      </c>
      <c r="L183" s="9" t="s">
        <v>633</v>
      </c>
      <c r="M183" s="2">
        <v>4.21</v>
      </c>
      <c r="N183" s="4">
        <v>7120.74</v>
      </c>
      <c r="O183" s="1">
        <v>18.922266114370775</v>
      </c>
      <c r="P183" s="6">
        <v>33.200000000000003</v>
      </c>
      <c r="Q183" s="6">
        <v>24.2</v>
      </c>
      <c r="R183" s="6">
        <v>11.2</v>
      </c>
      <c r="S183" s="6">
        <v>9.1</v>
      </c>
      <c r="T183" s="5">
        <v>4.7000000000000002E-3</v>
      </c>
      <c r="U183" s="1">
        <v>2.8000000000000001E-2</v>
      </c>
      <c r="V183" s="1">
        <v>3.8513000000000002</v>
      </c>
    </row>
    <row r="184" spans="1:22" x14ac:dyDescent="0.25">
      <c r="A184" s="1">
        <v>0.98419999999999996</v>
      </c>
      <c r="B184" s="9" t="s">
        <v>640</v>
      </c>
      <c r="C184" s="2">
        <v>4699</v>
      </c>
      <c r="D184" s="3" t="s">
        <v>316</v>
      </c>
      <c r="E184" s="9" t="s">
        <v>635</v>
      </c>
      <c r="F184" s="9" t="s">
        <v>340</v>
      </c>
      <c r="G184" s="1">
        <v>1664.8236999999999</v>
      </c>
      <c r="H184" s="2">
        <v>634</v>
      </c>
      <c r="I184" s="2">
        <v>2</v>
      </c>
      <c r="J184" s="1">
        <v>1664.8389999999999</v>
      </c>
      <c r="K184" s="1">
        <v>833.41909999999996</v>
      </c>
      <c r="L184" s="9" t="s">
        <v>341</v>
      </c>
      <c r="M184" s="2">
        <v>6.22</v>
      </c>
      <c r="N184" s="4">
        <v>7146.84</v>
      </c>
      <c r="O184" s="1">
        <v>9.1790552916293855</v>
      </c>
      <c r="P184" s="6">
        <v>38.200000000000003</v>
      </c>
      <c r="Q184" s="6">
        <v>28.7</v>
      </c>
      <c r="R184" s="6">
        <v>10.1</v>
      </c>
      <c r="S184" s="6">
        <v>11.2</v>
      </c>
      <c r="T184" s="5">
        <v>1.8E-3</v>
      </c>
      <c r="U184" s="1">
        <v>1.5299999999999999E-2</v>
      </c>
      <c r="V184" s="1">
        <v>4.1660000000000004</v>
      </c>
    </row>
    <row r="185" spans="1:22" x14ac:dyDescent="0.25">
      <c r="A185" s="1">
        <v>0.97760000000000002</v>
      </c>
      <c r="B185" s="9" t="s">
        <v>641</v>
      </c>
      <c r="C185" s="2">
        <v>4702</v>
      </c>
      <c r="D185" s="3" t="s">
        <v>302</v>
      </c>
      <c r="E185" s="9" t="s">
        <v>637</v>
      </c>
      <c r="F185" s="9" t="s">
        <v>513</v>
      </c>
      <c r="G185" s="1">
        <v>1456.7266999999999</v>
      </c>
      <c r="H185" s="2">
        <v>174</v>
      </c>
      <c r="I185" s="2">
        <v>2</v>
      </c>
      <c r="J185" s="1">
        <v>1456.7537</v>
      </c>
      <c r="K185" s="1">
        <v>729.37059999999997</v>
      </c>
      <c r="L185" s="9" t="s">
        <v>514</v>
      </c>
      <c r="M185" s="2">
        <v>6.22</v>
      </c>
      <c r="N185" s="4">
        <v>7149.94</v>
      </c>
      <c r="O185" s="1">
        <v>18.509109086656359</v>
      </c>
      <c r="P185" s="6">
        <v>34</v>
      </c>
      <c r="Q185" s="6">
        <v>22.1</v>
      </c>
      <c r="R185" s="6">
        <v>12</v>
      </c>
      <c r="S185" s="6">
        <v>10.1</v>
      </c>
      <c r="T185" s="5">
        <v>7.5999999999999998E-2</v>
      </c>
      <c r="U185" s="1">
        <v>2.7E-2</v>
      </c>
      <c r="V185" s="1">
        <v>3.3317000000000001</v>
      </c>
    </row>
    <row r="186" spans="1:22" x14ac:dyDescent="0.25">
      <c r="A186" s="1">
        <v>0.98660000000000003</v>
      </c>
      <c r="B186" s="9" t="s">
        <v>642</v>
      </c>
      <c r="C186" s="2">
        <v>4704</v>
      </c>
      <c r="D186" s="3" t="s">
        <v>69</v>
      </c>
      <c r="E186" s="9" t="s">
        <v>643</v>
      </c>
      <c r="F186" s="9" t="s">
        <v>623</v>
      </c>
      <c r="G186" s="1">
        <v>1204.6777</v>
      </c>
      <c r="H186" s="2">
        <v>175</v>
      </c>
      <c r="I186" s="2">
        <v>2</v>
      </c>
      <c r="J186" s="1">
        <v>1204.6765</v>
      </c>
      <c r="K186" s="1">
        <v>603.34609999999998</v>
      </c>
      <c r="L186" s="9" t="s">
        <v>412</v>
      </c>
      <c r="M186" s="2">
        <v>6.22</v>
      </c>
      <c r="N186" s="4">
        <v>7149.94</v>
      </c>
      <c r="O186" s="1">
        <v>-0.99445409525312245</v>
      </c>
      <c r="P186" s="6">
        <v>39.700000000000003</v>
      </c>
      <c r="Q186" s="6">
        <v>29.3</v>
      </c>
      <c r="R186" s="6">
        <v>11.8</v>
      </c>
      <c r="S186" s="6">
        <v>11.7</v>
      </c>
      <c r="T186" s="5">
        <v>2.5999999999999999E-2</v>
      </c>
      <c r="U186" s="1">
        <v>-1.1999999999999999E-3</v>
      </c>
      <c r="V186" s="1">
        <v>3.7435999999999998</v>
      </c>
    </row>
    <row r="187" spans="1:22" x14ac:dyDescent="0.25">
      <c r="A187" s="1">
        <v>0.99270000000000003</v>
      </c>
      <c r="B187" s="9" t="s">
        <v>644</v>
      </c>
      <c r="C187" s="2">
        <v>4714</v>
      </c>
      <c r="D187" s="3" t="s">
        <v>645</v>
      </c>
      <c r="E187" s="9" t="s">
        <v>646</v>
      </c>
      <c r="F187" s="9" t="s">
        <v>647</v>
      </c>
      <c r="G187" s="1">
        <v>1601.8521000000001</v>
      </c>
      <c r="H187" s="2">
        <v>176</v>
      </c>
      <c r="I187" s="2">
        <v>2</v>
      </c>
      <c r="J187" s="1">
        <v>1601.8597</v>
      </c>
      <c r="K187" s="1">
        <v>801.93330000000003</v>
      </c>
      <c r="L187" s="9" t="s">
        <v>118</v>
      </c>
      <c r="M187" s="2">
        <v>6.21</v>
      </c>
      <c r="N187" s="4">
        <v>7171.84</v>
      </c>
      <c r="O187" s="1">
        <v>4.7385487047364165</v>
      </c>
      <c r="P187" s="6">
        <v>41.9</v>
      </c>
      <c r="Q187" s="6">
        <v>28.9</v>
      </c>
      <c r="R187" s="6">
        <v>11.8</v>
      </c>
      <c r="S187" s="6">
        <v>9.6</v>
      </c>
      <c r="T187" s="5">
        <v>1.8E-3</v>
      </c>
      <c r="U187" s="1">
        <v>7.6E-3</v>
      </c>
      <c r="V187" s="1">
        <v>4.2926000000000002</v>
      </c>
    </row>
    <row r="188" spans="1:22" x14ac:dyDescent="0.25">
      <c r="A188" s="1">
        <v>0.99780000000000002</v>
      </c>
      <c r="B188" s="9" t="s">
        <v>648</v>
      </c>
      <c r="C188" s="2">
        <v>4744</v>
      </c>
      <c r="D188" s="3" t="s">
        <v>423</v>
      </c>
      <c r="E188" s="9" t="s">
        <v>649</v>
      </c>
      <c r="F188" s="9" t="s">
        <v>650</v>
      </c>
      <c r="G188" s="1">
        <v>1519.7592</v>
      </c>
      <c r="H188" s="2">
        <v>178</v>
      </c>
      <c r="I188" s="2">
        <v>2</v>
      </c>
      <c r="J188" s="1">
        <v>1519.7664</v>
      </c>
      <c r="K188" s="1">
        <v>760.88689999999997</v>
      </c>
      <c r="L188" s="9" t="s">
        <v>296</v>
      </c>
      <c r="M188" s="2">
        <v>4.32</v>
      </c>
      <c r="N188" s="4">
        <v>7222.99</v>
      </c>
      <c r="O188" s="1">
        <v>4.7313207784231803</v>
      </c>
      <c r="P188" s="6">
        <v>40.299999999999997</v>
      </c>
      <c r="Q188" s="6">
        <v>24.8</v>
      </c>
      <c r="R188" s="6">
        <v>12.5</v>
      </c>
      <c r="S188" s="6">
        <v>10.1</v>
      </c>
      <c r="T188" s="5">
        <v>6.0000000000000002E-5</v>
      </c>
      <c r="U188" s="1">
        <v>7.1999999999999998E-3</v>
      </c>
      <c r="V188" s="1">
        <v>6.4206000000000003</v>
      </c>
    </row>
    <row r="189" spans="1:22" x14ac:dyDescent="0.25">
      <c r="A189" s="1">
        <v>0.99650000000000005</v>
      </c>
      <c r="B189" s="9" t="s">
        <v>651</v>
      </c>
      <c r="C189" s="2">
        <v>4751</v>
      </c>
      <c r="D189" s="3" t="s">
        <v>550</v>
      </c>
      <c r="E189" s="9" t="s">
        <v>652</v>
      </c>
      <c r="F189" s="9" t="s">
        <v>195</v>
      </c>
      <c r="G189" s="1">
        <v>1732.9432999999999</v>
      </c>
      <c r="H189" s="2">
        <v>632</v>
      </c>
      <c r="I189" s="2">
        <v>2</v>
      </c>
      <c r="J189" s="1">
        <v>1732.9431</v>
      </c>
      <c r="K189" s="1">
        <v>867.47889999999995</v>
      </c>
      <c r="L189" s="9" t="s">
        <v>196</v>
      </c>
      <c r="M189" s="2">
        <v>6.24</v>
      </c>
      <c r="N189" s="4">
        <v>7241.79</v>
      </c>
      <c r="O189" s="1">
        <v>-0.11527657906146191</v>
      </c>
      <c r="P189" s="6">
        <v>36.799999999999997</v>
      </c>
      <c r="Q189" s="6">
        <v>20.8</v>
      </c>
      <c r="R189" s="6">
        <v>10.199999999999999</v>
      </c>
      <c r="S189" s="6">
        <v>7.8</v>
      </c>
      <c r="T189" s="5">
        <v>4.3000000000000002E-5</v>
      </c>
      <c r="U189" s="1">
        <v>-2.0000000000000001E-4</v>
      </c>
      <c r="V189" s="1">
        <v>6.1608999999999998</v>
      </c>
    </row>
    <row r="190" spans="1:22" x14ac:dyDescent="0.25">
      <c r="A190" s="1">
        <v>0.99609999999999999</v>
      </c>
      <c r="B190" s="9" t="s">
        <v>653</v>
      </c>
      <c r="C190" s="2">
        <v>4794</v>
      </c>
      <c r="D190" s="3" t="s">
        <v>423</v>
      </c>
      <c r="E190" s="9" t="s">
        <v>654</v>
      </c>
      <c r="F190" s="9" t="s">
        <v>655</v>
      </c>
      <c r="G190" s="1">
        <v>1740.8217</v>
      </c>
      <c r="H190" s="2">
        <v>713</v>
      </c>
      <c r="I190" s="2">
        <v>2</v>
      </c>
      <c r="J190" s="1">
        <v>1740.8398999999999</v>
      </c>
      <c r="K190" s="1">
        <v>871.41809999999998</v>
      </c>
      <c r="L190" s="9" t="s">
        <v>412</v>
      </c>
      <c r="M190" s="2">
        <v>6.22</v>
      </c>
      <c r="N190" s="4">
        <v>7320.04</v>
      </c>
      <c r="O190" s="1">
        <v>10.44274843499349</v>
      </c>
      <c r="P190" s="6">
        <v>35.4</v>
      </c>
      <c r="Q190" s="6">
        <v>22.2</v>
      </c>
      <c r="R190" s="6">
        <v>9.4</v>
      </c>
      <c r="S190" s="6">
        <v>10.7</v>
      </c>
      <c r="T190" s="5">
        <v>2.3000000000000001E-4</v>
      </c>
      <c r="U190" s="1">
        <v>1.8200000000000001E-2</v>
      </c>
      <c r="V190" s="1">
        <v>5.7723000000000004</v>
      </c>
    </row>
    <row r="191" spans="1:22" x14ac:dyDescent="0.25">
      <c r="A191" s="1">
        <v>0.99739999999999995</v>
      </c>
      <c r="B191" s="9" t="s">
        <v>656</v>
      </c>
      <c r="C191" s="2">
        <v>4852</v>
      </c>
      <c r="D191" s="3" t="s">
        <v>657</v>
      </c>
      <c r="E191" s="9" t="s">
        <v>658</v>
      </c>
      <c r="F191" s="9" t="s">
        <v>659</v>
      </c>
      <c r="G191" s="1">
        <v>1845.9217000000001</v>
      </c>
      <c r="H191" s="2">
        <v>185</v>
      </c>
      <c r="I191" s="2">
        <v>2</v>
      </c>
      <c r="J191" s="1">
        <v>1845.9104</v>
      </c>
      <c r="K191" s="1">
        <v>923.96810000000005</v>
      </c>
      <c r="L191" s="9" t="s">
        <v>660</v>
      </c>
      <c r="M191" s="2">
        <v>4.54</v>
      </c>
      <c r="N191" s="4">
        <v>7420.09</v>
      </c>
      <c r="O191" s="1">
        <v>-6.1149297253877046</v>
      </c>
      <c r="P191" s="6">
        <v>35.6</v>
      </c>
      <c r="Q191" s="6">
        <v>22.9</v>
      </c>
      <c r="R191" s="6">
        <v>14</v>
      </c>
      <c r="S191" s="6">
        <v>7.7</v>
      </c>
      <c r="T191" s="5">
        <v>6.3999999999999997E-5</v>
      </c>
      <c r="U191" s="1">
        <v>-1.1299999999999999E-2</v>
      </c>
      <c r="V191" s="1">
        <v>5.5316999999999998</v>
      </c>
    </row>
    <row r="192" spans="1:22" x14ac:dyDescent="0.25">
      <c r="A192" s="1">
        <v>0.96840000000000004</v>
      </c>
      <c r="B192" s="9" t="s">
        <v>661</v>
      </c>
      <c r="C192" s="2">
        <v>4995</v>
      </c>
      <c r="D192" s="3" t="s">
        <v>511</v>
      </c>
      <c r="E192" s="9" t="s">
        <v>662</v>
      </c>
      <c r="F192" s="9" t="s">
        <v>90</v>
      </c>
      <c r="G192" s="1">
        <v>1325.6324999999999</v>
      </c>
      <c r="H192" s="2">
        <v>1155</v>
      </c>
      <c r="I192" s="2">
        <v>2</v>
      </c>
      <c r="J192" s="1">
        <v>1325.6402</v>
      </c>
      <c r="K192" s="1">
        <v>663.82349999999997</v>
      </c>
      <c r="L192" s="9" t="s">
        <v>91</v>
      </c>
      <c r="M192" s="2">
        <v>4.75</v>
      </c>
      <c r="N192" s="4">
        <v>7672.05</v>
      </c>
      <c r="O192" s="1">
        <v>5.7997344173564214</v>
      </c>
      <c r="P192" s="6">
        <v>33</v>
      </c>
      <c r="Q192" s="6">
        <v>26</v>
      </c>
      <c r="R192" s="6">
        <v>12</v>
      </c>
      <c r="S192" s="6">
        <v>12.3</v>
      </c>
      <c r="T192" s="5">
        <v>0.04</v>
      </c>
      <c r="U192" s="1">
        <v>7.7000000000000002E-3</v>
      </c>
      <c r="V192" s="1">
        <v>3.1019000000000001</v>
      </c>
    </row>
  </sheetData>
  <mergeCells count="1">
    <mergeCell ref="A2:I2"/>
  </mergeCells>
  <phoneticPr fontId="21" type="noConversion"/>
  <hyperlinks>
    <hyperlink ref="J1" location="'Supplementary Table 2'!A1" display="back to index"/>
  </hyperlinks>
  <pageMargins left="0.39000000000000007" right="0.39000000000000007" top="0.39000000000000007" bottom="0.39000000000000007" header="0" footer="0"/>
  <pageSetup orientation="landscape" r:id="rId1"/>
  <ignoredErrors>
    <ignoredError sqref="A5:N192 A4:N4 P4:V4 P5:V192" twoDigitTextYear="1"/>
  </ignoredError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18"/>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1"/>
    <col min="16" max="19" width="15.7109375" style="6"/>
    <col min="20" max="20" width="15.7109375" style="5"/>
    <col min="21" max="22" width="15.7109375" style="1"/>
    <col min="23" max="16384" width="15.7109375" style="2"/>
  </cols>
  <sheetData>
    <row r="1" spans="1:22" ht="15" customHeight="1" x14ac:dyDescent="0.25">
      <c r="A1" s="12" t="s">
        <v>5396</v>
      </c>
      <c r="J1" s="26" t="s">
        <v>5405</v>
      </c>
    </row>
    <row r="2" spans="1:22" s="21" customFormat="1" ht="90" customHeight="1" x14ac:dyDescent="0.25">
      <c r="A2" s="34" t="s">
        <v>5384</v>
      </c>
      <c r="B2" s="34"/>
      <c r="C2" s="34"/>
      <c r="D2" s="34"/>
      <c r="E2" s="34"/>
      <c r="F2" s="34"/>
      <c r="G2" s="34"/>
      <c r="H2" s="34"/>
      <c r="I2" s="34"/>
      <c r="N2" s="22"/>
      <c r="O2" s="1"/>
      <c r="P2" s="23"/>
      <c r="Q2" s="23"/>
      <c r="R2" s="23"/>
      <c r="S2" s="23"/>
      <c r="T2" s="24"/>
      <c r="U2" s="25"/>
      <c r="V2" s="25"/>
    </row>
    <row r="3" spans="1:22" s="8" customFormat="1" ht="45" x14ac:dyDescent="0.25">
      <c r="A3" s="7" t="str">
        <f>'MMP1-G'!A3</f>
        <v>probability</v>
      </c>
      <c r="B3" s="7" t="str">
        <f>'MMP1-G'!B3</f>
        <v>spectrum</v>
      </c>
      <c r="C3" s="7" t="str">
        <f>'MMP1-G'!C3</f>
        <v>start scan</v>
      </c>
      <c r="D3" s="7" t="str">
        <f>'MMP1-G'!D3</f>
        <v>ions</v>
      </c>
      <c r="E3" s="7" t="str">
        <f>'MMP1-G'!E3</f>
        <v>peptide</v>
      </c>
      <c r="F3" s="7" t="str">
        <f>'MMP1-G'!F3</f>
        <v>protein</v>
      </c>
      <c r="G3" s="7" t="str">
        <f>'MMP1-G'!G3</f>
        <v>calculated neutral
peptide mass</v>
      </c>
      <c r="H3" s="7" t="str">
        <f>'MMP1-G'!H3</f>
        <v>index</v>
      </c>
      <c r="I3" s="7" t="str">
        <f>'MMP1-G'!I3</f>
        <v>assumed charge</v>
      </c>
      <c r="J3" s="7" t="str">
        <f>'MMP1-G'!J3</f>
        <v>precursor neutral mass</v>
      </c>
      <c r="K3" s="7" t="str">
        <f>'MMP1-G'!K3</f>
        <v>m/z ratio</v>
      </c>
      <c r="L3" s="7" t="str">
        <f>'MMP1-G'!L3</f>
        <v>protein description</v>
      </c>
      <c r="M3" s="7" t="str">
        <f>'MMP1-G'!M3</f>
        <v>pI</v>
      </c>
      <c r="N3" s="7" t="str">
        <f>'MMP1-G'!N3</f>
        <v>retention
time (sec)</v>
      </c>
      <c r="O3" s="7" t="str">
        <f>'MMP1-G'!O3</f>
        <v>ppm</v>
      </c>
      <c r="P3" s="7" t="str">
        <f>'MMP1-G'!P3</f>
        <v>hyperscore</v>
      </c>
      <c r="Q3" s="7" t="str">
        <f>'MMP1-G'!Q3</f>
        <v>nextscore</v>
      </c>
      <c r="R3" s="7" t="str">
        <f>'MMP1-G'!R3</f>
        <v>bscore</v>
      </c>
      <c r="S3" s="7" t="str">
        <f>'MMP1-G'!S3</f>
        <v>yscore</v>
      </c>
      <c r="T3" s="7" t="str">
        <f>'MMP1-G'!T3</f>
        <v>expect</v>
      </c>
      <c r="U3" s="7" t="str">
        <f>'MMP1-G'!U3</f>
        <v>mass diff</v>
      </c>
      <c r="V3" s="7" t="str">
        <f>'MMP1-G'!V3</f>
        <v>fval</v>
      </c>
    </row>
    <row r="4" spans="1:22" x14ac:dyDescent="0.25">
      <c r="A4" s="1">
        <v>0.99080000000000001</v>
      </c>
      <c r="B4" s="9" t="s">
        <v>664</v>
      </c>
      <c r="C4" s="2">
        <v>1759</v>
      </c>
      <c r="D4" s="3" t="s">
        <v>665</v>
      </c>
      <c r="E4" s="9" t="s">
        <v>666</v>
      </c>
      <c r="F4" s="9" t="s">
        <v>667</v>
      </c>
      <c r="G4" s="1">
        <v>1871.0156999999999</v>
      </c>
      <c r="H4" s="2">
        <v>877</v>
      </c>
      <c r="I4" s="2">
        <v>3</v>
      </c>
      <c r="J4" s="1">
        <v>1871.0735999999999</v>
      </c>
      <c r="K4" s="1">
        <v>624.67920000000004</v>
      </c>
      <c r="L4" s="9" t="s">
        <v>668</v>
      </c>
      <c r="M4" s="2">
        <v>6.74</v>
      </c>
      <c r="N4" s="4">
        <v>1876.53</v>
      </c>
      <c r="O4" s="1">
        <v>30.895858226110299</v>
      </c>
      <c r="P4" s="6">
        <v>28.2</v>
      </c>
      <c r="Q4" s="6">
        <v>22.3</v>
      </c>
      <c r="R4" s="6">
        <v>10.5</v>
      </c>
      <c r="S4" s="6">
        <v>10.1</v>
      </c>
      <c r="T4" s="5">
        <v>9.9000000000000008E-3</v>
      </c>
      <c r="U4" s="1">
        <v>5.79E-2</v>
      </c>
      <c r="V4" s="1">
        <v>3.6637</v>
      </c>
    </row>
    <row r="5" spans="1:22" x14ac:dyDescent="0.25">
      <c r="A5" s="1">
        <v>0.99309999999999998</v>
      </c>
      <c r="B5" s="9" t="s">
        <v>669</v>
      </c>
      <c r="C5" s="2">
        <v>1761</v>
      </c>
      <c r="D5" s="3" t="s">
        <v>670</v>
      </c>
      <c r="E5" s="9" t="s">
        <v>671</v>
      </c>
      <c r="F5" s="9" t="s">
        <v>672</v>
      </c>
      <c r="G5" s="1">
        <v>1474.8246999999999</v>
      </c>
      <c r="H5" s="2">
        <v>535</v>
      </c>
      <c r="I5" s="2">
        <v>3</v>
      </c>
      <c r="J5" s="1">
        <v>1474.8828000000001</v>
      </c>
      <c r="K5" s="1">
        <v>492.6155</v>
      </c>
      <c r="L5" s="9" t="s">
        <v>673</v>
      </c>
      <c r="M5" s="2">
        <v>9.11</v>
      </c>
      <c r="N5" s="4">
        <v>1877.57</v>
      </c>
      <c r="O5" s="1">
        <v>39.313961226690324</v>
      </c>
      <c r="P5" s="6">
        <v>26.6</v>
      </c>
      <c r="Q5" s="6">
        <v>21</v>
      </c>
      <c r="R5" s="6">
        <v>9</v>
      </c>
      <c r="S5" s="6">
        <v>7.5</v>
      </c>
      <c r="T5" s="5">
        <v>3.7999999999999999E-2</v>
      </c>
      <c r="U5" s="1">
        <v>5.8099999999999999E-2</v>
      </c>
      <c r="V5" s="1">
        <v>3.5996999999999999</v>
      </c>
    </row>
    <row r="6" spans="1:22" x14ac:dyDescent="0.25">
      <c r="A6" s="1">
        <v>0.95</v>
      </c>
      <c r="B6" s="9" t="s">
        <v>674</v>
      </c>
      <c r="C6" s="2">
        <v>1762</v>
      </c>
      <c r="D6" s="3" t="s">
        <v>675</v>
      </c>
      <c r="E6" s="9" t="s">
        <v>676</v>
      </c>
      <c r="F6" s="9" t="s">
        <v>677</v>
      </c>
      <c r="G6" s="1">
        <v>1748.7727</v>
      </c>
      <c r="H6" s="2">
        <v>1</v>
      </c>
      <c r="I6" s="2">
        <v>3</v>
      </c>
      <c r="J6" s="1">
        <v>1748.8210999999999</v>
      </c>
      <c r="K6" s="1">
        <v>583.93150000000003</v>
      </c>
      <c r="L6" s="9" t="s">
        <v>678</v>
      </c>
      <c r="M6" s="2">
        <v>6.74</v>
      </c>
      <c r="N6" s="4">
        <v>1877.57</v>
      </c>
      <c r="O6" s="1">
        <v>27.628811484452083</v>
      </c>
      <c r="P6" s="6">
        <v>21.2</v>
      </c>
      <c r="Q6" s="6">
        <v>17.600000000000001</v>
      </c>
      <c r="R6" s="6">
        <v>6.2</v>
      </c>
      <c r="S6" s="6">
        <v>8.1</v>
      </c>
      <c r="T6" s="5">
        <v>0.13</v>
      </c>
      <c r="U6" s="1">
        <v>4.8399999999999999E-2</v>
      </c>
      <c r="V6" s="1">
        <v>2.1305000000000001</v>
      </c>
    </row>
    <row r="7" spans="1:22" x14ac:dyDescent="0.25">
      <c r="A7" s="1">
        <v>0.98560000000000003</v>
      </c>
      <c r="B7" s="9" t="s">
        <v>679</v>
      </c>
      <c r="C7" s="2">
        <v>1776</v>
      </c>
      <c r="D7" s="3" t="s">
        <v>680</v>
      </c>
      <c r="E7" s="9" t="s">
        <v>681</v>
      </c>
      <c r="F7" s="9" t="s">
        <v>682</v>
      </c>
      <c r="G7" s="1">
        <v>1568.6817000000001</v>
      </c>
      <c r="H7" s="2">
        <v>1369</v>
      </c>
      <c r="I7" s="2">
        <v>3</v>
      </c>
      <c r="J7" s="1">
        <v>1568.7918</v>
      </c>
      <c r="K7" s="1">
        <v>523.90120000000002</v>
      </c>
      <c r="L7" s="9" t="s">
        <v>683</v>
      </c>
      <c r="M7" s="2">
        <v>5.0599999999999996</v>
      </c>
      <c r="N7" s="4">
        <v>1906.72</v>
      </c>
      <c r="O7" s="1">
        <v>70.051376099157636</v>
      </c>
      <c r="P7" s="6">
        <v>34.9</v>
      </c>
      <c r="Q7" s="6">
        <v>25.7</v>
      </c>
      <c r="R7" s="6">
        <v>10.8</v>
      </c>
      <c r="S7" s="6">
        <v>10.199999999999999</v>
      </c>
      <c r="T7" s="5">
        <v>4.8999999999999998E-3</v>
      </c>
      <c r="U7" s="1">
        <v>0.1101</v>
      </c>
      <c r="V7" s="1">
        <v>4.1772999999999998</v>
      </c>
    </row>
    <row r="8" spans="1:22" x14ac:dyDescent="0.25">
      <c r="A8" s="1">
        <v>0.98199999999999998</v>
      </c>
      <c r="B8" s="9" t="s">
        <v>684</v>
      </c>
      <c r="C8" s="2">
        <v>1863</v>
      </c>
      <c r="D8" s="3" t="s">
        <v>558</v>
      </c>
      <c r="E8" s="9" t="s">
        <v>685</v>
      </c>
      <c r="F8" s="9" t="s">
        <v>686</v>
      </c>
      <c r="G8" s="1">
        <v>1699.9147</v>
      </c>
      <c r="H8" s="2">
        <v>72</v>
      </c>
      <c r="I8" s="2">
        <v>3</v>
      </c>
      <c r="J8" s="1">
        <v>1699.9711</v>
      </c>
      <c r="K8" s="1">
        <v>567.64549999999997</v>
      </c>
      <c r="L8" s="9" t="s">
        <v>687</v>
      </c>
      <c r="M8" s="2">
        <v>6.49</v>
      </c>
      <c r="N8" s="4">
        <v>2103.88</v>
      </c>
      <c r="O8" s="1">
        <v>33.119261933724488</v>
      </c>
      <c r="P8" s="6">
        <v>30.3</v>
      </c>
      <c r="Q8" s="6">
        <v>22.7</v>
      </c>
      <c r="R8" s="6">
        <v>13.6</v>
      </c>
      <c r="S8" s="6">
        <v>13.1</v>
      </c>
      <c r="T8" s="5">
        <v>0.04</v>
      </c>
      <c r="U8" s="1">
        <v>5.6399999999999999E-2</v>
      </c>
      <c r="V8" s="1">
        <v>3.2612999999999999</v>
      </c>
    </row>
    <row r="9" spans="1:22" x14ac:dyDescent="0.25">
      <c r="A9" s="1">
        <v>0.99960000000000004</v>
      </c>
      <c r="B9" s="9" t="s">
        <v>688</v>
      </c>
      <c r="C9" s="2">
        <v>1878</v>
      </c>
      <c r="D9" s="3" t="s">
        <v>302</v>
      </c>
      <c r="E9" s="9" t="s">
        <v>689</v>
      </c>
      <c r="F9" s="9" t="s">
        <v>690</v>
      </c>
      <c r="G9" s="1">
        <v>1384.6506999999999</v>
      </c>
      <c r="H9" s="2">
        <v>1306</v>
      </c>
      <c r="I9" s="2">
        <v>2</v>
      </c>
      <c r="J9" s="1">
        <v>1384.6621</v>
      </c>
      <c r="K9" s="1">
        <v>693.33259999999996</v>
      </c>
      <c r="L9" s="9" t="s">
        <v>691</v>
      </c>
      <c r="M9" s="2">
        <v>4.4000000000000004</v>
      </c>
      <c r="N9" s="4">
        <v>2146.62</v>
      </c>
      <c r="O9" s="1">
        <v>8.2211625416142287</v>
      </c>
      <c r="P9" s="6">
        <v>29.7</v>
      </c>
      <c r="Q9" s="6">
        <v>19.5</v>
      </c>
      <c r="R9" s="6">
        <v>6.2</v>
      </c>
      <c r="S9" s="6">
        <v>7.6</v>
      </c>
      <c r="T9" s="5">
        <v>6.8999999999999999E-3</v>
      </c>
      <c r="U9" s="1">
        <v>1.14E-2</v>
      </c>
      <c r="V9" s="1">
        <v>4.4573999999999998</v>
      </c>
    </row>
    <row r="10" spans="1:22" x14ac:dyDescent="0.25">
      <c r="A10" s="1">
        <v>0.97889999999999999</v>
      </c>
      <c r="B10" s="9" t="s">
        <v>692</v>
      </c>
      <c r="C10" s="2">
        <v>1881</v>
      </c>
      <c r="D10" s="3" t="s">
        <v>20</v>
      </c>
      <c r="E10" s="9" t="s">
        <v>693</v>
      </c>
      <c r="F10" s="9" t="s">
        <v>694</v>
      </c>
      <c r="G10" s="1">
        <v>1609.6796999999999</v>
      </c>
      <c r="H10" s="2">
        <v>73</v>
      </c>
      <c r="I10" s="2">
        <v>3</v>
      </c>
      <c r="J10" s="1">
        <v>1609.7375</v>
      </c>
      <c r="K10" s="1">
        <v>537.56719999999996</v>
      </c>
      <c r="L10" s="9" t="s">
        <v>695</v>
      </c>
      <c r="M10" s="2">
        <v>5.97</v>
      </c>
      <c r="N10" s="4">
        <v>2147.6799999999998</v>
      </c>
      <c r="O10" s="1">
        <v>35.840480346767187</v>
      </c>
      <c r="P10" s="6">
        <v>28.2</v>
      </c>
      <c r="Q10" s="6">
        <v>22.2</v>
      </c>
      <c r="R10" s="6">
        <v>6.7</v>
      </c>
      <c r="S10" s="6">
        <v>8.6</v>
      </c>
      <c r="T10" s="5">
        <v>0.04</v>
      </c>
      <c r="U10" s="1">
        <v>5.7799999999999997E-2</v>
      </c>
      <c r="V10" s="1">
        <v>3.1657000000000002</v>
      </c>
    </row>
    <row r="11" spans="1:22" x14ac:dyDescent="0.25">
      <c r="A11" s="1">
        <v>0.98960000000000004</v>
      </c>
      <c r="B11" s="9" t="s">
        <v>696</v>
      </c>
      <c r="C11" s="2">
        <v>1898</v>
      </c>
      <c r="D11" s="3" t="s">
        <v>697</v>
      </c>
      <c r="E11" s="9" t="s">
        <v>698</v>
      </c>
      <c r="F11" s="9" t="s">
        <v>699</v>
      </c>
      <c r="G11" s="1">
        <v>1581.8187</v>
      </c>
      <c r="H11" s="2">
        <v>901</v>
      </c>
      <c r="I11" s="2">
        <v>3</v>
      </c>
      <c r="J11" s="1">
        <v>1581.8651</v>
      </c>
      <c r="K11" s="1">
        <v>528.28020000000004</v>
      </c>
      <c r="L11" s="9" t="s">
        <v>700</v>
      </c>
      <c r="M11" s="2">
        <v>6.74</v>
      </c>
      <c r="N11" s="4">
        <v>2194.62</v>
      </c>
      <c r="O11" s="1">
        <v>29.277392313144926</v>
      </c>
      <c r="P11" s="6">
        <v>29.7</v>
      </c>
      <c r="Q11" s="6">
        <v>21.6</v>
      </c>
      <c r="R11" s="6">
        <v>10.199999999999999</v>
      </c>
      <c r="S11" s="6">
        <v>10.4</v>
      </c>
      <c r="T11" s="5">
        <v>4.2999999999999997E-2</v>
      </c>
      <c r="U11" s="1">
        <v>4.6399999999999997E-2</v>
      </c>
      <c r="V11" s="1">
        <v>3.5912999999999999</v>
      </c>
    </row>
    <row r="12" spans="1:22" x14ac:dyDescent="0.25">
      <c r="A12" s="1">
        <v>0.9758</v>
      </c>
      <c r="B12" s="9" t="s">
        <v>701</v>
      </c>
      <c r="C12" s="2">
        <v>1916</v>
      </c>
      <c r="D12" s="3" t="s">
        <v>702</v>
      </c>
      <c r="E12" s="9" t="s">
        <v>703</v>
      </c>
      <c r="F12" s="9" t="s">
        <v>704</v>
      </c>
      <c r="G12" s="1">
        <v>1218.5337</v>
      </c>
      <c r="H12" s="2">
        <v>1046</v>
      </c>
      <c r="I12" s="2">
        <v>2</v>
      </c>
      <c r="J12" s="1">
        <v>1218.5468000000001</v>
      </c>
      <c r="K12" s="1">
        <v>610.27409999999998</v>
      </c>
      <c r="L12" s="9" t="s">
        <v>705</v>
      </c>
      <c r="M12" s="2">
        <v>6.49</v>
      </c>
      <c r="N12" s="4">
        <v>2235.27</v>
      </c>
      <c r="O12" s="1">
        <v>10.732882159016743</v>
      </c>
      <c r="P12" s="6">
        <v>32.700000000000003</v>
      </c>
      <c r="Q12" s="6">
        <v>26.1</v>
      </c>
      <c r="R12" s="6">
        <v>8.8000000000000007</v>
      </c>
      <c r="S12" s="6">
        <v>8.6</v>
      </c>
      <c r="T12" s="5">
        <v>1.2E-2</v>
      </c>
      <c r="U12" s="1">
        <v>1.3100000000000001E-2</v>
      </c>
      <c r="V12" s="1">
        <v>3.5074000000000001</v>
      </c>
    </row>
    <row r="13" spans="1:22" x14ac:dyDescent="0.25">
      <c r="A13" s="1">
        <v>0.98909999999999998</v>
      </c>
      <c r="B13" s="9" t="s">
        <v>706</v>
      </c>
      <c r="C13" s="2">
        <v>1932</v>
      </c>
      <c r="D13" s="3" t="s">
        <v>707</v>
      </c>
      <c r="E13" s="9" t="s">
        <v>708</v>
      </c>
      <c r="F13" s="9" t="s">
        <v>709</v>
      </c>
      <c r="G13" s="1">
        <v>1890.0907</v>
      </c>
      <c r="H13" s="2">
        <v>422</v>
      </c>
      <c r="I13" s="2">
        <v>4</v>
      </c>
      <c r="J13" s="1">
        <v>1890.0504000000001</v>
      </c>
      <c r="K13" s="1">
        <v>473.53</v>
      </c>
      <c r="L13" s="9" t="s">
        <v>710</v>
      </c>
      <c r="M13" s="2">
        <v>11.7</v>
      </c>
      <c r="N13" s="4">
        <v>2271.77</v>
      </c>
      <c r="O13" s="1">
        <v>-21.276371085253313</v>
      </c>
      <c r="P13" s="6">
        <v>20.5</v>
      </c>
      <c r="Q13" s="6">
        <v>17</v>
      </c>
      <c r="R13" s="6">
        <v>13.7</v>
      </c>
      <c r="S13" s="6">
        <v>7.4</v>
      </c>
      <c r="T13" s="5">
        <v>0.47</v>
      </c>
      <c r="U13" s="1">
        <v>-4.0300000000000002E-2</v>
      </c>
      <c r="V13" s="1">
        <v>1.3298000000000001</v>
      </c>
    </row>
    <row r="14" spans="1:22" x14ac:dyDescent="0.25">
      <c r="A14" s="1">
        <v>0.99890000000000001</v>
      </c>
      <c r="B14" s="9" t="s">
        <v>711</v>
      </c>
      <c r="C14" s="2">
        <v>1956</v>
      </c>
      <c r="D14" s="3" t="s">
        <v>361</v>
      </c>
      <c r="E14" s="9" t="s">
        <v>712</v>
      </c>
      <c r="F14" s="9" t="s">
        <v>713</v>
      </c>
      <c r="G14" s="1">
        <v>1296.5736999999999</v>
      </c>
      <c r="H14" s="2">
        <v>543</v>
      </c>
      <c r="I14" s="2">
        <v>2</v>
      </c>
      <c r="J14" s="1">
        <v>1296.586</v>
      </c>
      <c r="K14" s="1">
        <v>649.29409999999996</v>
      </c>
      <c r="L14" s="9" t="s">
        <v>714</v>
      </c>
      <c r="M14" s="2">
        <v>5.22</v>
      </c>
      <c r="N14" s="4">
        <v>2330.17</v>
      </c>
      <c r="O14" s="1">
        <v>9.4718248633400499</v>
      </c>
      <c r="P14" s="6">
        <v>28.4</v>
      </c>
      <c r="Q14" s="6">
        <v>18</v>
      </c>
      <c r="R14" s="6">
        <v>11.1</v>
      </c>
      <c r="S14" s="6">
        <v>8.5</v>
      </c>
      <c r="T14" s="5">
        <v>9.7999999999999997E-4</v>
      </c>
      <c r="U14" s="1">
        <v>1.23E-2</v>
      </c>
      <c r="V14" s="1">
        <v>5.2912999999999997</v>
      </c>
    </row>
    <row r="15" spans="1:22" x14ac:dyDescent="0.25">
      <c r="A15" s="1">
        <v>0.97919999999999996</v>
      </c>
      <c r="B15" s="9" t="s">
        <v>715</v>
      </c>
      <c r="C15" s="2">
        <v>1983</v>
      </c>
      <c r="D15" s="3" t="s">
        <v>69</v>
      </c>
      <c r="E15" s="9" t="s">
        <v>716</v>
      </c>
      <c r="F15" s="9" t="s">
        <v>717</v>
      </c>
      <c r="G15" s="1">
        <v>1138.5441000000001</v>
      </c>
      <c r="H15" s="2">
        <v>76</v>
      </c>
      <c r="I15" s="2">
        <v>2</v>
      </c>
      <c r="J15" s="1">
        <v>1138.5516</v>
      </c>
      <c r="K15" s="1">
        <v>570.27930000000003</v>
      </c>
      <c r="L15" s="9" t="s">
        <v>718</v>
      </c>
      <c r="M15" s="2">
        <v>6.76</v>
      </c>
      <c r="N15" s="4">
        <v>2395.88</v>
      </c>
      <c r="O15" s="1">
        <v>6.5757252630421617</v>
      </c>
      <c r="P15" s="6">
        <v>37.5</v>
      </c>
      <c r="Q15" s="6">
        <v>34.799999999999997</v>
      </c>
      <c r="R15" s="6">
        <v>10.4</v>
      </c>
      <c r="S15" s="6">
        <v>9.6999999999999993</v>
      </c>
      <c r="T15" s="5">
        <v>9.1999999999999998E-3</v>
      </c>
      <c r="U15" s="1">
        <v>7.4999999999999997E-3</v>
      </c>
      <c r="V15" s="1">
        <v>3.2846000000000002</v>
      </c>
    </row>
    <row r="16" spans="1:22" x14ac:dyDescent="0.25">
      <c r="A16" s="1">
        <v>0.97499999999999998</v>
      </c>
      <c r="B16" s="9" t="s">
        <v>719</v>
      </c>
      <c r="C16" s="2">
        <v>2036</v>
      </c>
      <c r="D16" s="3" t="s">
        <v>149</v>
      </c>
      <c r="E16" s="9" t="s">
        <v>720</v>
      </c>
      <c r="F16" s="9" t="s">
        <v>721</v>
      </c>
      <c r="G16" s="1">
        <v>1323.7666999999999</v>
      </c>
      <c r="H16" s="2">
        <v>905</v>
      </c>
      <c r="I16" s="2">
        <v>3</v>
      </c>
      <c r="J16" s="1">
        <v>1323.8010999999999</v>
      </c>
      <c r="K16" s="1">
        <v>442.26280000000003</v>
      </c>
      <c r="L16" s="9" t="s">
        <v>118</v>
      </c>
      <c r="M16" s="2">
        <v>8.6</v>
      </c>
      <c r="N16" s="4">
        <v>2530.42</v>
      </c>
      <c r="O16" s="1">
        <v>25.927269186254566</v>
      </c>
      <c r="P16" s="6">
        <v>31.3</v>
      </c>
      <c r="Q16" s="6">
        <v>26.3</v>
      </c>
      <c r="R16" s="6">
        <v>10.7</v>
      </c>
      <c r="S16" s="6">
        <v>9.8000000000000007</v>
      </c>
      <c r="T16" s="5">
        <v>6.7000000000000004E-2</v>
      </c>
      <c r="U16" s="1">
        <v>3.44E-2</v>
      </c>
      <c r="V16" s="1">
        <v>2.7932999999999999</v>
      </c>
    </row>
    <row r="17" spans="1:22" x14ac:dyDescent="0.25">
      <c r="A17" s="1">
        <v>0.99860000000000004</v>
      </c>
      <c r="B17" s="9" t="s">
        <v>722</v>
      </c>
      <c r="C17" s="2">
        <v>2061</v>
      </c>
      <c r="D17" s="3" t="s">
        <v>723</v>
      </c>
      <c r="E17" s="9" t="s">
        <v>724</v>
      </c>
      <c r="F17" s="9" t="s">
        <v>647</v>
      </c>
      <c r="G17" s="1">
        <v>1439.8497</v>
      </c>
      <c r="H17" s="2">
        <v>548</v>
      </c>
      <c r="I17" s="2">
        <v>3</v>
      </c>
      <c r="J17" s="1">
        <v>1439.8927000000001</v>
      </c>
      <c r="K17" s="1">
        <v>480.9572</v>
      </c>
      <c r="L17" s="9" t="s">
        <v>118</v>
      </c>
      <c r="M17" s="2">
        <v>8.48</v>
      </c>
      <c r="N17" s="4">
        <v>2585.67</v>
      </c>
      <c r="O17" s="1">
        <v>29.801681591071578</v>
      </c>
      <c r="P17" s="6">
        <v>24.9</v>
      </c>
      <c r="Q17" s="6">
        <v>16.7</v>
      </c>
      <c r="R17" s="6">
        <v>2.5</v>
      </c>
      <c r="S17" s="6">
        <v>10.3</v>
      </c>
      <c r="T17" s="5">
        <v>2.5000000000000001E-2</v>
      </c>
      <c r="U17" s="1">
        <v>4.2999999999999997E-2</v>
      </c>
      <c r="V17" s="1">
        <v>4.4103000000000003</v>
      </c>
    </row>
    <row r="18" spans="1:22" x14ac:dyDescent="0.25">
      <c r="A18" s="1">
        <v>0.95909999999999995</v>
      </c>
      <c r="B18" s="9" t="s">
        <v>725</v>
      </c>
      <c r="C18" s="2">
        <v>2081</v>
      </c>
      <c r="D18" s="3" t="s">
        <v>306</v>
      </c>
      <c r="E18" s="9" t="s">
        <v>726</v>
      </c>
      <c r="F18" s="9" t="s">
        <v>727</v>
      </c>
      <c r="G18" s="1">
        <v>1014.4447</v>
      </c>
      <c r="H18" s="2">
        <v>252</v>
      </c>
      <c r="I18" s="2">
        <v>2</v>
      </c>
      <c r="J18" s="1">
        <v>1014.4679</v>
      </c>
      <c r="K18" s="1">
        <v>508.2296</v>
      </c>
      <c r="L18" s="9" t="s">
        <v>728</v>
      </c>
      <c r="M18" s="2">
        <v>5.47</v>
      </c>
      <c r="N18" s="4">
        <v>2639.92</v>
      </c>
      <c r="O18" s="1">
        <v>22.824329791102286</v>
      </c>
      <c r="P18" s="6">
        <v>24.7</v>
      </c>
      <c r="Q18" s="6">
        <v>19.2</v>
      </c>
      <c r="R18" s="6">
        <v>4.3</v>
      </c>
      <c r="S18" s="6">
        <v>6.3</v>
      </c>
      <c r="T18" s="5">
        <v>0.2</v>
      </c>
      <c r="U18" s="1">
        <v>2.3199999999999998E-2</v>
      </c>
      <c r="V18" s="1">
        <v>2.5701000000000001</v>
      </c>
    </row>
    <row r="19" spans="1:22" x14ac:dyDescent="0.25">
      <c r="A19" s="1">
        <v>1</v>
      </c>
      <c r="B19" s="9" t="s">
        <v>729</v>
      </c>
      <c r="C19" s="2">
        <v>2093</v>
      </c>
      <c r="D19" s="3" t="s">
        <v>730</v>
      </c>
      <c r="E19" s="9" t="s">
        <v>731</v>
      </c>
      <c r="F19" s="9" t="s">
        <v>732</v>
      </c>
      <c r="G19" s="1">
        <v>1398.8056999999999</v>
      </c>
      <c r="H19" s="2">
        <v>960</v>
      </c>
      <c r="I19" s="2">
        <v>3</v>
      </c>
      <c r="J19" s="1">
        <v>1398.8481999999999</v>
      </c>
      <c r="K19" s="1">
        <v>467.2758</v>
      </c>
      <c r="L19" s="9" t="s">
        <v>733</v>
      </c>
      <c r="M19" s="2">
        <v>9.6999999999999993</v>
      </c>
      <c r="N19" s="4">
        <v>2669.12</v>
      </c>
      <c r="O19" s="1">
        <v>30.317569766434868</v>
      </c>
      <c r="P19" s="6">
        <v>43.1</v>
      </c>
      <c r="Q19" s="6">
        <v>39.9</v>
      </c>
      <c r="R19" s="6">
        <v>11.4</v>
      </c>
      <c r="S19" s="6">
        <v>10.6</v>
      </c>
      <c r="T19" s="5">
        <v>3.4E-5</v>
      </c>
      <c r="U19" s="1">
        <v>4.2500000000000003E-2</v>
      </c>
      <c r="V19" s="1">
        <v>6.8522999999999996</v>
      </c>
    </row>
    <row r="20" spans="1:22" x14ac:dyDescent="0.25">
      <c r="A20" s="1">
        <v>0.99970000000000003</v>
      </c>
      <c r="B20" s="9" t="s">
        <v>734</v>
      </c>
      <c r="C20" s="2">
        <v>2100</v>
      </c>
      <c r="D20" s="3" t="s">
        <v>511</v>
      </c>
      <c r="E20" s="9" t="s">
        <v>79</v>
      </c>
      <c r="F20" s="9" t="s">
        <v>80</v>
      </c>
      <c r="G20" s="1">
        <v>1140.5237</v>
      </c>
      <c r="H20" s="2">
        <v>427</v>
      </c>
      <c r="I20" s="2">
        <v>2</v>
      </c>
      <c r="J20" s="1">
        <v>1140.5409</v>
      </c>
      <c r="K20" s="1">
        <v>571.26909999999998</v>
      </c>
      <c r="L20" s="9" t="s">
        <v>81</v>
      </c>
      <c r="M20" s="2">
        <v>5.47</v>
      </c>
      <c r="N20" s="4">
        <v>2680.57</v>
      </c>
      <c r="O20" s="1">
        <v>15.054201251214183</v>
      </c>
      <c r="P20" s="6">
        <v>31.5</v>
      </c>
      <c r="Q20" s="6">
        <v>20.2</v>
      </c>
      <c r="R20" s="6">
        <v>10.5</v>
      </c>
      <c r="S20" s="6">
        <v>10.8</v>
      </c>
      <c r="T20" s="5">
        <v>1.9000000000000001E-4</v>
      </c>
      <c r="U20" s="1">
        <v>1.72E-2</v>
      </c>
      <c r="V20" s="1">
        <v>6.5503999999999998</v>
      </c>
    </row>
    <row r="21" spans="1:22" x14ac:dyDescent="0.25">
      <c r="A21" s="1">
        <v>0.99460000000000004</v>
      </c>
      <c r="B21" s="9" t="s">
        <v>735</v>
      </c>
      <c r="C21" s="2">
        <v>2103</v>
      </c>
      <c r="D21" s="3" t="s">
        <v>154</v>
      </c>
      <c r="E21" s="9" t="s">
        <v>736</v>
      </c>
      <c r="F21" s="9" t="s">
        <v>737</v>
      </c>
      <c r="G21" s="1">
        <v>1187.4776999999999</v>
      </c>
      <c r="H21" s="2">
        <v>1051</v>
      </c>
      <c r="I21" s="2">
        <v>2</v>
      </c>
      <c r="J21" s="1">
        <v>1187.4874</v>
      </c>
      <c r="K21" s="1">
        <v>594.74609999999996</v>
      </c>
      <c r="L21" s="9" t="s">
        <v>738</v>
      </c>
      <c r="M21" s="2">
        <v>5.49</v>
      </c>
      <c r="N21" s="4">
        <v>2687.87</v>
      </c>
      <c r="O21" s="1">
        <v>8.1547403169184296</v>
      </c>
      <c r="P21" s="6">
        <v>36.4</v>
      </c>
      <c r="Q21" s="6">
        <v>23.5</v>
      </c>
      <c r="R21" s="6">
        <v>11.2</v>
      </c>
      <c r="S21" s="6">
        <v>11.3</v>
      </c>
      <c r="T21" s="5">
        <v>1.0999999999999999E-2</v>
      </c>
      <c r="U21" s="1">
        <v>9.7000000000000003E-3</v>
      </c>
      <c r="V21" s="1">
        <v>4.6954000000000002</v>
      </c>
    </row>
    <row r="22" spans="1:22" x14ac:dyDescent="0.25">
      <c r="A22" s="1">
        <v>0.99990000000000001</v>
      </c>
      <c r="B22" s="9" t="s">
        <v>739</v>
      </c>
      <c r="C22" s="2">
        <v>2105</v>
      </c>
      <c r="D22" s="3" t="s">
        <v>740</v>
      </c>
      <c r="E22" s="9" t="s">
        <v>741</v>
      </c>
      <c r="F22" s="9" t="s">
        <v>117</v>
      </c>
      <c r="G22" s="1">
        <v>1198.6706999999999</v>
      </c>
      <c r="H22" s="2">
        <v>1052</v>
      </c>
      <c r="I22" s="2">
        <v>3</v>
      </c>
      <c r="J22" s="1">
        <v>1198.7156</v>
      </c>
      <c r="K22" s="1">
        <v>400.56420000000003</v>
      </c>
      <c r="L22" s="9" t="s">
        <v>118</v>
      </c>
      <c r="M22" s="2">
        <v>6.75</v>
      </c>
      <c r="N22" s="4">
        <v>2695.17</v>
      </c>
      <c r="O22" s="1">
        <v>37.363964794324275</v>
      </c>
      <c r="P22" s="6">
        <v>33.1</v>
      </c>
      <c r="Q22" s="6">
        <v>22.3</v>
      </c>
      <c r="R22" s="6">
        <v>6.1</v>
      </c>
      <c r="S22" s="6">
        <v>10</v>
      </c>
      <c r="T22" s="5">
        <v>1.2999999999999999E-3</v>
      </c>
      <c r="U22" s="1">
        <v>4.4900000000000002E-2</v>
      </c>
      <c r="V22" s="1">
        <v>6.4664999999999999</v>
      </c>
    </row>
    <row r="23" spans="1:22" x14ac:dyDescent="0.25">
      <c r="A23" s="1">
        <v>0.999</v>
      </c>
      <c r="B23" s="9" t="s">
        <v>742</v>
      </c>
      <c r="C23" s="2">
        <v>2168</v>
      </c>
      <c r="D23" s="3" t="s">
        <v>33</v>
      </c>
      <c r="E23" s="9" t="s">
        <v>743</v>
      </c>
      <c r="F23" s="9" t="s">
        <v>744</v>
      </c>
      <c r="G23" s="1">
        <v>1130.5646999999999</v>
      </c>
      <c r="H23" s="2">
        <v>81</v>
      </c>
      <c r="I23" s="2">
        <v>2</v>
      </c>
      <c r="J23" s="1">
        <v>1130.5763999999999</v>
      </c>
      <c r="K23" s="1">
        <v>566.28959999999995</v>
      </c>
      <c r="L23" s="9" t="s">
        <v>745</v>
      </c>
      <c r="M23" s="2">
        <v>8.3699999999999992</v>
      </c>
      <c r="N23" s="4">
        <v>2848.47</v>
      </c>
      <c r="O23" s="1">
        <v>10.330403383710385</v>
      </c>
      <c r="P23" s="6">
        <v>38.1</v>
      </c>
      <c r="Q23" s="6">
        <v>28.5</v>
      </c>
      <c r="R23" s="6">
        <v>7.1</v>
      </c>
      <c r="S23" s="6">
        <v>7</v>
      </c>
      <c r="T23" s="5">
        <v>6.0999999999999997E-4</v>
      </c>
      <c r="U23" s="1">
        <v>1.17E-2</v>
      </c>
      <c r="V23" s="1">
        <v>6.0125999999999999</v>
      </c>
    </row>
    <row r="24" spans="1:22" x14ac:dyDescent="0.25">
      <c r="A24" s="1">
        <v>0.98680000000000001</v>
      </c>
      <c r="B24" s="9" t="s">
        <v>746</v>
      </c>
      <c r="C24" s="2">
        <v>2204</v>
      </c>
      <c r="D24" s="3" t="s">
        <v>260</v>
      </c>
      <c r="E24" s="9" t="s">
        <v>747</v>
      </c>
      <c r="F24" s="9" t="s">
        <v>748</v>
      </c>
      <c r="G24" s="1">
        <v>1128.6291000000001</v>
      </c>
      <c r="H24" s="2">
        <v>84</v>
      </c>
      <c r="I24" s="2">
        <v>2</v>
      </c>
      <c r="J24" s="1">
        <v>1128.6367</v>
      </c>
      <c r="K24" s="1">
        <v>565.32180000000005</v>
      </c>
      <c r="L24" s="9" t="s">
        <v>749</v>
      </c>
      <c r="M24" s="2">
        <v>6.81</v>
      </c>
      <c r="N24" s="4">
        <v>2936.07</v>
      </c>
      <c r="O24" s="1">
        <v>6.721835244987898</v>
      </c>
      <c r="P24" s="6">
        <v>35.1</v>
      </c>
      <c r="Q24" s="6">
        <v>26.4</v>
      </c>
      <c r="R24" s="6">
        <v>7.7</v>
      </c>
      <c r="S24" s="6">
        <v>11.4</v>
      </c>
      <c r="T24" s="5">
        <v>7.3999999999999996E-2</v>
      </c>
      <c r="U24" s="1">
        <v>7.6E-3</v>
      </c>
      <c r="V24" s="1">
        <v>3.1105999999999998</v>
      </c>
    </row>
    <row r="25" spans="1:22" x14ac:dyDescent="0.25">
      <c r="A25" s="1">
        <v>0.97060000000000002</v>
      </c>
      <c r="B25" s="9" t="s">
        <v>750</v>
      </c>
      <c r="C25" s="2">
        <v>2208</v>
      </c>
      <c r="D25" s="3" t="s">
        <v>370</v>
      </c>
      <c r="E25" s="9" t="s">
        <v>89</v>
      </c>
      <c r="F25" s="9" t="s">
        <v>90</v>
      </c>
      <c r="G25" s="1">
        <v>1263.6379999999999</v>
      </c>
      <c r="H25" s="2">
        <v>555</v>
      </c>
      <c r="I25" s="2">
        <v>2</v>
      </c>
      <c r="J25" s="1">
        <v>1263.6434999999999</v>
      </c>
      <c r="K25" s="1">
        <v>632.82629999999995</v>
      </c>
      <c r="L25" s="9" t="s">
        <v>91</v>
      </c>
      <c r="M25" s="2">
        <v>6.22</v>
      </c>
      <c r="N25" s="4">
        <v>2943.37</v>
      </c>
      <c r="O25" s="1">
        <v>4.3455842464195937</v>
      </c>
      <c r="P25" s="6">
        <v>41.3</v>
      </c>
      <c r="Q25" s="6">
        <v>28.8</v>
      </c>
      <c r="R25" s="6">
        <v>9.6</v>
      </c>
      <c r="S25" s="6">
        <v>9.4</v>
      </c>
      <c r="T25" s="5">
        <v>2.1999999999999999E-2</v>
      </c>
      <c r="U25" s="1">
        <v>5.4999999999999997E-3</v>
      </c>
      <c r="V25" s="1">
        <v>3.7014</v>
      </c>
    </row>
    <row r="26" spans="1:22" x14ac:dyDescent="0.25">
      <c r="A26" s="1">
        <v>0.98429999999999995</v>
      </c>
      <c r="B26" s="9" t="s">
        <v>751</v>
      </c>
      <c r="C26" s="2">
        <v>2219</v>
      </c>
      <c r="D26" s="3" t="s">
        <v>752</v>
      </c>
      <c r="E26" s="9" t="s">
        <v>753</v>
      </c>
      <c r="F26" s="9" t="s">
        <v>222</v>
      </c>
      <c r="G26" s="1">
        <v>1187.6220000000001</v>
      </c>
      <c r="H26" s="2">
        <v>255</v>
      </c>
      <c r="I26" s="2">
        <v>2</v>
      </c>
      <c r="J26" s="1">
        <v>1187.6241</v>
      </c>
      <c r="K26" s="1">
        <v>594.81830000000002</v>
      </c>
      <c r="L26" s="9" t="s">
        <v>223</v>
      </c>
      <c r="M26" s="2">
        <v>6.25</v>
      </c>
      <c r="N26" s="4">
        <v>2975.72</v>
      </c>
      <c r="O26" s="1">
        <v>1.7652449495921694</v>
      </c>
      <c r="P26" s="6">
        <v>45.2</v>
      </c>
      <c r="Q26" s="6">
        <v>34</v>
      </c>
      <c r="R26" s="6">
        <v>9.5</v>
      </c>
      <c r="S26" s="6">
        <v>10.9</v>
      </c>
      <c r="T26" s="5">
        <v>9.1999999999999998E-3</v>
      </c>
      <c r="U26" s="1">
        <v>2.0999999999999999E-3</v>
      </c>
      <c r="V26" s="1">
        <v>4.2221000000000002</v>
      </c>
    </row>
    <row r="27" spans="1:22" x14ac:dyDescent="0.25">
      <c r="A27" s="1">
        <v>0.97870000000000001</v>
      </c>
      <c r="B27" s="9" t="s">
        <v>754</v>
      </c>
      <c r="C27" s="2">
        <v>2228</v>
      </c>
      <c r="D27" s="3" t="s">
        <v>396</v>
      </c>
      <c r="E27" s="9" t="s">
        <v>755</v>
      </c>
      <c r="F27" s="9" t="s">
        <v>756</v>
      </c>
      <c r="G27" s="1">
        <v>1215.6396999999999</v>
      </c>
      <c r="H27" s="2">
        <v>1320</v>
      </c>
      <c r="I27" s="2">
        <v>2</v>
      </c>
      <c r="J27" s="1">
        <v>1215.6513</v>
      </c>
      <c r="K27" s="1">
        <v>608.82709999999997</v>
      </c>
      <c r="L27" s="9" t="s">
        <v>757</v>
      </c>
      <c r="M27" s="2">
        <v>11</v>
      </c>
      <c r="N27" s="4">
        <v>2997.62</v>
      </c>
      <c r="O27" s="1">
        <v>9.5265141778347235</v>
      </c>
      <c r="P27" s="6">
        <v>42.3</v>
      </c>
      <c r="Q27" s="6">
        <v>35.1</v>
      </c>
      <c r="R27" s="6">
        <v>10.1</v>
      </c>
      <c r="S27" s="6">
        <v>10.8</v>
      </c>
      <c r="T27" s="5">
        <v>0.3</v>
      </c>
      <c r="U27" s="1">
        <v>1.1599999999999999E-2</v>
      </c>
      <c r="V27" s="1">
        <v>1.9499</v>
      </c>
    </row>
    <row r="28" spans="1:22" x14ac:dyDescent="0.25">
      <c r="A28" s="1">
        <v>0.99870000000000003</v>
      </c>
      <c r="B28" s="9" t="s">
        <v>758</v>
      </c>
      <c r="C28" s="2">
        <v>2229</v>
      </c>
      <c r="D28" s="3" t="s">
        <v>69</v>
      </c>
      <c r="E28" s="9" t="s">
        <v>759</v>
      </c>
      <c r="F28" s="9" t="s">
        <v>398</v>
      </c>
      <c r="G28" s="1">
        <v>1157.4956999999999</v>
      </c>
      <c r="H28" s="2">
        <v>556</v>
      </c>
      <c r="I28" s="2">
        <v>2</v>
      </c>
      <c r="J28" s="1">
        <v>1157.5156999999999</v>
      </c>
      <c r="K28" s="1">
        <v>579.75509999999997</v>
      </c>
      <c r="L28" s="9" t="s">
        <v>399</v>
      </c>
      <c r="M28" s="2">
        <v>5.49</v>
      </c>
      <c r="N28" s="4">
        <v>2994.47</v>
      </c>
      <c r="O28" s="1">
        <v>17.248662409351812</v>
      </c>
      <c r="P28" s="6">
        <v>36.299999999999997</v>
      </c>
      <c r="Q28" s="6">
        <v>22.8</v>
      </c>
      <c r="R28" s="6">
        <v>8.9</v>
      </c>
      <c r="S28" s="6">
        <v>8.8000000000000007</v>
      </c>
      <c r="T28" s="5">
        <v>2E-3</v>
      </c>
      <c r="U28" s="1">
        <v>0.02</v>
      </c>
      <c r="V28" s="1">
        <v>5.6978999999999997</v>
      </c>
    </row>
    <row r="29" spans="1:22" x14ac:dyDescent="0.25">
      <c r="A29" s="1">
        <v>0.98119999999999996</v>
      </c>
      <c r="B29" s="9" t="s">
        <v>760</v>
      </c>
      <c r="C29" s="2">
        <v>2250</v>
      </c>
      <c r="D29" s="3" t="s">
        <v>141</v>
      </c>
      <c r="E29" s="9" t="s">
        <v>761</v>
      </c>
      <c r="F29" s="9" t="s">
        <v>762</v>
      </c>
      <c r="G29" s="1">
        <v>1235.6948</v>
      </c>
      <c r="H29" s="2">
        <v>256</v>
      </c>
      <c r="I29" s="2">
        <v>2</v>
      </c>
      <c r="J29" s="1">
        <v>1235.7002</v>
      </c>
      <c r="K29" s="1">
        <v>618.85469999999998</v>
      </c>
      <c r="L29" s="9" t="s">
        <v>763</v>
      </c>
      <c r="M29" s="2">
        <v>8.56</v>
      </c>
      <c r="N29" s="4">
        <v>3051.82</v>
      </c>
      <c r="O29" s="1">
        <v>4.3628981083928107</v>
      </c>
      <c r="P29" s="6">
        <v>48.8</v>
      </c>
      <c r="Q29" s="6">
        <v>40.5</v>
      </c>
      <c r="R29" s="6">
        <v>12</v>
      </c>
      <c r="S29" s="6">
        <v>11.3</v>
      </c>
      <c r="T29" s="5">
        <v>8.3000000000000001E-3</v>
      </c>
      <c r="U29" s="1">
        <v>5.4000000000000003E-3</v>
      </c>
      <c r="V29" s="1">
        <v>3.532</v>
      </c>
    </row>
    <row r="30" spans="1:22" x14ac:dyDescent="0.25">
      <c r="A30" s="1">
        <v>0.97360000000000002</v>
      </c>
      <c r="B30" s="9" t="s">
        <v>764</v>
      </c>
      <c r="C30" s="2">
        <v>2292</v>
      </c>
      <c r="D30" s="3" t="s">
        <v>343</v>
      </c>
      <c r="E30" s="9" t="s">
        <v>765</v>
      </c>
      <c r="F30" s="9" t="s">
        <v>766</v>
      </c>
      <c r="G30" s="1">
        <v>1195.5654999999999</v>
      </c>
      <c r="H30" s="2">
        <v>433</v>
      </c>
      <c r="I30" s="2">
        <v>2</v>
      </c>
      <c r="J30" s="1">
        <v>1195.5714</v>
      </c>
      <c r="K30" s="1">
        <v>598.79</v>
      </c>
      <c r="L30" s="9" t="s">
        <v>767</v>
      </c>
      <c r="M30" s="2">
        <v>5.55</v>
      </c>
      <c r="N30" s="4">
        <v>3147.77</v>
      </c>
      <c r="O30" s="1">
        <v>4.9266019806609993</v>
      </c>
      <c r="P30" s="6">
        <v>25</v>
      </c>
      <c r="Q30" s="6">
        <v>21.7</v>
      </c>
      <c r="R30" s="6">
        <v>8.8000000000000007</v>
      </c>
      <c r="S30" s="6">
        <v>10.6</v>
      </c>
      <c r="T30" s="5">
        <v>0.02</v>
      </c>
      <c r="U30" s="1">
        <v>5.8999999999999999E-3</v>
      </c>
      <c r="V30" s="1">
        <v>3.1903999999999999</v>
      </c>
    </row>
    <row r="31" spans="1:22" x14ac:dyDescent="0.25">
      <c r="A31" s="1">
        <v>1</v>
      </c>
      <c r="B31" s="9" t="s">
        <v>768</v>
      </c>
      <c r="C31" s="2">
        <v>2315</v>
      </c>
      <c r="D31" s="3" t="s">
        <v>255</v>
      </c>
      <c r="E31" s="9" t="s">
        <v>121</v>
      </c>
      <c r="F31" s="9" t="s">
        <v>122</v>
      </c>
      <c r="G31" s="1">
        <v>1737.9807000000001</v>
      </c>
      <c r="H31" s="2">
        <v>15</v>
      </c>
      <c r="I31" s="2">
        <v>3</v>
      </c>
      <c r="J31" s="1">
        <v>1737.9948999999999</v>
      </c>
      <c r="K31" s="1">
        <v>580.33420000000001</v>
      </c>
      <c r="L31" s="9" t="s">
        <v>123</v>
      </c>
      <c r="M31" s="2">
        <v>9.99</v>
      </c>
      <c r="N31" s="4">
        <v>3206.17</v>
      </c>
      <c r="O31" s="1">
        <v>8.156219870090947</v>
      </c>
      <c r="P31" s="6">
        <v>40.6</v>
      </c>
      <c r="Q31" s="6">
        <v>25.9</v>
      </c>
      <c r="R31" s="6">
        <v>10.9</v>
      </c>
      <c r="S31" s="6">
        <v>12.5</v>
      </c>
      <c r="T31" s="5">
        <v>5.1999999999999997E-5</v>
      </c>
      <c r="U31" s="1">
        <v>1.4200000000000001E-2</v>
      </c>
      <c r="V31" s="1">
        <v>7.1635999999999997</v>
      </c>
    </row>
    <row r="32" spans="1:22" x14ac:dyDescent="0.25">
      <c r="A32" s="1">
        <v>0.99960000000000004</v>
      </c>
      <c r="B32" s="9" t="s">
        <v>769</v>
      </c>
      <c r="C32" s="2">
        <v>2324</v>
      </c>
      <c r="D32" s="3" t="s">
        <v>770</v>
      </c>
      <c r="E32" s="9" t="s">
        <v>771</v>
      </c>
      <c r="F32" s="9" t="s">
        <v>772</v>
      </c>
      <c r="G32" s="1">
        <v>1734.8977</v>
      </c>
      <c r="H32" s="2">
        <v>16</v>
      </c>
      <c r="I32" s="2">
        <v>3</v>
      </c>
      <c r="J32" s="1">
        <v>1734.9377999999999</v>
      </c>
      <c r="K32" s="1">
        <v>579.30650000000003</v>
      </c>
      <c r="L32" s="9" t="s">
        <v>773</v>
      </c>
      <c r="M32" s="2">
        <v>8.5</v>
      </c>
      <c r="N32" s="4">
        <v>3228.07</v>
      </c>
      <c r="O32" s="1">
        <v>23.073565835471662</v>
      </c>
      <c r="P32" s="6">
        <v>36.299999999999997</v>
      </c>
      <c r="Q32" s="6">
        <v>23.6</v>
      </c>
      <c r="R32" s="6">
        <v>13.7</v>
      </c>
      <c r="S32" s="6">
        <v>11.7</v>
      </c>
      <c r="T32" s="5">
        <v>1.6999999999999999E-3</v>
      </c>
      <c r="U32" s="1">
        <v>4.0099999999999997E-2</v>
      </c>
      <c r="V32" s="1">
        <v>5.4787999999999997</v>
      </c>
    </row>
    <row r="33" spans="1:22" x14ac:dyDescent="0.25">
      <c r="A33" s="1">
        <v>1</v>
      </c>
      <c r="B33" s="9" t="s">
        <v>774</v>
      </c>
      <c r="C33" s="2">
        <v>2325</v>
      </c>
      <c r="D33" s="3" t="s">
        <v>775</v>
      </c>
      <c r="E33" s="9" t="s">
        <v>126</v>
      </c>
      <c r="F33" s="9" t="s">
        <v>122</v>
      </c>
      <c r="G33" s="1">
        <v>1867.0237</v>
      </c>
      <c r="H33" s="2">
        <v>559</v>
      </c>
      <c r="I33" s="2">
        <v>3</v>
      </c>
      <c r="J33" s="1">
        <v>1867.0533</v>
      </c>
      <c r="K33" s="1">
        <v>623.34849999999994</v>
      </c>
      <c r="L33" s="9" t="s">
        <v>123</v>
      </c>
      <c r="M33" s="2">
        <v>8.59</v>
      </c>
      <c r="N33" s="4">
        <v>3228.07</v>
      </c>
      <c r="O33" s="1">
        <v>15.828491873593451</v>
      </c>
      <c r="P33" s="6">
        <v>52.5</v>
      </c>
      <c r="Q33" s="6">
        <v>30.7</v>
      </c>
      <c r="R33" s="6">
        <v>11.1</v>
      </c>
      <c r="S33" s="6">
        <v>13.2</v>
      </c>
      <c r="T33" s="5">
        <v>2.2000000000000001E-6</v>
      </c>
      <c r="U33" s="1">
        <v>2.9600000000000001E-2</v>
      </c>
      <c r="V33" s="1">
        <v>8.7896999999999998</v>
      </c>
    </row>
    <row r="34" spans="1:22" x14ac:dyDescent="0.25">
      <c r="A34" s="1">
        <v>0.99990000000000001</v>
      </c>
      <c r="B34" s="9" t="s">
        <v>776</v>
      </c>
      <c r="C34" s="2">
        <v>2328</v>
      </c>
      <c r="D34" s="3" t="s">
        <v>777</v>
      </c>
      <c r="E34" s="9" t="s">
        <v>134</v>
      </c>
      <c r="F34" s="9" t="s">
        <v>122</v>
      </c>
      <c r="G34" s="1">
        <v>1996.0667000000001</v>
      </c>
      <c r="H34" s="2">
        <v>560</v>
      </c>
      <c r="I34" s="2">
        <v>3</v>
      </c>
      <c r="J34" s="1">
        <v>1996.1117999999999</v>
      </c>
      <c r="K34" s="1">
        <v>666.36279999999999</v>
      </c>
      <c r="L34" s="9" t="s">
        <v>123</v>
      </c>
      <c r="M34" s="2">
        <v>6.33</v>
      </c>
      <c r="N34" s="4">
        <v>3235.37</v>
      </c>
      <c r="O34" s="1">
        <v>22.560282976980908</v>
      </c>
      <c r="P34" s="6">
        <v>51.3</v>
      </c>
      <c r="Q34" s="6">
        <v>30.5</v>
      </c>
      <c r="R34" s="6">
        <v>10.4</v>
      </c>
      <c r="S34" s="6">
        <v>13</v>
      </c>
      <c r="T34" s="5">
        <v>6.9999999999999999E-6</v>
      </c>
      <c r="U34" s="1">
        <v>4.5100000000000001E-2</v>
      </c>
      <c r="V34" s="1">
        <v>7.9244000000000003</v>
      </c>
    </row>
    <row r="35" spans="1:22" x14ac:dyDescent="0.25">
      <c r="A35" s="1">
        <v>0.99939999999999996</v>
      </c>
      <c r="B35" s="9" t="s">
        <v>778</v>
      </c>
      <c r="C35" s="2">
        <v>2334</v>
      </c>
      <c r="D35" s="3" t="s">
        <v>779</v>
      </c>
      <c r="E35" s="9" t="s">
        <v>780</v>
      </c>
      <c r="F35" s="9" t="s">
        <v>781</v>
      </c>
      <c r="G35" s="1">
        <v>1347.7186999999999</v>
      </c>
      <c r="H35" s="2">
        <v>891</v>
      </c>
      <c r="I35" s="2">
        <v>3</v>
      </c>
      <c r="J35" s="1">
        <v>1347.7597000000001</v>
      </c>
      <c r="K35" s="1">
        <v>450.24680000000001</v>
      </c>
      <c r="L35" s="9" t="s">
        <v>782</v>
      </c>
      <c r="M35" s="2">
        <v>6.81</v>
      </c>
      <c r="N35" s="4">
        <v>3256.22</v>
      </c>
      <c r="O35" s="1">
        <v>30.353723039601096</v>
      </c>
      <c r="P35" s="6">
        <v>34.6</v>
      </c>
      <c r="Q35" s="6">
        <v>23.7</v>
      </c>
      <c r="R35" s="6">
        <v>8.5</v>
      </c>
      <c r="S35" s="6">
        <v>9.1</v>
      </c>
      <c r="T35" s="5">
        <v>8.6E-3</v>
      </c>
      <c r="U35" s="1">
        <v>4.1000000000000002E-2</v>
      </c>
      <c r="V35" s="1">
        <v>4.9676999999999998</v>
      </c>
    </row>
    <row r="36" spans="1:22" x14ac:dyDescent="0.25">
      <c r="A36" s="1">
        <v>1</v>
      </c>
      <c r="B36" s="9" t="s">
        <v>783</v>
      </c>
      <c r="C36" s="2">
        <v>2384</v>
      </c>
      <c r="D36" s="3" t="s">
        <v>784</v>
      </c>
      <c r="E36" s="9" t="s">
        <v>785</v>
      </c>
      <c r="F36" s="9" t="s">
        <v>484</v>
      </c>
      <c r="G36" s="1">
        <v>1498.7887000000001</v>
      </c>
      <c r="H36" s="2">
        <v>310</v>
      </c>
      <c r="I36" s="2">
        <v>3</v>
      </c>
      <c r="J36" s="1">
        <v>1498.8526999999999</v>
      </c>
      <c r="K36" s="1">
        <v>500.6035</v>
      </c>
      <c r="L36" s="9" t="s">
        <v>485</v>
      </c>
      <c r="M36" s="2">
        <v>6.77</v>
      </c>
      <c r="N36" s="4">
        <v>3377.22</v>
      </c>
      <c r="O36" s="1">
        <v>42.615230083955332</v>
      </c>
      <c r="P36" s="6">
        <v>42.9</v>
      </c>
      <c r="Q36" s="6">
        <v>23.8</v>
      </c>
      <c r="R36" s="6">
        <v>10.3</v>
      </c>
      <c r="S36" s="6">
        <v>11.5</v>
      </c>
      <c r="T36" s="5">
        <v>4.6999999999999997E-5</v>
      </c>
      <c r="U36" s="1">
        <v>6.4000000000000001E-2</v>
      </c>
      <c r="V36" s="1">
        <v>8.5239999999999991</v>
      </c>
    </row>
    <row r="37" spans="1:22" x14ac:dyDescent="0.25">
      <c r="A37" s="1">
        <v>0.98770000000000002</v>
      </c>
      <c r="B37" s="9" t="s">
        <v>786</v>
      </c>
      <c r="C37" s="2">
        <v>2408</v>
      </c>
      <c r="D37" s="3" t="s">
        <v>621</v>
      </c>
      <c r="E37" s="9" t="s">
        <v>787</v>
      </c>
      <c r="F37" s="9" t="s">
        <v>788</v>
      </c>
      <c r="G37" s="1">
        <v>1098.5346999999999</v>
      </c>
      <c r="H37" s="2">
        <v>258</v>
      </c>
      <c r="I37" s="2">
        <v>2</v>
      </c>
      <c r="J37" s="1">
        <v>1098.5506</v>
      </c>
      <c r="K37" s="1">
        <v>550.27459999999996</v>
      </c>
      <c r="L37" s="9" t="s">
        <v>789</v>
      </c>
      <c r="M37" s="2">
        <v>4.3499999999999996</v>
      </c>
      <c r="N37" s="4">
        <v>3435.62</v>
      </c>
      <c r="O37" s="1">
        <v>14.447332295548442</v>
      </c>
      <c r="P37" s="6">
        <v>33.299999999999997</v>
      </c>
      <c r="Q37" s="6">
        <v>25.1</v>
      </c>
      <c r="R37" s="6">
        <v>8.1</v>
      </c>
      <c r="S37" s="6">
        <v>8.1999999999999993</v>
      </c>
      <c r="T37" s="5">
        <v>4.3E-3</v>
      </c>
      <c r="U37" s="1">
        <v>1.5900000000000001E-2</v>
      </c>
      <c r="V37" s="1">
        <v>4.4029999999999996</v>
      </c>
    </row>
    <row r="38" spans="1:22" x14ac:dyDescent="0.25">
      <c r="A38" s="1">
        <v>0.99950000000000006</v>
      </c>
      <c r="B38" s="9" t="s">
        <v>790</v>
      </c>
      <c r="C38" s="2">
        <v>2417</v>
      </c>
      <c r="D38" s="3" t="s">
        <v>69</v>
      </c>
      <c r="E38" s="9" t="s">
        <v>155</v>
      </c>
      <c r="F38" s="9" t="s">
        <v>156</v>
      </c>
      <c r="G38" s="1">
        <v>1064.5287000000001</v>
      </c>
      <c r="H38" s="2">
        <v>259</v>
      </c>
      <c r="I38" s="2">
        <v>2</v>
      </c>
      <c r="J38" s="1">
        <v>1064.5426</v>
      </c>
      <c r="K38" s="1">
        <v>533.27160000000003</v>
      </c>
      <c r="L38" s="9" t="s">
        <v>157</v>
      </c>
      <c r="M38" s="2">
        <v>6.46</v>
      </c>
      <c r="N38" s="4">
        <v>3457.52</v>
      </c>
      <c r="O38" s="1">
        <v>13.032758541801211</v>
      </c>
      <c r="P38" s="6">
        <v>38.200000000000003</v>
      </c>
      <c r="Q38" s="6">
        <v>25.6</v>
      </c>
      <c r="R38" s="6">
        <v>10.9</v>
      </c>
      <c r="S38" s="6">
        <v>9.3000000000000007</v>
      </c>
      <c r="T38" s="5">
        <v>1.1999999999999999E-3</v>
      </c>
      <c r="U38" s="1">
        <v>1.3899999999999999E-2</v>
      </c>
      <c r="V38" s="1">
        <v>5.7461000000000002</v>
      </c>
    </row>
    <row r="39" spans="1:22" x14ac:dyDescent="0.25">
      <c r="A39" s="1">
        <v>0.95320000000000005</v>
      </c>
      <c r="B39" s="9" t="s">
        <v>791</v>
      </c>
      <c r="C39" s="2">
        <v>2418</v>
      </c>
      <c r="D39" s="3" t="s">
        <v>792</v>
      </c>
      <c r="E39" s="9" t="s">
        <v>793</v>
      </c>
      <c r="F39" s="9" t="s">
        <v>794</v>
      </c>
      <c r="G39" s="1">
        <v>1354.7856999999999</v>
      </c>
      <c r="H39" s="2">
        <v>890</v>
      </c>
      <c r="I39" s="2">
        <v>3</v>
      </c>
      <c r="J39" s="1">
        <v>1354.8207</v>
      </c>
      <c r="K39" s="1">
        <v>452.60250000000002</v>
      </c>
      <c r="L39" s="9" t="s">
        <v>795</v>
      </c>
      <c r="M39" s="2">
        <v>5.51</v>
      </c>
      <c r="N39" s="4">
        <v>3460.62</v>
      </c>
      <c r="O39" s="1">
        <v>25.776849811184576</v>
      </c>
      <c r="P39" s="6">
        <v>25.5</v>
      </c>
      <c r="Q39" s="6">
        <v>20.5</v>
      </c>
      <c r="R39" s="6">
        <v>10.4</v>
      </c>
      <c r="S39" s="6">
        <v>10.5</v>
      </c>
      <c r="T39" s="5">
        <v>0.17</v>
      </c>
      <c r="U39" s="1">
        <v>3.5000000000000003E-2</v>
      </c>
      <c r="V39" s="1">
        <v>2.4508999999999999</v>
      </c>
    </row>
    <row r="40" spans="1:22" x14ac:dyDescent="0.25">
      <c r="A40" s="1">
        <v>0.96809999999999996</v>
      </c>
      <c r="B40" s="9" t="s">
        <v>796</v>
      </c>
      <c r="C40" s="2">
        <v>2442</v>
      </c>
      <c r="D40" s="3" t="s">
        <v>797</v>
      </c>
      <c r="E40" s="9" t="s">
        <v>798</v>
      </c>
      <c r="F40" s="9" t="s">
        <v>799</v>
      </c>
      <c r="G40" s="1">
        <v>1486.7137</v>
      </c>
      <c r="H40" s="2">
        <v>1380</v>
      </c>
      <c r="I40" s="2">
        <v>3</v>
      </c>
      <c r="J40" s="1">
        <v>1486.7681</v>
      </c>
      <c r="K40" s="1">
        <v>496.57850000000002</v>
      </c>
      <c r="L40" s="9" t="s">
        <v>800</v>
      </c>
      <c r="M40" s="2">
        <v>6.99</v>
      </c>
      <c r="N40" s="4">
        <v>3519.02</v>
      </c>
      <c r="O40" s="1">
        <v>36.516549414308777</v>
      </c>
      <c r="P40" s="6">
        <v>28.5</v>
      </c>
      <c r="Q40" s="6">
        <v>21</v>
      </c>
      <c r="R40" s="6">
        <v>7.7</v>
      </c>
      <c r="S40" s="6">
        <v>10.3</v>
      </c>
      <c r="T40" s="5">
        <v>3.2000000000000001E-2</v>
      </c>
      <c r="U40" s="1">
        <v>5.4399999999999997E-2</v>
      </c>
      <c r="V40" s="1">
        <v>3.7065999999999999</v>
      </c>
    </row>
    <row r="41" spans="1:22" x14ac:dyDescent="0.25">
      <c r="A41" s="1">
        <v>0.98399999999999999</v>
      </c>
      <c r="B41" s="9" t="s">
        <v>801</v>
      </c>
      <c r="C41" s="2">
        <v>2450</v>
      </c>
      <c r="D41" s="3" t="s">
        <v>802</v>
      </c>
      <c r="E41" s="9" t="s">
        <v>803</v>
      </c>
      <c r="F41" s="9" t="s">
        <v>804</v>
      </c>
      <c r="G41" s="1">
        <v>2087.0246999999999</v>
      </c>
      <c r="H41" s="2">
        <v>1381</v>
      </c>
      <c r="I41" s="2">
        <v>3</v>
      </c>
      <c r="J41" s="1">
        <v>2087.0605999999998</v>
      </c>
      <c r="K41" s="1">
        <v>696.68219999999997</v>
      </c>
      <c r="L41" s="9" t="s">
        <v>805</v>
      </c>
      <c r="M41" s="2">
        <v>4.93</v>
      </c>
      <c r="N41" s="4">
        <v>3537.82</v>
      </c>
      <c r="O41" s="1">
        <v>17.176650511046024</v>
      </c>
      <c r="P41" s="6">
        <v>35.4</v>
      </c>
      <c r="Q41" s="6">
        <v>24.9</v>
      </c>
      <c r="R41" s="6">
        <v>12.3</v>
      </c>
      <c r="S41" s="6">
        <v>11.8</v>
      </c>
      <c r="T41" s="5">
        <v>6.1000000000000004E-3</v>
      </c>
      <c r="U41" s="1">
        <v>3.5900000000000001E-2</v>
      </c>
      <c r="V41" s="1">
        <v>4.1124000000000001</v>
      </c>
    </row>
    <row r="42" spans="1:22" x14ac:dyDescent="0.25">
      <c r="A42" s="1">
        <v>0.95599999999999996</v>
      </c>
      <c r="B42" s="9" t="s">
        <v>806</v>
      </c>
      <c r="C42" s="2">
        <v>2456</v>
      </c>
      <c r="D42" s="3" t="s">
        <v>807</v>
      </c>
      <c r="E42" s="9" t="s">
        <v>808</v>
      </c>
      <c r="F42" s="9" t="s">
        <v>809</v>
      </c>
      <c r="G42" s="1">
        <v>1631.8557000000001</v>
      </c>
      <c r="H42" s="2">
        <v>916</v>
      </c>
      <c r="I42" s="2">
        <v>3</v>
      </c>
      <c r="J42" s="1">
        <v>1631.8997999999999</v>
      </c>
      <c r="K42" s="1">
        <v>544.95920000000001</v>
      </c>
      <c r="L42" s="9" t="s">
        <v>810</v>
      </c>
      <c r="M42" s="2">
        <v>6.31</v>
      </c>
      <c r="N42" s="4">
        <v>3552.42</v>
      </c>
      <c r="O42" s="1">
        <v>26.974496439366469</v>
      </c>
      <c r="P42" s="6">
        <v>32.5</v>
      </c>
      <c r="Q42" s="6">
        <v>22.9</v>
      </c>
      <c r="R42" s="6">
        <v>9</v>
      </c>
      <c r="S42" s="6">
        <v>11.3</v>
      </c>
      <c r="T42" s="5">
        <v>1.7999999999999999E-2</v>
      </c>
      <c r="U42" s="1">
        <v>4.41E-2</v>
      </c>
      <c r="V42" s="1">
        <v>3.9262999999999999</v>
      </c>
    </row>
    <row r="43" spans="1:22" x14ac:dyDescent="0.25">
      <c r="A43" s="1">
        <v>1</v>
      </c>
      <c r="B43" s="9" t="s">
        <v>811</v>
      </c>
      <c r="C43" s="2">
        <v>2463</v>
      </c>
      <c r="D43" s="3" t="s">
        <v>469</v>
      </c>
      <c r="E43" s="9" t="s">
        <v>812</v>
      </c>
      <c r="F43" s="9" t="s">
        <v>216</v>
      </c>
      <c r="G43" s="1">
        <v>1936.9717000000001</v>
      </c>
      <c r="H43" s="2">
        <v>568</v>
      </c>
      <c r="I43" s="2">
        <v>3</v>
      </c>
      <c r="J43" s="1">
        <v>1937.0253</v>
      </c>
      <c r="K43" s="1">
        <v>646.66449999999998</v>
      </c>
      <c r="L43" s="9" t="s">
        <v>91</v>
      </c>
      <c r="M43" s="2">
        <v>6.75</v>
      </c>
      <c r="N43" s="4">
        <v>3563.87</v>
      </c>
      <c r="O43" s="1">
        <v>27.628958550634319</v>
      </c>
      <c r="P43" s="6">
        <v>36.299999999999997</v>
      </c>
      <c r="Q43" s="6">
        <v>20.3</v>
      </c>
      <c r="R43" s="6">
        <v>4.2</v>
      </c>
      <c r="S43" s="6">
        <v>8.1</v>
      </c>
      <c r="T43" s="5">
        <v>4.3000000000000002E-5</v>
      </c>
      <c r="U43" s="1">
        <v>5.3600000000000002E-2</v>
      </c>
      <c r="V43" s="1">
        <v>7.2150999999999996</v>
      </c>
    </row>
    <row r="44" spans="1:22" x14ac:dyDescent="0.25">
      <c r="A44" s="1">
        <v>0.99980000000000002</v>
      </c>
      <c r="B44" s="9" t="s">
        <v>813</v>
      </c>
      <c r="C44" s="2">
        <v>2474</v>
      </c>
      <c r="D44" s="3" t="s">
        <v>814</v>
      </c>
      <c r="E44" s="9" t="s">
        <v>815</v>
      </c>
      <c r="F44" s="9" t="s">
        <v>484</v>
      </c>
      <c r="G44" s="1">
        <v>1482.7936999999999</v>
      </c>
      <c r="H44" s="2">
        <v>570</v>
      </c>
      <c r="I44" s="2">
        <v>3</v>
      </c>
      <c r="J44" s="1">
        <v>1482.8338000000001</v>
      </c>
      <c r="K44" s="1">
        <v>495.27179999999998</v>
      </c>
      <c r="L44" s="9" t="s">
        <v>485</v>
      </c>
      <c r="M44" s="2">
        <v>6.77</v>
      </c>
      <c r="N44" s="4">
        <v>3593.07</v>
      </c>
      <c r="O44" s="1">
        <v>26.988547837100086</v>
      </c>
      <c r="P44" s="6">
        <v>42.4</v>
      </c>
      <c r="Q44" s="6">
        <v>27.2</v>
      </c>
      <c r="R44" s="6">
        <v>11</v>
      </c>
      <c r="S44" s="6">
        <v>12.4</v>
      </c>
      <c r="T44" s="5">
        <v>1.9000000000000001E-4</v>
      </c>
      <c r="U44" s="1">
        <v>4.0099999999999997E-2</v>
      </c>
      <c r="V44" s="1">
        <v>7.2168000000000001</v>
      </c>
    </row>
    <row r="45" spans="1:22" x14ac:dyDescent="0.25">
      <c r="A45" s="1">
        <v>0.98750000000000004</v>
      </c>
      <c r="B45" s="9" t="s">
        <v>816</v>
      </c>
      <c r="C45" s="2">
        <v>2478</v>
      </c>
      <c r="D45" s="3" t="s">
        <v>302</v>
      </c>
      <c r="E45" s="9" t="s">
        <v>817</v>
      </c>
      <c r="F45" s="9" t="s">
        <v>818</v>
      </c>
      <c r="G45" s="1">
        <v>1347.6704</v>
      </c>
      <c r="H45" s="2">
        <v>262</v>
      </c>
      <c r="I45" s="2">
        <v>2</v>
      </c>
      <c r="J45" s="1">
        <v>1347.6727000000001</v>
      </c>
      <c r="K45" s="1">
        <v>674.84249999999997</v>
      </c>
      <c r="L45" s="9" t="s">
        <v>819</v>
      </c>
      <c r="M45" s="2">
        <v>6.22</v>
      </c>
      <c r="N45" s="4">
        <v>3606.62</v>
      </c>
      <c r="O45" s="1">
        <v>1.7041013273467513</v>
      </c>
      <c r="P45" s="6">
        <v>33.1</v>
      </c>
      <c r="Q45" s="6">
        <v>25.3</v>
      </c>
      <c r="R45" s="6">
        <v>10.5</v>
      </c>
      <c r="S45" s="6">
        <v>10.199999999999999</v>
      </c>
      <c r="T45" s="5">
        <v>9.1000000000000004E-3</v>
      </c>
      <c r="U45" s="1">
        <v>2.3E-3</v>
      </c>
      <c r="V45" s="1">
        <v>3.8039000000000001</v>
      </c>
    </row>
    <row r="46" spans="1:22" x14ac:dyDescent="0.25">
      <c r="A46" s="1">
        <v>0.98709999999999998</v>
      </c>
      <c r="B46" s="9" t="s">
        <v>820</v>
      </c>
      <c r="C46" s="2">
        <v>2505</v>
      </c>
      <c r="D46" s="3" t="s">
        <v>396</v>
      </c>
      <c r="E46" s="9" t="s">
        <v>821</v>
      </c>
      <c r="F46" s="9" t="s">
        <v>80</v>
      </c>
      <c r="G46" s="1">
        <v>1123.5947000000001</v>
      </c>
      <c r="H46" s="2">
        <v>573</v>
      </c>
      <c r="I46" s="2">
        <v>2</v>
      </c>
      <c r="J46" s="1">
        <v>1123.5965000000001</v>
      </c>
      <c r="K46" s="1">
        <v>562.80460000000005</v>
      </c>
      <c r="L46" s="9" t="s">
        <v>81</v>
      </c>
      <c r="M46" s="2">
        <v>8.56</v>
      </c>
      <c r="N46" s="4">
        <v>3666.07</v>
      </c>
      <c r="O46" s="1">
        <v>1.5991340511431495</v>
      </c>
      <c r="P46" s="6">
        <v>43.4</v>
      </c>
      <c r="Q46" s="6">
        <v>30</v>
      </c>
      <c r="R46" s="6">
        <v>10.3</v>
      </c>
      <c r="S46" s="6">
        <v>10.6</v>
      </c>
      <c r="T46" s="5">
        <v>5.0999999999999997E-2</v>
      </c>
      <c r="U46" s="1">
        <v>1.8E-3</v>
      </c>
      <c r="V46" s="1">
        <v>3.6339000000000001</v>
      </c>
    </row>
    <row r="47" spans="1:22" x14ac:dyDescent="0.25">
      <c r="A47" s="1">
        <v>0.99519999999999997</v>
      </c>
      <c r="B47" s="9" t="s">
        <v>822</v>
      </c>
      <c r="C47" s="2">
        <v>2519</v>
      </c>
      <c r="D47" s="3" t="s">
        <v>146</v>
      </c>
      <c r="E47" s="9" t="s">
        <v>823</v>
      </c>
      <c r="F47" s="9" t="s">
        <v>508</v>
      </c>
      <c r="G47" s="1">
        <v>1386.6853000000001</v>
      </c>
      <c r="H47" s="2">
        <v>575</v>
      </c>
      <c r="I47" s="2">
        <v>2</v>
      </c>
      <c r="J47" s="1">
        <v>1386.6905999999999</v>
      </c>
      <c r="K47" s="1">
        <v>694.34990000000005</v>
      </c>
      <c r="L47" s="9" t="s">
        <v>509</v>
      </c>
      <c r="M47" s="2">
        <v>6.14</v>
      </c>
      <c r="N47" s="4">
        <v>3702.52</v>
      </c>
      <c r="O47" s="1">
        <v>3.8165195962439111</v>
      </c>
      <c r="P47" s="6">
        <v>39.9</v>
      </c>
      <c r="Q47" s="6">
        <v>26.9</v>
      </c>
      <c r="R47" s="6">
        <v>12.8</v>
      </c>
      <c r="S47" s="6">
        <v>12.1</v>
      </c>
      <c r="T47" s="5">
        <v>1.1000000000000001E-3</v>
      </c>
      <c r="U47" s="1">
        <v>5.3E-3</v>
      </c>
      <c r="V47" s="1">
        <v>5.2582000000000004</v>
      </c>
    </row>
    <row r="48" spans="1:22" x14ac:dyDescent="0.25">
      <c r="A48" s="1">
        <v>0.9889</v>
      </c>
      <c r="B48" s="9" t="s">
        <v>824</v>
      </c>
      <c r="C48" s="2">
        <v>2525</v>
      </c>
      <c r="D48" s="3" t="s">
        <v>302</v>
      </c>
      <c r="E48" s="9" t="s">
        <v>825</v>
      </c>
      <c r="F48" s="9" t="s">
        <v>826</v>
      </c>
      <c r="G48" s="1">
        <v>1243.6117999999999</v>
      </c>
      <c r="H48" s="2">
        <v>1074</v>
      </c>
      <c r="I48" s="2">
        <v>2</v>
      </c>
      <c r="J48" s="1">
        <v>1243.6071999999999</v>
      </c>
      <c r="K48" s="1">
        <v>622.81320000000005</v>
      </c>
      <c r="L48" s="9" t="s">
        <v>827</v>
      </c>
      <c r="M48" s="2">
        <v>4.75</v>
      </c>
      <c r="N48" s="4">
        <v>3717.09</v>
      </c>
      <c r="O48" s="1">
        <v>-3.6929210877354555</v>
      </c>
      <c r="P48" s="6">
        <v>35.299999999999997</v>
      </c>
      <c r="Q48" s="6">
        <v>27</v>
      </c>
      <c r="R48" s="6">
        <v>12.9</v>
      </c>
      <c r="S48" s="6">
        <v>12.1</v>
      </c>
      <c r="T48" s="5">
        <v>5.1000000000000004E-3</v>
      </c>
      <c r="U48" s="1">
        <v>-4.5999999999999999E-3</v>
      </c>
      <c r="V48" s="1">
        <v>4.0807000000000002</v>
      </c>
    </row>
    <row r="49" spans="1:22" x14ac:dyDescent="0.25">
      <c r="A49" s="1">
        <v>0.99460000000000004</v>
      </c>
      <c r="B49" s="9" t="s">
        <v>828</v>
      </c>
      <c r="C49" s="2">
        <v>2540</v>
      </c>
      <c r="D49" s="3" t="s">
        <v>370</v>
      </c>
      <c r="E49" s="9" t="s">
        <v>825</v>
      </c>
      <c r="F49" s="9" t="s">
        <v>829</v>
      </c>
      <c r="G49" s="1">
        <v>1243.6117999999999</v>
      </c>
      <c r="H49" s="2">
        <v>577</v>
      </c>
      <c r="I49" s="2">
        <v>2</v>
      </c>
      <c r="J49" s="1">
        <v>1243.6186</v>
      </c>
      <c r="K49" s="1">
        <v>622.81320000000005</v>
      </c>
      <c r="L49" s="9" t="s">
        <v>827</v>
      </c>
      <c r="M49" s="2">
        <v>4.75</v>
      </c>
      <c r="N49" s="4">
        <v>3753.57</v>
      </c>
      <c r="O49" s="1">
        <v>5.4591007383915429</v>
      </c>
      <c r="P49" s="6">
        <v>42.7</v>
      </c>
      <c r="Q49" s="6">
        <v>30.5</v>
      </c>
      <c r="R49" s="6">
        <v>12.3</v>
      </c>
      <c r="S49" s="6">
        <v>11.5</v>
      </c>
      <c r="T49" s="5">
        <v>9.3999999999999997E-4</v>
      </c>
      <c r="U49" s="1">
        <v>6.7999999999999996E-3</v>
      </c>
      <c r="V49" s="1">
        <v>5.1406000000000001</v>
      </c>
    </row>
    <row r="50" spans="1:22" x14ac:dyDescent="0.25">
      <c r="A50" s="1">
        <v>0.99970000000000003</v>
      </c>
      <c r="B50" s="9" t="s">
        <v>830</v>
      </c>
      <c r="C50" s="2">
        <v>2564</v>
      </c>
      <c r="D50" s="3" t="s">
        <v>831</v>
      </c>
      <c r="E50" s="9" t="s">
        <v>832</v>
      </c>
      <c r="F50" s="9" t="s">
        <v>455</v>
      </c>
      <c r="G50" s="1">
        <v>1699.0037</v>
      </c>
      <c r="H50" s="2">
        <v>581</v>
      </c>
      <c r="I50" s="2">
        <v>3</v>
      </c>
      <c r="J50" s="1">
        <v>1699.0329999999999</v>
      </c>
      <c r="K50" s="1">
        <v>567.34180000000003</v>
      </c>
      <c r="L50" s="9" t="s">
        <v>456</v>
      </c>
      <c r="M50" s="2">
        <v>8.56</v>
      </c>
      <c r="N50" s="4">
        <v>3811.97</v>
      </c>
      <c r="O50" s="1">
        <v>17.21478422119905</v>
      </c>
      <c r="P50" s="6">
        <v>43.9</v>
      </c>
      <c r="Q50" s="6">
        <v>30</v>
      </c>
      <c r="R50" s="6">
        <v>8.5</v>
      </c>
      <c r="S50" s="6">
        <v>13.3</v>
      </c>
      <c r="T50" s="5">
        <v>7.3999999999999999E-4</v>
      </c>
      <c r="U50" s="1">
        <v>2.93E-2</v>
      </c>
      <c r="V50" s="1">
        <v>5.3875999999999999</v>
      </c>
    </row>
    <row r="51" spans="1:22" x14ac:dyDescent="0.25">
      <c r="A51" s="1">
        <v>0.94940000000000002</v>
      </c>
      <c r="B51" s="9" t="s">
        <v>833</v>
      </c>
      <c r="C51" s="2">
        <v>2567</v>
      </c>
      <c r="D51" s="3" t="s">
        <v>834</v>
      </c>
      <c r="E51" s="9" t="s">
        <v>835</v>
      </c>
      <c r="F51" s="9" t="s">
        <v>836</v>
      </c>
      <c r="G51" s="1">
        <v>1274.3857</v>
      </c>
      <c r="H51" s="2">
        <v>583</v>
      </c>
      <c r="I51" s="2">
        <v>2</v>
      </c>
      <c r="J51" s="1">
        <v>1274.2603999999999</v>
      </c>
      <c r="K51" s="1">
        <v>638.20010000000002</v>
      </c>
      <c r="L51" s="9" t="s">
        <v>837</v>
      </c>
      <c r="M51" s="2">
        <v>4.24</v>
      </c>
      <c r="N51" s="4">
        <v>3819.27</v>
      </c>
      <c r="O51" s="1">
        <v>-98.166703515088756</v>
      </c>
      <c r="P51" s="6">
        <v>18.2</v>
      </c>
      <c r="Q51" s="6">
        <v>13.2</v>
      </c>
      <c r="R51" s="6">
        <v>0</v>
      </c>
      <c r="S51" s="6">
        <v>9.9</v>
      </c>
      <c r="T51" s="5">
        <v>6.6000000000000003E-2</v>
      </c>
      <c r="U51" s="1">
        <v>-0.12529999999999999</v>
      </c>
      <c r="V51" s="1">
        <v>3.3149000000000002</v>
      </c>
    </row>
    <row r="52" spans="1:22" x14ac:dyDescent="0.25">
      <c r="A52" s="1">
        <v>0.99970000000000003</v>
      </c>
      <c r="B52" s="9" t="s">
        <v>838</v>
      </c>
      <c r="C52" s="2">
        <v>2570</v>
      </c>
      <c r="D52" s="3" t="s">
        <v>779</v>
      </c>
      <c r="E52" s="9" t="s">
        <v>839</v>
      </c>
      <c r="F52" s="9" t="s">
        <v>647</v>
      </c>
      <c r="G52" s="1">
        <v>1499.8167000000001</v>
      </c>
      <c r="H52" s="2">
        <v>584</v>
      </c>
      <c r="I52" s="2">
        <v>3</v>
      </c>
      <c r="J52" s="1">
        <v>1499.8588</v>
      </c>
      <c r="K52" s="1">
        <v>500.94619999999998</v>
      </c>
      <c r="L52" s="9" t="s">
        <v>118</v>
      </c>
      <c r="M52" s="2">
        <v>8.48</v>
      </c>
      <c r="N52" s="4">
        <v>3826.57</v>
      </c>
      <c r="O52" s="1">
        <v>28.01365362854002</v>
      </c>
      <c r="P52" s="6">
        <v>37.9</v>
      </c>
      <c r="Q52" s="6">
        <v>28.2</v>
      </c>
      <c r="R52" s="6">
        <v>7.6</v>
      </c>
      <c r="S52" s="6">
        <v>11.5</v>
      </c>
      <c r="T52" s="5">
        <v>1.9E-3</v>
      </c>
      <c r="U52" s="1">
        <v>4.2099999999999999E-2</v>
      </c>
      <c r="V52" s="1">
        <v>5.5217999999999998</v>
      </c>
    </row>
    <row r="53" spans="1:22" x14ac:dyDescent="0.25">
      <c r="A53" s="1">
        <v>0.99890000000000001</v>
      </c>
      <c r="B53" s="9" t="s">
        <v>840</v>
      </c>
      <c r="C53" s="2">
        <v>2576</v>
      </c>
      <c r="D53" s="3" t="s">
        <v>370</v>
      </c>
      <c r="E53" s="9" t="s">
        <v>215</v>
      </c>
      <c r="F53" s="9" t="s">
        <v>841</v>
      </c>
      <c r="G53" s="1">
        <v>1374.6424</v>
      </c>
      <c r="H53" s="2">
        <v>921</v>
      </c>
      <c r="I53" s="2">
        <v>2</v>
      </c>
      <c r="J53" s="1">
        <v>1374.6419000000001</v>
      </c>
      <c r="K53" s="1">
        <v>688.32849999999996</v>
      </c>
      <c r="L53" s="9" t="s">
        <v>673</v>
      </c>
      <c r="M53" s="2">
        <v>6.75</v>
      </c>
      <c r="N53" s="4">
        <v>3844.32</v>
      </c>
      <c r="O53" s="1">
        <v>-0.36319867621346497</v>
      </c>
      <c r="P53" s="6">
        <v>43.3</v>
      </c>
      <c r="Q53" s="6">
        <v>26.7</v>
      </c>
      <c r="R53" s="6">
        <v>10.7</v>
      </c>
      <c r="S53" s="6">
        <v>9.8000000000000007</v>
      </c>
      <c r="T53" s="5">
        <v>1.7000000000000001E-4</v>
      </c>
      <c r="U53" s="1">
        <v>-5.0000000000000001E-4</v>
      </c>
      <c r="V53" s="1">
        <v>6.4367000000000001</v>
      </c>
    </row>
    <row r="54" spans="1:22" x14ac:dyDescent="0.25">
      <c r="A54" s="1">
        <v>0.96960000000000002</v>
      </c>
      <c r="B54" s="9" t="s">
        <v>842</v>
      </c>
      <c r="C54" s="2">
        <v>2580</v>
      </c>
      <c r="D54" s="3" t="s">
        <v>702</v>
      </c>
      <c r="E54" s="9" t="s">
        <v>843</v>
      </c>
      <c r="F54" s="9" t="s">
        <v>844</v>
      </c>
      <c r="G54" s="1">
        <v>1325.6723</v>
      </c>
      <c r="H54" s="2">
        <v>585</v>
      </c>
      <c r="I54" s="2">
        <v>2</v>
      </c>
      <c r="J54" s="1">
        <v>1325.6793</v>
      </c>
      <c r="K54" s="1">
        <v>663.84339999999997</v>
      </c>
      <c r="L54" s="9" t="s">
        <v>745</v>
      </c>
      <c r="M54" s="2">
        <v>8.59</v>
      </c>
      <c r="N54" s="4">
        <v>3848.47</v>
      </c>
      <c r="O54" s="1">
        <v>5.272327780919416</v>
      </c>
      <c r="P54" s="6">
        <v>30.8</v>
      </c>
      <c r="Q54" s="6">
        <v>24.1</v>
      </c>
      <c r="R54" s="6">
        <v>6.8</v>
      </c>
      <c r="S54" s="6">
        <v>6.6</v>
      </c>
      <c r="T54" s="5">
        <v>3.5999999999999997E-2</v>
      </c>
      <c r="U54" s="1">
        <v>7.0000000000000001E-3</v>
      </c>
      <c r="V54" s="1">
        <v>3.0531000000000001</v>
      </c>
    </row>
    <row r="55" spans="1:22" x14ac:dyDescent="0.25">
      <c r="A55" s="1">
        <v>0.98429999999999995</v>
      </c>
      <c r="B55" s="9" t="s">
        <v>845</v>
      </c>
      <c r="C55" s="2">
        <v>2589</v>
      </c>
      <c r="D55" s="3" t="s">
        <v>78</v>
      </c>
      <c r="E55" s="9" t="s">
        <v>846</v>
      </c>
      <c r="F55" s="9" t="s">
        <v>117</v>
      </c>
      <c r="G55" s="1">
        <v>1273.7315000000001</v>
      </c>
      <c r="H55" s="2">
        <v>586</v>
      </c>
      <c r="I55" s="2">
        <v>2</v>
      </c>
      <c r="J55" s="1">
        <v>1273.7407000000001</v>
      </c>
      <c r="K55" s="1">
        <v>637.87300000000005</v>
      </c>
      <c r="L55" s="9" t="s">
        <v>118</v>
      </c>
      <c r="M55" s="2">
        <v>8.59</v>
      </c>
      <c r="N55" s="4">
        <v>3870.37</v>
      </c>
      <c r="O55" s="1">
        <v>7.2114668593905051</v>
      </c>
      <c r="P55" s="6">
        <v>35.6</v>
      </c>
      <c r="Q55" s="6">
        <v>26.3</v>
      </c>
      <c r="R55" s="6">
        <v>7.2</v>
      </c>
      <c r="S55" s="6">
        <v>8.6999999999999993</v>
      </c>
      <c r="T55" s="5">
        <v>0.03</v>
      </c>
      <c r="U55" s="1">
        <v>9.1999999999999998E-3</v>
      </c>
      <c r="V55" s="1">
        <v>3.496</v>
      </c>
    </row>
    <row r="56" spans="1:22" x14ac:dyDescent="0.25">
      <c r="A56" s="1">
        <v>0.99880000000000002</v>
      </c>
      <c r="B56" s="9" t="s">
        <v>847</v>
      </c>
      <c r="C56" s="2">
        <v>2597</v>
      </c>
      <c r="D56" s="3" t="s">
        <v>201</v>
      </c>
      <c r="E56" s="9" t="s">
        <v>848</v>
      </c>
      <c r="F56" s="9" t="s">
        <v>112</v>
      </c>
      <c r="G56" s="1">
        <v>1253.7417</v>
      </c>
      <c r="H56" s="2">
        <v>444</v>
      </c>
      <c r="I56" s="2">
        <v>2</v>
      </c>
      <c r="J56" s="1">
        <v>1253.7503999999999</v>
      </c>
      <c r="K56" s="1">
        <v>627.87810000000002</v>
      </c>
      <c r="L56" s="9" t="s">
        <v>113</v>
      </c>
      <c r="M56" s="2">
        <v>8.59</v>
      </c>
      <c r="N56" s="4">
        <v>3892.27</v>
      </c>
      <c r="O56" s="1">
        <v>6.9280963932330168</v>
      </c>
      <c r="P56" s="6">
        <v>45.9</v>
      </c>
      <c r="Q56" s="6">
        <v>31.4</v>
      </c>
      <c r="R56" s="6">
        <v>11.5</v>
      </c>
      <c r="S56" s="6">
        <v>11.4</v>
      </c>
      <c r="T56" s="5">
        <v>3.3E-4</v>
      </c>
      <c r="U56" s="1">
        <v>8.6999999999999994E-3</v>
      </c>
      <c r="V56" s="1">
        <v>6.0544000000000002</v>
      </c>
    </row>
    <row r="57" spans="1:22" x14ac:dyDescent="0.25">
      <c r="A57" s="1">
        <v>0.98829999999999996</v>
      </c>
      <c r="B57" s="9" t="s">
        <v>849</v>
      </c>
      <c r="C57" s="2">
        <v>2598</v>
      </c>
      <c r="D57" s="3" t="s">
        <v>146</v>
      </c>
      <c r="E57" s="9" t="s">
        <v>850</v>
      </c>
      <c r="F57" s="9" t="s">
        <v>851</v>
      </c>
      <c r="G57" s="1">
        <v>1358.654</v>
      </c>
      <c r="H57" s="2">
        <v>95</v>
      </c>
      <c r="I57" s="2">
        <v>2</v>
      </c>
      <c r="J57" s="1">
        <v>1358.6585</v>
      </c>
      <c r="K57" s="1">
        <v>680.33429999999998</v>
      </c>
      <c r="L57" s="9" t="s">
        <v>852</v>
      </c>
      <c r="M57" s="2">
        <v>4.71</v>
      </c>
      <c r="N57" s="4">
        <v>3892.27</v>
      </c>
      <c r="O57" s="1">
        <v>3.3071976526833939</v>
      </c>
      <c r="P57" s="6">
        <v>38.1</v>
      </c>
      <c r="Q57" s="6">
        <v>29.7</v>
      </c>
      <c r="R57" s="6">
        <v>10.5</v>
      </c>
      <c r="S57" s="6">
        <v>10.8</v>
      </c>
      <c r="T57" s="5">
        <v>6.7000000000000002E-3</v>
      </c>
      <c r="U57" s="1">
        <v>4.4999999999999997E-3</v>
      </c>
      <c r="V57" s="1">
        <v>3.8784000000000001</v>
      </c>
    </row>
    <row r="58" spans="1:22" x14ac:dyDescent="0.25">
      <c r="A58" s="1">
        <v>0.98880000000000001</v>
      </c>
      <c r="B58" s="9" t="s">
        <v>853</v>
      </c>
      <c r="C58" s="2">
        <v>2603</v>
      </c>
      <c r="D58" s="3" t="s">
        <v>183</v>
      </c>
      <c r="E58" s="9" t="s">
        <v>854</v>
      </c>
      <c r="F58" s="9" t="s">
        <v>855</v>
      </c>
      <c r="G58" s="1">
        <v>1218.6166000000001</v>
      </c>
      <c r="H58" s="2">
        <v>266</v>
      </c>
      <c r="I58" s="2">
        <v>2</v>
      </c>
      <c r="J58" s="1">
        <v>1218.6129000000001</v>
      </c>
      <c r="K58" s="1">
        <v>610.31560000000002</v>
      </c>
      <c r="L58" s="9" t="s">
        <v>856</v>
      </c>
      <c r="M58" s="2">
        <v>4.75</v>
      </c>
      <c r="N58" s="4">
        <v>3910.02</v>
      </c>
      <c r="O58" s="1">
        <v>-3.0312186023100183</v>
      </c>
      <c r="P58" s="6">
        <v>34.4</v>
      </c>
      <c r="Q58" s="6">
        <v>26.8</v>
      </c>
      <c r="R58" s="6">
        <v>11.6</v>
      </c>
      <c r="S58" s="6">
        <v>11.8</v>
      </c>
      <c r="T58" s="5">
        <v>9.2999999999999992E-3</v>
      </c>
      <c r="U58" s="1">
        <v>-3.7000000000000002E-3</v>
      </c>
      <c r="V58" s="1">
        <v>3.8845999999999998</v>
      </c>
    </row>
    <row r="59" spans="1:22" x14ac:dyDescent="0.25">
      <c r="A59" s="1">
        <v>0.98550000000000004</v>
      </c>
      <c r="B59" s="9" t="s">
        <v>857</v>
      </c>
      <c r="C59" s="2">
        <v>2613</v>
      </c>
      <c r="D59" s="3" t="s">
        <v>326</v>
      </c>
      <c r="E59" s="9" t="s">
        <v>848</v>
      </c>
      <c r="F59" s="9" t="s">
        <v>112</v>
      </c>
      <c r="G59" s="1">
        <v>1253.7417</v>
      </c>
      <c r="H59" s="2">
        <v>1077</v>
      </c>
      <c r="I59" s="2">
        <v>2</v>
      </c>
      <c r="J59" s="1">
        <v>1253.7503999999999</v>
      </c>
      <c r="K59" s="1">
        <v>627.87810000000002</v>
      </c>
      <c r="L59" s="9" t="s">
        <v>113</v>
      </c>
      <c r="M59" s="2">
        <v>8.59</v>
      </c>
      <c r="N59" s="4">
        <v>3928.77</v>
      </c>
      <c r="O59" s="1">
        <v>6.9280963932330168</v>
      </c>
      <c r="P59" s="6">
        <v>41.6</v>
      </c>
      <c r="Q59" s="6">
        <v>34.299999999999997</v>
      </c>
      <c r="R59" s="6">
        <v>10.9</v>
      </c>
      <c r="S59" s="6">
        <v>10.7</v>
      </c>
      <c r="T59" s="5">
        <v>0.14000000000000001</v>
      </c>
      <c r="U59" s="1">
        <v>8.6999999999999994E-3</v>
      </c>
      <c r="V59" s="1">
        <v>2.2827000000000002</v>
      </c>
    </row>
    <row r="60" spans="1:22" x14ac:dyDescent="0.25">
      <c r="A60" s="1">
        <v>0.97870000000000001</v>
      </c>
      <c r="B60" s="9" t="s">
        <v>858</v>
      </c>
      <c r="C60" s="2">
        <v>2636</v>
      </c>
      <c r="D60" s="3" t="s">
        <v>61</v>
      </c>
      <c r="E60" s="9" t="s">
        <v>859</v>
      </c>
      <c r="F60" s="9" t="s">
        <v>860</v>
      </c>
      <c r="G60" s="1">
        <v>1902.9037000000001</v>
      </c>
      <c r="H60" s="2">
        <v>1384</v>
      </c>
      <c r="I60" s="2">
        <v>3</v>
      </c>
      <c r="J60" s="1">
        <v>1902.9631999999999</v>
      </c>
      <c r="K60" s="1">
        <v>635.30849999999998</v>
      </c>
      <c r="L60" s="9" t="s">
        <v>673</v>
      </c>
      <c r="M60" s="2">
        <v>4.5</v>
      </c>
      <c r="N60" s="4">
        <v>3990.32</v>
      </c>
      <c r="O60" s="1">
        <v>31.218429051922541</v>
      </c>
      <c r="P60" s="6">
        <v>37.4</v>
      </c>
      <c r="Q60" s="6">
        <v>28.9</v>
      </c>
      <c r="R60" s="6">
        <v>11.6</v>
      </c>
      <c r="S60" s="6">
        <v>9.8000000000000007</v>
      </c>
      <c r="T60" s="5">
        <v>6.8999999999999999E-3</v>
      </c>
      <c r="U60" s="1">
        <v>5.9499999999999997E-2</v>
      </c>
      <c r="V60" s="1">
        <v>3.9432999999999998</v>
      </c>
    </row>
    <row r="61" spans="1:22" x14ac:dyDescent="0.25">
      <c r="A61" s="1">
        <v>1</v>
      </c>
      <c r="B61" s="9" t="s">
        <v>861</v>
      </c>
      <c r="C61" s="2">
        <v>2639</v>
      </c>
      <c r="D61" s="3" t="s">
        <v>862</v>
      </c>
      <c r="E61" s="9" t="s">
        <v>863</v>
      </c>
      <c r="F61" s="9" t="s">
        <v>864</v>
      </c>
      <c r="G61" s="1">
        <v>1779.9186999999999</v>
      </c>
      <c r="H61" s="2">
        <v>1078</v>
      </c>
      <c r="I61" s="2">
        <v>3</v>
      </c>
      <c r="J61" s="1">
        <v>1779.9458</v>
      </c>
      <c r="K61" s="1">
        <v>594.31349999999998</v>
      </c>
      <c r="L61" s="9" t="s">
        <v>865</v>
      </c>
      <c r="M61" s="2">
        <v>8.59</v>
      </c>
      <c r="N61" s="4">
        <v>3994.47</v>
      </c>
      <c r="O61" s="1">
        <v>15.199609857984605</v>
      </c>
      <c r="P61" s="6">
        <v>44.2</v>
      </c>
      <c r="Q61" s="6">
        <v>25.7</v>
      </c>
      <c r="R61" s="6">
        <v>7</v>
      </c>
      <c r="S61" s="6">
        <v>9.1999999999999993</v>
      </c>
      <c r="T61" s="5">
        <v>3.4999999999999997E-5</v>
      </c>
      <c r="U61" s="1">
        <v>2.7099999999999999E-2</v>
      </c>
      <c r="V61" s="1">
        <v>7.9215</v>
      </c>
    </row>
    <row r="62" spans="1:22" x14ac:dyDescent="0.25">
      <c r="A62" s="1">
        <v>0.98760000000000003</v>
      </c>
      <c r="B62" s="9" t="s">
        <v>866</v>
      </c>
      <c r="C62" s="2">
        <v>2657</v>
      </c>
      <c r="D62" s="3" t="s">
        <v>396</v>
      </c>
      <c r="E62" s="9" t="s">
        <v>867</v>
      </c>
      <c r="F62" s="9" t="s">
        <v>508</v>
      </c>
      <c r="G62" s="1">
        <v>1223.5281</v>
      </c>
      <c r="H62" s="2">
        <v>589</v>
      </c>
      <c r="I62" s="2">
        <v>2</v>
      </c>
      <c r="J62" s="1">
        <v>1223.5318</v>
      </c>
      <c r="K62" s="1">
        <v>612.7713</v>
      </c>
      <c r="L62" s="9" t="s">
        <v>509</v>
      </c>
      <c r="M62" s="2">
        <v>5.51</v>
      </c>
      <c r="N62" s="4">
        <v>4038.27</v>
      </c>
      <c r="O62" s="1">
        <v>3.0190708996978159</v>
      </c>
      <c r="P62" s="6">
        <v>43.9</v>
      </c>
      <c r="Q62" s="6">
        <v>32.299999999999997</v>
      </c>
      <c r="R62" s="6">
        <v>10.199999999999999</v>
      </c>
      <c r="S62" s="6">
        <v>11.4</v>
      </c>
      <c r="T62" s="5">
        <v>8.0999999999999996E-3</v>
      </c>
      <c r="U62" s="1">
        <v>3.7000000000000002E-3</v>
      </c>
      <c r="V62" s="1">
        <v>4.3776999999999999</v>
      </c>
    </row>
    <row r="63" spans="1:22" x14ac:dyDescent="0.25">
      <c r="A63" s="1">
        <v>0.98929999999999996</v>
      </c>
      <c r="B63" s="9" t="s">
        <v>868</v>
      </c>
      <c r="C63" s="2">
        <v>2658</v>
      </c>
      <c r="D63" s="3" t="s">
        <v>370</v>
      </c>
      <c r="E63" s="9" t="s">
        <v>869</v>
      </c>
      <c r="F63" s="9" t="s">
        <v>870</v>
      </c>
      <c r="G63" s="1">
        <v>1146.5707</v>
      </c>
      <c r="H63" s="2">
        <v>967</v>
      </c>
      <c r="I63" s="2">
        <v>2</v>
      </c>
      <c r="J63" s="1">
        <v>1146.5889</v>
      </c>
      <c r="K63" s="1">
        <v>574.29259999999999</v>
      </c>
      <c r="L63" s="9" t="s">
        <v>871</v>
      </c>
      <c r="M63" s="2">
        <v>5.94</v>
      </c>
      <c r="N63" s="4">
        <v>4044.52</v>
      </c>
      <c r="O63" s="1">
        <v>15.845581154972225</v>
      </c>
      <c r="P63" s="6">
        <v>42.8</v>
      </c>
      <c r="Q63" s="6">
        <v>35.700000000000003</v>
      </c>
      <c r="R63" s="6">
        <v>11.1</v>
      </c>
      <c r="S63" s="6">
        <v>10.9</v>
      </c>
      <c r="T63" s="5">
        <v>2.2000000000000001E-3</v>
      </c>
      <c r="U63" s="1">
        <v>1.8200000000000001E-2</v>
      </c>
      <c r="V63" s="1">
        <v>4.1523000000000003</v>
      </c>
    </row>
    <row r="64" spans="1:22" x14ac:dyDescent="0.25">
      <c r="A64" s="1">
        <v>0.9849</v>
      </c>
      <c r="B64" s="9" t="s">
        <v>872</v>
      </c>
      <c r="C64" s="2">
        <v>2675</v>
      </c>
      <c r="D64" s="3" t="s">
        <v>396</v>
      </c>
      <c r="E64" s="9" t="s">
        <v>873</v>
      </c>
      <c r="F64" s="9" t="s">
        <v>112</v>
      </c>
      <c r="G64" s="1">
        <v>1125.6831</v>
      </c>
      <c r="H64" s="2">
        <v>1080</v>
      </c>
      <c r="I64" s="2">
        <v>2</v>
      </c>
      <c r="J64" s="1">
        <v>1125.6871000000001</v>
      </c>
      <c r="K64" s="1">
        <v>563.84879999999998</v>
      </c>
      <c r="L64" s="9" t="s">
        <v>113</v>
      </c>
      <c r="M64" s="2">
        <v>8.56</v>
      </c>
      <c r="N64" s="4">
        <v>4082.07</v>
      </c>
      <c r="O64" s="1">
        <v>3.5470502021109205</v>
      </c>
      <c r="P64" s="6">
        <v>41.7</v>
      </c>
      <c r="Q64" s="6">
        <v>36</v>
      </c>
      <c r="R64" s="6">
        <v>10.9</v>
      </c>
      <c r="S64" s="6">
        <v>10.5</v>
      </c>
      <c r="T64" s="5">
        <v>0.12</v>
      </c>
      <c r="U64" s="1">
        <v>4.0000000000000001E-3</v>
      </c>
      <c r="V64" s="1">
        <v>2.2597999999999998</v>
      </c>
    </row>
    <row r="65" spans="1:22" x14ac:dyDescent="0.25">
      <c r="A65" s="1">
        <v>0.97529999999999994</v>
      </c>
      <c r="B65" s="9" t="s">
        <v>874</v>
      </c>
      <c r="C65" s="2">
        <v>2678</v>
      </c>
      <c r="D65" s="3" t="s">
        <v>875</v>
      </c>
      <c r="E65" s="9" t="s">
        <v>876</v>
      </c>
      <c r="F65" s="9" t="s">
        <v>877</v>
      </c>
      <c r="G65" s="1">
        <v>946.42169999999999</v>
      </c>
      <c r="H65" s="2">
        <v>591</v>
      </c>
      <c r="I65" s="2">
        <v>2</v>
      </c>
      <c r="J65" s="1">
        <v>946.44069999999999</v>
      </c>
      <c r="K65" s="1">
        <v>474.21809999999999</v>
      </c>
      <c r="L65" s="9" t="s">
        <v>878</v>
      </c>
      <c r="M65" s="2">
        <v>5.47</v>
      </c>
      <c r="N65" s="4">
        <v>4089.34</v>
      </c>
      <c r="O65" s="1">
        <v>20.032976387868789</v>
      </c>
      <c r="P65" s="6">
        <v>32.1</v>
      </c>
      <c r="Q65" s="6">
        <v>24.1</v>
      </c>
      <c r="R65" s="6">
        <v>8</v>
      </c>
      <c r="S65" s="6">
        <v>10.199999999999999</v>
      </c>
      <c r="T65" s="5">
        <v>0.12</v>
      </c>
      <c r="U65" s="1">
        <v>1.9E-2</v>
      </c>
      <c r="V65" s="1">
        <v>3.1894</v>
      </c>
    </row>
    <row r="66" spans="1:22" x14ac:dyDescent="0.25">
      <c r="A66" s="1">
        <v>0.99429999999999996</v>
      </c>
      <c r="B66" s="9" t="s">
        <v>879</v>
      </c>
      <c r="C66" s="2">
        <v>2697</v>
      </c>
      <c r="D66" s="3" t="s">
        <v>338</v>
      </c>
      <c r="E66" s="9" t="s">
        <v>880</v>
      </c>
      <c r="F66" s="9" t="s">
        <v>282</v>
      </c>
      <c r="G66" s="1">
        <v>1129.5626999999999</v>
      </c>
      <c r="H66" s="2">
        <v>1081</v>
      </c>
      <c r="I66" s="2">
        <v>2</v>
      </c>
      <c r="J66" s="1">
        <v>1129.5771</v>
      </c>
      <c r="K66" s="1">
        <v>565.78859999999997</v>
      </c>
      <c r="L66" s="9" t="s">
        <v>283</v>
      </c>
      <c r="M66" s="2">
        <v>8.23</v>
      </c>
      <c r="N66" s="4">
        <v>4133.12</v>
      </c>
      <c r="O66" s="1">
        <v>12.725601046044407</v>
      </c>
      <c r="P66" s="6">
        <v>52.1</v>
      </c>
      <c r="Q66" s="6">
        <v>40.9</v>
      </c>
      <c r="R66" s="6">
        <v>8.6</v>
      </c>
      <c r="S66" s="6">
        <v>11.5</v>
      </c>
      <c r="T66" s="5">
        <v>3.0000000000000001E-3</v>
      </c>
      <c r="U66" s="1">
        <v>1.44E-2</v>
      </c>
      <c r="V66" s="1">
        <v>4.6447000000000003</v>
      </c>
    </row>
    <row r="67" spans="1:22" x14ac:dyDescent="0.25">
      <c r="A67" s="1">
        <v>0.96460000000000001</v>
      </c>
      <c r="B67" s="9" t="s">
        <v>881</v>
      </c>
      <c r="C67" s="2">
        <v>2705</v>
      </c>
      <c r="D67" s="3" t="s">
        <v>141</v>
      </c>
      <c r="E67" s="9" t="s">
        <v>241</v>
      </c>
      <c r="F67" s="9" t="s">
        <v>242</v>
      </c>
      <c r="G67" s="1">
        <v>1362.6999000000001</v>
      </c>
      <c r="H67" s="2">
        <v>1082</v>
      </c>
      <c r="I67" s="2">
        <v>2</v>
      </c>
      <c r="J67" s="1">
        <v>1362.7017000000001</v>
      </c>
      <c r="K67" s="1">
        <v>682.35720000000003</v>
      </c>
      <c r="L67" s="9" t="s">
        <v>243</v>
      </c>
      <c r="M67" s="2">
        <v>8.2200000000000006</v>
      </c>
      <c r="N67" s="4">
        <v>4155.0200000000004</v>
      </c>
      <c r="O67" s="1">
        <v>1.3189572851286684</v>
      </c>
      <c r="P67" s="6">
        <v>43</v>
      </c>
      <c r="Q67" s="6">
        <v>32.6</v>
      </c>
      <c r="R67" s="6">
        <v>8.6999999999999993</v>
      </c>
      <c r="S67" s="6">
        <v>7.4</v>
      </c>
      <c r="T67" s="5">
        <v>3.1E-2</v>
      </c>
      <c r="U67" s="1">
        <v>1.8E-3</v>
      </c>
      <c r="V67" s="1">
        <v>3.2425999999999999</v>
      </c>
    </row>
    <row r="68" spans="1:22" x14ac:dyDescent="0.25">
      <c r="A68" s="1">
        <v>0.98929999999999996</v>
      </c>
      <c r="B68" s="9" t="s">
        <v>882</v>
      </c>
      <c r="C68" s="2">
        <v>2723</v>
      </c>
      <c r="D68" s="3" t="s">
        <v>326</v>
      </c>
      <c r="E68" s="9" t="s">
        <v>883</v>
      </c>
      <c r="F68" s="9" t="s">
        <v>884</v>
      </c>
      <c r="G68" s="1">
        <v>1349.7628</v>
      </c>
      <c r="H68" s="2">
        <v>594</v>
      </c>
      <c r="I68" s="2">
        <v>2</v>
      </c>
      <c r="J68" s="1">
        <v>1349.7598</v>
      </c>
      <c r="K68" s="1">
        <v>675.88869999999997</v>
      </c>
      <c r="L68" s="9" t="s">
        <v>885</v>
      </c>
      <c r="M68" s="2">
        <v>8.5</v>
      </c>
      <c r="N68" s="4">
        <v>4198.82</v>
      </c>
      <c r="O68" s="1">
        <v>-2.219300307876134</v>
      </c>
      <c r="P68" s="6">
        <v>41.4</v>
      </c>
      <c r="Q68" s="6">
        <v>28.6</v>
      </c>
      <c r="R68" s="6">
        <v>11.2</v>
      </c>
      <c r="S68" s="6">
        <v>8.6999999999999993</v>
      </c>
      <c r="T68" s="5">
        <v>2.8000000000000001E-2</v>
      </c>
      <c r="U68" s="1">
        <v>-3.0000000000000001E-3</v>
      </c>
      <c r="V68" s="1">
        <v>3.7734000000000001</v>
      </c>
    </row>
    <row r="69" spans="1:22" x14ac:dyDescent="0.25">
      <c r="A69" s="1">
        <v>1</v>
      </c>
      <c r="B69" s="9" t="s">
        <v>886</v>
      </c>
      <c r="C69" s="2">
        <v>2729</v>
      </c>
      <c r="D69" s="3" t="s">
        <v>831</v>
      </c>
      <c r="E69" s="9" t="s">
        <v>887</v>
      </c>
      <c r="F69" s="9" t="s">
        <v>97</v>
      </c>
      <c r="G69" s="1">
        <v>1880.0436999999999</v>
      </c>
      <c r="H69" s="2">
        <v>1083</v>
      </c>
      <c r="I69" s="2">
        <v>3</v>
      </c>
      <c r="J69" s="1">
        <v>1880.0916999999999</v>
      </c>
      <c r="K69" s="1">
        <v>627.68849999999998</v>
      </c>
      <c r="L69" s="9" t="s">
        <v>98</v>
      </c>
      <c r="M69" s="2">
        <v>6.73</v>
      </c>
      <c r="N69" s="4">
        <v>4213.42</v>
      </c>
      <c r="O69" s="1">
        <v>25.490350707397059</v>
      </c>
      <c r="P69" s="6">
        <v>44.6</v>
      </c>
      <c r="Q69" s="6">
        <v>24.6</v>
      </c>
      <c r="R69" s="6">
        <v>12</v>
      </c>
      <c r="S69" s="6">
        <v>11.3</v>
      </c>
      <c r="T69" s="5">
        <v>1.1E-5</v>
      </c>
      <c r="U69" s="1">
        <v>4.8000000000000001E-2</v>
      </c>
      <c r="V69" s="1">
        <v>8.1509999999999998</v>
      </c>
    </row>
    <row r="70" spans="1:22" x14ac:dyDescent="0.25">
      <c r="A70" s="1">
        <v>0.9577</v>
      </c>
      <c r="B70" s="9" t="s">
        <v>888</v>
      </c>
      <c r="C70" s="2">
        <v>2735</v>
      </c>
      <c r="D70" s="3" t="s">
        <v>349</v>
      </c>
      <c r="E70" s="9" t="s">
        <v>889</v>
      </c>
      <c r="F70" s="9" t="s">
        <v>623</v>
      </c>
      <c r="G70" s="1">
        <v>1860.0546999999999</v>
      </c>
      <c r="H70" s="2">
        <v>596</v>
      </c>
      <c r="I70" s="2">
        <v>3</v>
      </c>
      <c r="J70" s="1">
        <v>1860.096</v>
      </c>
      <c r="K70" s="1">
        <v>621.02549999999997</v>
      </c>
      <c r="L70" s="9" t="s">
        <v>412</v>
      </c>
      <c r="M70" s="2">
        <v>9.6999999999999993</v>
      </c>
      <c r="N70" s="4">
        <v>4228.0200000000004</v>
      </c>
      <c r="O70" s="1">
        <v>22.167635091742078</v>
      </c>
      <c r="P70" s="6">
        <v>30.7</v>
      </c>
      <c r="Q70" s="6">
        <v>25</v>
      </c>
      <c r="R70" s="6">
        <v>8.1999999999999993</v>
      </c>
      <c r="S70" s="6">
        <v>10.5</v>
      </c>
      <c r="T70" s="5">
        <v>0.1</v>
      </c>
      <c r="U70" s="1">
        <v>4.1300000000000003E-2</v>
      </c>
      <c r="V70" s="1">
        <v>2.3477999999999999</v>
      </c>
    </row>
    <row r="71" spans="1:22" x14ac:dyDescent="0.25">
      <c r="A71" s="1">
        <v>0.94820000000000004</v>
      </c>
      <c r="B71" s="9" t="s">
        <v>890</v>
      </c>
      <c r="C71" s="2">
        <v>2744</v>
      </c>
      <c r="D71" s="3" t="s">
        <v>891</v>
      </c>
      <c r="E71" s="9" t="s">
        <v>892</v>
      </c>
      <c r="F71" s="9" t="s">
        <v>893</v>
      </c>
      <c r="G71" s="1">
        <v>1131.5427</v>
      </c>
      <c r="H71" s="2">
        <v>449</v>
      </c>
      <c r="I71" s="2">
        <v>2</v>
      </c>
      <c r="J71" s="1">
        <v>1131.6249</v>
      </c>
      <c r="K71" s="1">
        <v>566.77859999999998</v>
      </c>
      <c r="L71" s="9" t="s">
        <v>894</v>
      </c>
      <c r="M71" s="2">
        <v>6.22</v>
      </c>
      <c r="N71" s="4">
        <v>4249.92</v>
      </c>
      <c r="O71" s="1">
        <v>72.515087902048521</v>
      </c>
      <c r="P71" s="6">
        <v>34.1</v>
      </c>
      <c r="Q71" s="6">
        <v>31.1</v>
      </c>
      <c r="R71" s="6">
        <v>11.5</v>
      </c>
      <c r="S71" s="6">
        <v>11.2</v>
      </c>
      <c r="T71" s="5">
        <v>0.12</v>
      </c>
      <c r="U71" s="1">
        <v>8.2199999999999995E-2</v>
      </c>
      <c r="V71" s="1">
        <v>2.0971000000000002</v>
      </c>
    </row>
    <row r="72" spans="1:22" x14ac:dyDescent="0.25">
      <c r="A72" s="1">
        <v>0.96109999999999995</v>
      </c>
      <c r="B72" s="9" t="s">
        <v>895</v>
      </c>
      <c r="C72" s="2">
        <v>2768</v>
      </c>
      <c r="D72" s="3" t="s">
        <v>302</v>
      </c>
      <c r="E72" s="9" t="s">
        <v>896</v>
      </c>
      <c r="F72" s="9" t="s">
        <v>897</v>
      </c>
      <c r="G72" s="1">
        <v>1268.6067</v>
      </c>
      <c r="H72" s="2">
        <v>894</v>
      </c>
      <c r="I72" s="2">
        <v>2</v>
      </c>
      <c r="J72" s="1">
        <v>1268.6187</v>
      </c>
      <c r="K72" s="1">
        <v>635.31060000000002</v>
      </c>
      <c r="L72" s="9" t="s">
        <v>898</v>
      </c>
      <c r="M72" s="2">
        <v>4.8099999999999996</v>
      </c>
      <c r="N72" s="4">
        <v>4311.47</v>
      </c>
      <c r="O72" s="1">
        <v>9.4441994199372719</v>
      </c>
      <c r="P72" s="6">
        <v>32.299999999999997</v>
      </c>
      <c r="Q72" s="6">
        <v>27.3</v>
      </c>
      <c r="R72" s="6">
        <v>9.1999999999999993</v>
      </c>
      <c r="S72" s="6">
        <v>9.8000000000000007</v>
      </c>
      <c r="T72" s="5">
        <v>1.2999999999999999E-2</v>
      </c>
      <c r="U72" s="1">
        <v>1.2E-2</v>
      </c>
      <c r="V72" s="1">
        <v>3.2418</v>
      </c>
    </row>
    <row r="73" spans="1:22" x14ac:dyDescent="0.25">
      <c r="A73" s="1">
        <v>0.99990000000000001</v>
      </c>
      <c r="B73" s="9" t="s">
        <v>899</v>
      </c>
      <c r="C73" s="2">
        <v>2771</v>
      </c>
      <c r="D73" s="3" t="s">
        <v>900</v>
      </c>
      <c r="E73" s="9" t="s">
        <v>901</v>
      </c>
      <c r="F73" s="9" t="s">
        <v>902</v>
      </c>
      <c r="G73" s="1">
        <v>1365.7766999999999</v>
      </c>
      <c r="H73" s="2">
        <v>942</v>
      </c>
      <c r="I73" s="2">
        <v>3</v>
      </c>
      <c r="J73" s="1">
        <v>1365.8204000000001</v>
      </c>
      <c r="K73" s="1">
        <v>456.26620000000003</v>
      </c>
      <c r="L73" s="9" t="s">
        <v>412</v>
      </c>
      <c r="M73" s="2">
        <v>6.75</v>
      </c>
      <c r="N73" s="4">
        <v>4318.7700000000004</v>
      </c>
      <c r="O73" s="1">
        <v>31.925807054449063</v>
      </c>
      <c r="P73" s="6">
        <v>48.5</v>
      </c>
      <c r="Q73" s="6">
        <v>30.4</v>
      </c>
      <c r="R73" s="6">
        <v>11.3</v>
      </c>
      <c r="S73" s="6">
        <v>12.4</v>
      </c>
      <c r="T73" s="5">
        <v>1.4E-3</v>
      </c>
      <c r="U73" s="1">
        <v>4.3700000000000003E-2</v>
      </c>
      <c r="V73" s="1">
        <v>6.1486000000000001</v>
      </c>
    </row>
    <row r="74" spans="1:22" x14ac:dyDescent="0.25">
      <c r="A74" s="1">
        <v>1</v>
      </c>
      <c r="B74" s="9" t="s">
        <v>903</v>
      </c>
      <c r="C74" s="2">
        <v>2792</v>
      </c>
      <c r="D74" s="3" t="s">
        <v>904</v>
      </c>
      <c r="E74" s="9" t="s">
        <v>289</v>
      </c>
      <c r="F74" s="9" t="s">
        <v>290</v>
      </c>
      <c r="G74" s="1">
        <v>1831.9757</v>
      </c>
      <c r="H74" s="2">
        <v>603</v>
      </c>
      <c r="I74" s="2">
        <v>3</v>
      </c>
      <c r="J74" s="1">
        <v>1832.0147999999999</v>
      </c>
      <c r="K74" s="1">
        <v>611.66579999999999</v>
      </c>
      <c r="L74" s="9" t="s">
        <v>291</v>
      </c>
      <c r="M74" s="2">
        <v>6.17</v>
      </c>
      <c r="N74" s="4">
        <v>4366.72</v>
      </c>
      <c r="O74" s="1">
        <v>21.307932098432403</v>
      </c>
      <c r="P74" s="6">
        <v>47.5</v>
      </c>
      <c r="Q74" s="6">
        <v>25.5</v>
      </c>
      <c r="R74" s="6">
        <v>11.9</v>
      </c>
      <c r="S74" s="6">
        <v>11.6</v>
      </c>
      <c r="T74" s="5">
        <v>6.9999999999999999E-6</v>
      </c>
      <c r="U74" s="1">
        <v>3.9100000000000003E-2</v>
      </c>
      <c r="V74" s="1">
        <v>9.0203000000000007</v>
      </c>
    </row>
    <row r="75" spans="1:22" x14ac:dyDescent="0.25">
      <c r="A75" s="1">
        <v>0.95709999999999995</v>
      </c>
      <c r="B75" s="9" t="s">
        <v>905</v>
      </c>
      <c r="C75" s="2">
        <v>2802</v>
      </c>
      <c r="D75" s="3" t="s">
        <v>95</v>
      </c>
      <c r="E75" s="9" t="s">
        <v>906</v>
      </c>
      <c r="F75" s="9" t="s">
        <v>907</v>
      </c>
      <c r="G75" s="1">
        <v>1340.6277</v>
      </c>
      <c r="H75" s="2">
        <v>605</v>
      </c>
      <c r="I75" s="2">
        <v>2</v>
      </c>
      <c r="J75" s="1">
        <v>1340.65</v>
      </c>
      <c r="K75" s="1">
        <v>671.3211</v>
      </c>
      <c r="L75" s="9" t="s">
        <v>908</v>
      </c>
      <c r="M75" s="2">
        <v>4.75</v>
      </c>
      <c r="N75" s="4">
        <v>4388.62</v>
      </c>
      <c r="O75" s="1">
        <v>16.60904148551267</v>
      </c>
      <c r="P75" s="6">
        <v>28.3</v>
      </c>
      <c r="Q75" s="6">
        <v>19.5</v>
      </c>
      <c r="R75" s="6">
        <v>9</v>
      </c>
      <c r="S75" s="6">
        <v>9.4</v>
      </c>
      <c r="T75" s="5">
        <v>4.2000000000000003E-2</v>
      </c>
      <c r="U75" s="1">
        <v>2.23E-2</v>
      </c>
      <c r="V75" s="1">
        <v>3.4293999999999998</v>
      </c>
    </row>
    <row r="76" spans="1:22" x14ac:dyDescent="0.25">
      <c r="A76" s="1">
        <v>0.97360000000000002</v>
      </c>
      <c r="B76" s="9" t="s">
        <v>909</v>
      </c>
      <c r="C76" s="2">
        <v>2805</v>
      </c>
      <c r="D76" s="3" t="s">
        <v>326</v>
      </c>
      <c r="E76" s="9" t="s">
        <v>910</v>
      </c>
      <c r="F76" s="9" t="s">
        <v>911</v>
      </c>
      <c r="G76" s="1">
        <v>1170.5967000000001</v>
      </c>
      <c r="H76" s="2">
        <v>1338</v>
      </c>
      <c r="I76" s="2">
        <v>2</v>
      </c>
      <c r="J76" s="1">
        <v>1170.6078</v>
      </c>
      <c r="K76" s="1">
        <v>586.30560000000003</v>
      </c>
      <c r="L76" s="9" t="s">
        <v>912</v>
      </c>
      <c r="M76" s="2">
        <v>9.76</v>
      </c>
      <c r="N76" s="4">
        <v>4402.17</v>
      </c>
      <c r="O76" s="1">
        <v>9.4660531981956169</v>
      </c>
      <c r="P76" s="6">
        <v>40.200000000000003</v>
      </c>
      <c r="Q76" s="6">
        <v>32.299999999999997</v>
      </c>
      <c r="R76" s="6">
        <v>8.8000000000000007</v>
      </c>
      <c r="S76" s="6">
        <v>9.5</v>
      </c>
      <c r="T76" s="5">
        <v>1.4999999999999999E-2</v>
      </c>
      <c r="U76" s="1">
        <v>1.11E-2</v>
      </c>
      <c r="V76" s="1">
        <v>3.5192000000000001</v>
      </c>
    </row>
    <row r="77" spans="1:22" x14ac:dyDescent="0.25">
      <c r="A77" s="1">
        <v>0.99829999999999997</v>
      </c>
      <c r="B77" s="9" t="s">
        <v>913</v>
      </c>
      <c r="C77" s="2">
        <v>2807</v>
      </c>
      <c r="D77" s="3" t="s">
        <v>333</v>
      </c>
      <c r="E77" s="9" t="s">
        <v>289</v>
      </c>
      <c r="F77" s="9" t="s">
        <v>290</v>
      </c>
      <c r="G77" s="1">
        <v>1831.9757</v>
      </c>
      <c r="H77" s="2">
        <v>607</v>
      </c>
      <c r="I77" s="2">
        <v>3</v>
      </c>
      <c r="J77" s="1">
        <v>1832.0308</v>
      </c>
      <c r="K77" s="1">
        <v>611.66579999999999</v>
      </c>
      <c r="L77" s="9" t="s">
        <v>291</v>
      </c>
      <c r="M77" s="2">
        <v>6.17</v>
      </c>
      <c r="N77" s="4">
        <v>4403.22</v>
      </c>
      <c r="O77" s="1">
        <v>30.027290501882998</v>
      </c>
      <c r="P77" s="6">
        <v>40</v>
      </c>
      <c r="Q77" s="6">
        <v>24.9</v>
      </c>
      <c r="R77" s="6">
        <v>11.6</v>
      </c>
      <c r="S77" s="6">
        <v>11.2</v>
      </c>
      <c r="T77" s="5">
        <v>1.5E-3</v>
      </c>
      <c r="U77" s="1">
        <v>5.5100000000000003E-2</v>
      </c>
      <c r="V77" s="1">
        <v>5.6933999999999996</v>
      </c>
    </row>
    <row r="78" spans="1:22" x14ac:dyDescent="0.25">
      <c r="A78" s="1">
        <v>0.99399999999999999</v>
      </c>
      <c r="B78" s="9" t="s">
        <v>914</v>
      </c>
      <c r="C78" s="2">
        <v>2811</v>
      </c>
      <c r="D78" s="3" t="s">
        <v>891</v>
      </c>
      <c r="E78" s="9" t="s">
        <v>307</v>
      </c>
      <c r="F78" s="9" t="s">
        <v>308</v>
      </c>
      <c r="G78" s="1">
        <v>1068.4917</v>
      </c>
      <c r="H78" s="2">
        <v>106</v>
      </c>
      <c r="I78" s="2">
        <v>2</v>
      </c>
      <c r="J78" s="1">
        <v>1068.5108</v>
      </c>
      <c r="K78" s="1">
        <v>535.25310000000002</v>
      </c>
      <c r="L78" s="9" t="s">
        <v>309</v>
      </c>
      <c r="M78" s="2">
        <v>4.71</v>
      </c>
      <c r="N78" s="4">
        <v>4410.5200000000004</v>
      </c>
      <c r="O78" s="1">
        <v>17.842026510448981</v>
      </c>
      <c r="P78" s="6">
        <v>29</v>
      </c>
      <c r="Q78" s="6">
        <v>20.6</v>
      </c>
      <c r="R78" s="6">
        <v>7.4</v>
      </c>
      <c r="S78" s="6">
        <v>7.5</v>
      </c>
      <c r="T78" s="5">
        <v>5.8000000000000003E-2</v>
      </c>
      <c r="U78" s="1">
        <v>1.9099999999999999E-2</v>
      </c>
      <c r="V78" s="1">
        <v>3.6492</v>
      </c>
    </row>
    <row r="79" spans="1:22" x14ac:dyDescent="0.25">
      <c r="A79" s="1">
        <v>0.99399999999999999</v>
      </c>
      <c r="B79" s="9" t="s">
        <v>915</v>
      </c>
      <c r="C79" s="2">
        <v>2831</v>
      </c>
      <c r="D79" s="3" t="s">
        <v>41</v>
      </c>
      <c r="E79" s="9" t="s">
        <v>916</v>
      </c>
      <c r="F79" s="9" t="s">
        <v>165</v>
      </c>
      <c r="G79" s="1">
        <v>1833.0687</v>
      </c>
      <c r="H79" s="2">
        <v>610</v>
      </c>
      <c r="I79" s="2">
        <v>3</v>
      </c>
      <c r="J79" s="1">
        <v>1833.1174000000001</v>
      </c>
      <c r="K79" s="1">
        <v>612.03020000000004</v>
      </c>
      <c r="L79" s="9" t="s">
        <v>166</v>
      </c>
      <c r="M79" s="2">
        <v>6.17</v>
      </c>
      <c r="N79" s="4">
        <v>4461.62</v>
      </c>
      <c r="O79" s="1">
        <v>26.523745614731645</v>
      </c>
      <c r="P79" s="6">
        <v>35.6</v>
      </c>
      <c r="Q79" s="6">
        <v>27.4</v>
      </c>
      <c r="R79" s="6">
        <v>13.9</v>
      </c>
      <c r="S79" s="6">
        <v>12.7</v>
      </c>
      <c r="T79" s="5">
        <v>1.2999999999999999E-3</v>
      </c>
      <c r="U79" s="1">
        <v>4.87E-2</v>
      </c>
      <c r="V79" s="1">
        <v>4.8211000000000004</v>
      </c>
    </row>
    <row r="80" spans="1:22" x14ac:dyDescent="0.25">
      <c r="A80" s="1">
        <v>0.96799999999999997</v>
      </c>
      <c r="B80" s="9" t="s">
        <v>917</v>
      </c>
      <c r="C80" s="2">
        <v>2832</v>
      </c>
      <c r="D80" s="3" t="s">
        <v>33</v>
      </c>
      <c r="E80" s="9" t="s">
        <v>299</v>
      </c>
      <c r="F80" s="9" t="s">
        <v>300</v>
      </c>
      <c r="G80" s="1">
        <v>1122.5847000000001</v>
      </c>
      <c r="H80" s="2">
        <v>611</v>
      </c>
      <c r="I80" s="2">
        <v>2</v>
      </c>
      <c r="J80" s="1">
        <v>1122.6025</v>
      </c>
      <c r="K80" s="1">
        <v>562.29960000000005</v>
      </c>
      <c r="L80" s="9" t="s">
        <v>91</v>
      </c>
      <c r="M80" s="2">
        <v>8.35</v>
      </c>
      <c r="N80" s="4">
        <v>4461.62</v>
      </c>
      <c r="O80" s="1">
        <v>15.827861161558712</v>
      </c>
      <c r="P80" s="6">
        <v>44.2</v>
      </c>
      <c r="Q80" s="6">
        <v>36.4</v>
      </c>
      <c r="R80" s="6">
        <v>11</v>
      </c>
      <c r="S80" s="6">
        <v>11.5</v>
      </c>
      <c r="T80" s="5">
        <v>5.7000000000000002E-2</v>
      </c>
      <c r="U80" s="1">
        <v>1.78E-2</v>
      </c>
      <c r="V80" s="1">
        <v>3.0188000000000001</v>
      </c>
    </row>
    <row r="81" spans="1:22" x14ac:dyDescent="0.25">
      <c r="A81" s="1">
        <v>0.98509999999999998</v>
      </c>
      <c r="B81" s="9" t="s">
        <v>918</v>
      </c>
      <c r="C81" s="2">
        <v>2838</v>
      </c>
      <c r="D81" s="3" t="s">
        <v>311</v>
      </c>
      <c r="E81" s="9" t="s">
        <v>919</v>
      </c>
      <c r="F81" s="9" t="s">
        <v>920</v>
      </c>
      <c r="G81" s="1">
        <v>1387.6839</v>
      </c>
      <c r="H81" s="2">
        <v>107</v>
      </c>
      <c r="I81" s="2">
        <v>2</v>
      </c>
      <c r="J81" s="1">
        <v>1387.6875</v>
      </c>
      <c r="K81" s="1">
        <v>694.8492</v>
      </c>
      <c r="L81" s="9" t="s">
        <v>921</v>
      </c>
      <c r="M81" s="2">
        <v>6.26</v>
      </c>
      <c r="N81" s="4">
        <v>4476.22</v>
      </c>
      <c r="O81" s="1">
        <v>2.5904901380040446</v>
      </c>
      <c r="P81" s="6">
        <v>38.200000000000003</v>
      </c>
      <c r="Q81" s="6">
        <v>25.1</v>
      </c>
      <c r="R81" s="6">
        <v>8.1999999999999993</v>
      </c>
      <c r="S81" s="6">
        <v>12.7</v>
      </c>
      <c r="T81" s="5">
        <v>3.5999999999999997E-2</v>
      </c>
      <c r="U81" s="1">
        <v>3.5999999999999999E-3</v>
      </c>
      <c r="V81" s="1">
        <v>3.5192999999999999</v>
      </c>
    </row>
    <row r="82" spans="1:22" x14ac:dyDescent="0.25">
      <c r="A82" s="1">
        <v>0.99409999999999998</v>
      </c>
      <c r="B82" s="9" t="s">
        <v>922</v>
      </c>
      <c r="C82" s="2">
        <v>2852</v>
      </c>
      <c r="D82" s="3" t="s">
        <v>396</v>
      </c>
      <c r="E82" s="9" t="s">
        <v>923</v>
      </c>
      <c r="F82" s="9" t="s">
        <v>748</v>
      </c>
      <c r="G82" s="1">
        <v>1188.5961</v>
      </c>
      <c r="H82" s="2">
        <v>613</v>
      </c>
      <c r="I82" s="2">
        <v>2</v>
      </c>
      <c r="J82" s="1">
        <v>1188.5953999999999</v>
      </c>
      <c r="K82" s="1">
        <v>595.30529999999999</v>
      </c>
      <c r="L82" s="9" t="s">
        <v>749</v>
      </c>
      <c r="M82" s="2">
        <v>6.81</v>
      </c>
      <c r="N82" s="4">
        <v>4512.72</v>
      </c>
      <c r="O82" s="1">
        <v>-0.58793361994257398</v>
      </c>
      <c r="P82" s="6">
        <v>40.6</v>
      </c>
      <c r="Q82" s="6">
        <v>30.1</v>
      </c>
      <c r="R82" s="6">
        <v>8.4</v>
      </c>
      <c r="S82" s="6">
        <v>10.199999999999999</v>
      </c>
      <c r="T82" s="5">
        <v>2.1000000000000001E-2</v>
      </c>
      <c r="U82" s="1">
        <v>-6.9999999999999999E-4</v>
      </c>
      <c r="V82" s="1">
        <v>3.8397000000000001</v>
      </c>
    </row>
    <row r="83" spans="1:22" x14ac:dyDescent="0.25">
      <c r="A83" s="1">
        <v>0.99509999999999998</v>
      </c>
      <c r="B83" s="9" t="s">
        <v>924</v>
      </c>
      <c r="C83" s="2">
        <v>2873</v>
      </c>
      <c r="D83" s="3" t="s">
        <v>95</v>
      </c>
      <c r="E83" s="9" t="s">
        <v>925</v>
      </c>
      <c r="F83" s="9" t="s">
        <v>926</v>
      </c>
      <c r="G83" s="1">
        <v>1348.6477</v>
      </c>
      <c r="H83" s="2">
        <v>962</v>
      </c>
      <c r="I83" s="2">
        <v>2</v>
      </c>
      <c r="J83" s="1">
        <v>1348.6703</v>
      </c>
      <c r="K83" s="1">
        <v>675.33109999999999</v>
      </c>
      <c r="L83" s="9" t="s">
        <v>927</v>
      </c>
      <c r="M83" s="2">
        <v>6.22</v>
      </c>
      <c r="N83" s="4">
        <v>4566.97</v>
      </c>
      <c r="O83" s="1">
        <v>16.732533123381998</v>
      </c>
      <c r="P83" s="6">
        <v>28.3</v>
      </c>
      <c r="Q83" s="6">
        <v>21.1</v>
      </c>
      <c r="R83" s="6">
        <v>8.9</v>
      </c>
      <c r="S83" s="6">
        <v>9.4</v>
      </c>
      <c r="T83" s="5">
        <v>1.4E-3</v>
      </c>
      <c r="U83" s="1">
        <v>2.2599999999999999E-2</v>
      </c>
      <c r="V83" s="1">
        <v>4.7975000000000003</v>
      </c>
    </row>
    <row r="84" spans="1:22" x14ac:dyDescent="0.25">
      <c r="A84" s="1">
        <v>0.99360000000000004</v>
      </c>
      <c r="B84" s="9" t="s">
        <v>928</v>
      </c>
      <c r="C84" s="2">
        <v>2885</v>
      </c>
      <c r="D84" s="3" t="s">
        <v>78</v>
      </c>
      <c r="E84" s="9" t="s">
        <v>929</v>
      </c>
      <c r="F84" s="9" t="s">
        <v>930</v>
      </c>
      <c r="G84" s="1">
        <v>1301.7628</v>
      </c>
      <c r="H84" s="2">
        <v>614</v>
      </c>
      <c r="I84" s="2">
        <v>2</v>
      </c>
      <c r="J84" s="1">
        <v>1301.7675999999999</v>
      </c>
      <c r="K84" s="1">
        <v>651.88869999999997</v>
      </c>
      <c r="L84" s="9" t="s">
        <v>931</v>
      </c>
      <c r="M84" s="2">
        <v>8.59</v>
      </c>
      <c r="N84" s="4">
        <v>4593.0200000000004</v>
      </c>
      <c r="O84" s="1">
        <v>3.6816100662582429</v>
      </c>
      <c r="P84" s="6">
        <v>39.5</v>
      </c>
      <c r="Q84" s="6">
        <v>27.6</v>
      </c>
      <c r="R84" s="6">
        <v>11</v>
      </c>
      <c r="S84" s="6">
        <v>10</v>
      </c>
      <c r="T84" s="5">
        <v>1.2E-2</v>
      </c>
      <c r="U84" s="1">
        <v>4.7999999999999996E-3</v>
      </c>
      <c r="V84" s="1">
        <v>4.1620999999999997</v>
      </c>
    </row>
    <row r="85" spans="1:22" x14ac:dyDescent="0.25">
      <c r="A85" s="1">
        <v>0.99119999999999997</v>
      </c>
      <c r="B85" s="9" t="s">
        <v>932</v>
      </c>
      <c r="C85" s="2">
        <v>2891</v>
      </c>
      <c r="D85" s="3" t="s">
        <v>752</v>
      </c>
      <c r="E85" s="9" t="s">
        <v>933</v>
      </c>
      <c r="F85" s="9" t="s">
        <v>934</v>
      </c>
      <c r="G85" s="1">
        <v>1195.6635000000001</v>
      </c>
      <c r="H85" s="2">
        <v>111</v>
      </c>
      <c r="I85" s="2">
        <v>2</v>
      </c>
      <c r="J85" s="1">
        <v>1195.6695</v>
      </c>
      <c r="K85" s="1">
        <v>598.83900000000006</v>
      </c>
      <c r="L85" s="9" t="s">
        <v>935</v>
      </c>
      <c r="M85" s="2">
        <v>6.76</v>
      </c>
      <c r="N85" s="4">
        <v>4607.62</v>
      </c>
      <c r="O85" s="1">
        <v>5.0096937574206084</v>
      </c>
      <c r="P85" s="6">
        <v>46.1</v>
      </c>
      <c r="Q85" s="6">
        <v>29.5</v>
      </c>
      <c r="R85" s="6">
        <v>10.8</v>
      </c>
      <c r="S85" s="6">
        <v>11.5</v>
      </c>
      <c r="T85" s="5">
        <v>5.0999999999999997E-2</v>
      </c>
      <c r="U85" s="1">
        <v>6.0000000000000001E-3</v>
      </c>
      <c r="V85" s="1">
        <v>3.9076</v>
      </c>
    </row>
    <row r="86" spans="1:22" x14ac:dyDescent="0.25">
      <c r="A86" s="1">
        <v>0.95730000000000004</v>
      </c>
      <c r="B86" s="9" t="s">
        <v>936</v>
      </c>
      <c r="C86" s="2">
        <v>2892</v>
      </c>
      <c r="D86" s="3" t="s">
        <v>15</v>
      </c>
      <c r="E86" s="9" t="s">
        <v>937</v>
      </c>
      <c r="F86" s="9" t="s">
        <v>938</v>
      </c>
      <c r="G86" s="1">
        <v>1647.9376999999999</v>
      </c>
      <c r="H86" s="2">
        <v>1088</v>
      </c>
      <c r="I86" s="2">
        <v>3</v>
      </c>
      <c r="J86" s="1">
        <v>1647.9876999999999</v>
      </c>
      <c r="K86" s="1">
        <v>550.31979999999999</v>
      </c>
      <c r="L86" s="9" t="s">
        <v>939</v>
      </c>
      <c r="M86" s="2">
        <v>6.74</v>
      </c>
      <c r="N86" s="4">
        <v>4607.62</v>
      </c>
      <c r="O86" s="1">
        <v>30.285420707498925</v>
      </c>
      <c r="P86" s="6">
        <v>33.700000000000003</v>
      </c>
      <c r="Q86" s="6">
        <v>24.6</v>
      </c>
      <c r="R86" s="6">
        <v>11.7</v>
      </c>
      <c r="S86" s="6">
        <v>9.6</v>
      </c>
      <c r="T86" s="5">
        <v>0.11</v>
      </c>
      <c r="U86" s="1">
        <v>0.05</v>
      </c>
      <c r="V86" s="1">
        <v>2.9222000000000001</v>
      </c>
    </row>
    <row r="87" spans="1:22" x14ac:dyDescent="0.25">
      <c r="A87" s="1">
        <v>0.99760000000000004</v>
      </c>
      <c r="B87" s="9" t="s">
        <v>940</v>
      </c>
      <c r="C87" s="2">
        <v>2907</v>
      </c>
      <c r="D87" s="3" t="s">
        <v>168</v>
      </c>
      <c r="E87" s="9" t="s">
        <v>941</v>
      </c>
      <c r="F87" s="9" t="s">
        <v>398</v>
      </c>
      <c r="G87" s="1">
        <v>2085.1136999999999</v>
      </c>
      <c r="H87" s="2">
        <v>112</v>
      </c>
      <c r="I87" s="2">
        <v>3</v>
      </c>
      <c r="J87" s="1">
        <v>2085.1831000000002</v>
      </c>
      <c r="K87" s="1">
        <v>696.04520000000002</v>
      </c>
      <c r="L87" s="9" t="s">
        <v>399</v>
      </c>
      <c r="M87" s="2">
        <v>6.25</v>
      </c>
      <c r="N87" s="4">
        <v>4644.12</v>
      </c>
      <c r="O87" s="1">
        <v>33.235389502482505</v>
      </c>
      <c r="P87" s="6">
        <v>38.799999999999997</v>
      </c>
      <c r="Q87" s="6">
        <v>26.6</v>
      </c>
      <c r="R87" s="6">
        <v>10.9</v>
      </c>
      <c r="S87" s="6">
        <v>11.7</v>
      </c>
      <c r="T87" s="5">
        <v>2.1000000000000001E-4</v>
      </c>
      <c r="U87" s="1">
        <v>6.9400000000000003E-2</v>
      </c>
      <c r="V87" s="1">
        <v>5.6742999999999997</v>
      </c>
    </row>
    <row r="88" spans="1:22" x14ac:dyDescent="0.25">
      <c r="A88" s="1">
        <v>0.9889</v>
      </c>
      <c r="B88" s="9" t="s">
        <v>942</v>
      </c>
      <c r="C88" s="2">
        <v>2909</v>
      </c>
      <c r="D88" s="3" t="s">
        <v>326</v>
      </c>
      <c r="E88" s="9" t="s">
        <v>943</v>
      </c>
      <c r="F88" s="9" t="s">
        <v>944</v>
      </c>
      <c r="G88" s="1">
        <v>1223.6695999999999</v>
      </c>
      <c r="H88" s="2">
        <v>617</v>
      </c>
      <c r="I88" s="2">
        <v>2</v>
      </c>
      <c r="J88" s="1">
        <v>1223.6735000000001</v>
      </c>
      <c r="K88" s="1">
        <v>612.84209999999996</v>
      </c>
      <c r="L88" s="9" t="s">
        <v>945</v>
      </c>
      <c r="M88" s="2">
        <v>6.76</v>
      </c>
      <c r="N88" s="4">
        <v>4651.42</v>
      </c>
      <c r="O88" s="1">
        <v>3.1818962829087623</v>
      </c>
      <c r="P88" s="6">
        <v>41.2</v>
      </c>
      <c r="Q88" s="6">
        <v>28.4</v>
      </c>
      <c r="R88" s="6">
        <v>10.3</v>
      </c>
      <c r="S88" s="6">
        <v>10.4</v>
      </c>
      <c r="T88" s="5">
        <v>0.03</v>
      </c>
      <c r="U88" s="1">
        <v>3.8999999999999998E-3</v>
      </c>
      <c r="V88" s="1">
        <v>3.7461000000000002</v>
      </c>
    </row>
    <row r="89" spans="1:22" x14ac:dyDescent="0.25">
      <c r="A89" s="1">
        <v>0.99890000000000001</v>
      </c>
      <c r="B89" s="9" t="s">
        <v>946</v>
      </c>
      <c r="C89" s="2">
        <v>2921</v>
      </c>
      <c r="D89" s="3" t="s">
        <v>321</v>
      </c>
      <c r="E89" s="9" t="s">
        <v>353</v>
      </c>
      <c r="F89" s="9" t="s">
        <v>354</v>
      </c>
      <c r="G89" s="1">
        <v>1602.9786999999999</v>
      </c>
      <c r="H89" s="2">
        <v>940</v>
      </c>
      <c r="I89" s="2">
        <v>3</v>
      </c>
      <c r="J89" s="1">
        <v>1603.018</v>
      </c>
      <c r="K89" s="1">
        <v>535.33349999999996</v>
      </c>
      <c r="L89" s="9" t="s">
        <v>355</v>
      </c>
      <c r="M89" s="2">
        <v>9.6999999999999993</v>
      </c>
      <c r="N89" s="4">
        <v>4683.7700000000004</v>
      </c>
      <c r="O89" s="1">
        <v>24.470727126174619</v>
      </c>
      <c r="P89" s="6">
        <v>33.9</v>
      </c>
      <c r="Q89" s="6">
        <v>22.1</v>
      </c>
      <c r="R89" s="6">
        <v>7</v>
      </c>
      <c r="S89" s="6">
        <v>8.8000000000000007</v>
      </c>
      <c r="T89" s="5">
        <v>9.5E-4</v>
      </c>
      <c r="U89" s="1">
        <v>3.9300000000000002E-2</v>
      </c>
      <c r="V89" s="1">
        <v>5.9909999999999997</v>
      </c>
    </row>
    <row r="90" spans="1:22" x14ac:dyDescent="0.25">
      <c r="A90" s="1">
        <v>0.99360000000000004</v>
      </c>
      <c r="B90" s="9" t="s">
        <v>947</v>
      </c>
      <c r="C90" s="2">
        <v>2939</v>
      </c>
      <c r="D90" s="3" t="s">
        <v>302</v>
      </c>
      <c r="E90" s="9" t="s">
        <v>948</v>
      </c>
      <c r="F90" s="9" t="s">
        <v>949</v>
      </c>
      <c r="G90" s="1">
        <v>1259.6427000000001</v>
      </c>
      <c r="H90" s="2">
        <v>935</v>
      </c>
      <c r="I90" s="2">
        <v>2</v>
      </c>
      <c r="J90" s="1">
        <v>1259.6623</v>
      </c>
      <c r="K90" s="1">
        <v>630.82860000000005</v>
      </c>
      <c r="L90" s="9" t="s">
        <v>950</v>
      </c>
      <c r="M90" s="2">
        <v>4.54</v>
      </c>
      <c r="N90" s="4">
        <v>4727.57</v>
      </c>
      <c r="O90" s="1">
        <v>15.535123169748486</v>
      </c>
      <c r="P90" s="6">
        <v>33.799999999999997</v>
      </c>
      <c r="Q90" s="6">
        <v>24.6</v>
      </c>
      <c r="R90" s="6">
        <v>10.9</v>
      </c>
      <c r="S90" s="6">
        <v>11.2</v>
      </c>
      <c r="T90" s="5">
        <v>2.7000000000000001E-3</v>
      </c>
      <c r="U90" s="1">
        <v>1.9599999999999999E-2</v>
      </c>
      <c r="V90" s="1">
        <v>4.5663999999999998</v>
      </c>
    </row>
    <row r="91" spans="1:22" x14ac:dyDescent="0.25">
      <c r="A91" s="1">
        <v>0.98570000000000002</v>
      </c>
      <c r="B91" s="9" t="s">
        <v>951</v>
      </c>
      <c r="C91" s="2">
        <v>2942</v>
      </c>
      <c r="D91" s="3" t="s">
        <v>51</v>
      </c>
      <c r="E91" s="9" t="s">
        <v>952</v>
      </c>
      <c r="F91" s="9" t="s">
        <v>953</v>
      </c>
      <c r="G91" s="1">
        <v>1244.7049999999999</v>
      </c>
      <c r="H91" s="2">
        <v>113</v>
      </c>
      <c r="I91" s="2">
        <v>2</v>
      </c>
      <c r="J91" s="1">
        <v>1244.7098000000001</v>
      </c>
      <c r="K91" s="1">
        <v>623.35979999999995</v>
      </c>
      <c r="L91" s="9" t="s">
        <v>954</v>
      </c>
      <c r="M91" s="2">
        <v>6.25</v>
      </c>
      <c r="N91" s="4">
        <v>4731.72</v>
      </c>
      <c r="O91" s="1">
        <v>3.8501039046791279</v>
      </c>
      <c r="P91" s="6">
        <v>52.8</v>
      </c>
      <c r="Q91" s="6">
        <v>38.299999999999997</v>
      </c>
      <c r="R91" s="6">
        <v>10.5</v>
      </c>
      <c r="S91" s="6">
        <v>11.3</v>
      </c>
      <c r="T91" s="5">
        <v>7.1000000000000004E-3</v>
      </c>
      <c r="U91" s="1">
        <v>4.7999999999999996E-3</v>
      </c>
      <c r="V91" s="1">
        <v>4.2927999999999997</v>
      </c>
    </row>
    <row r="92" spans="1:22" x14ac:dyDescent="0.25">
      <c r="A92" s="1">
        <v>0.99990000000000001</v>
      </c>
      <c r="B92" s="9" t="s">
        <v>955</v>
      </c>
      <c r="C92" s="2">
        <v>2954</v>
      </c>
      <c r="D92" s="3" t="s">
        <v>802</v>
      </c>
      <c r="E92" s="9" t="s">
        <v>956</v>
      </c>
      <c r="F92" s="9" t="s">
        <v>97</v>
      </c>
      <c r="G92" s="1">
        <v>2067.0826999999999</v>
      </c>
      <c r="H92" s="2">
        <v>957</v>
      </c>
      <c r="I92" s="2">
        <v>3</v>
      </c>
      <c r="J92" s="1">
        <v>2067.1329999999998</v>
      </c>
      <c r="K92" s="1">
        <v>690.03480000000002</v>
      </c>
      <c r="L92" s="9" t="s">
        <v>98</v>
      </c>
      <c r="M92" s="2">
        <v>6.77</v>
      </c>
      <c r="N92" s="4">
        <v>4764.07</v>
      </c>
      <c r="O92" s="1">
        <v>24.298291429166564</v>
      </c>
      <c r="P92" s="6">
        <v>38.4</v>
      </c>
      <c r="Q92" s="6">
        <v>23.2</v>
      </c>
      <c r="R92" s="6">
        <v>11.6</v>
      </c>
      <c r="S92" s="6">
        <v>10</v>
      </c>
      <c r="T92" s="5">
        <v>1.2E-4</v>
      </c>
      <c r="U92" s="1">
        <v>5.0299999999999997E-2</v>
      </c>
      <c r="V92" s="1">
        <v>6.4992999999999999</v>
      </c>
    </row>
    <row r="93" spans="1:22" x14ac:dyDescent="0.25">
      <c r="A93" s="1">
        <v>0.98850000000000005</v>
      </c>
      <c r="B93" s="9" t="s">
        <v>957</v>
      </c>
      <c r="C93" s="2">
        <v>2978</v>
      </c>
      <c r="D93" s="3" t="s">
        <v>146</v>
      </c>
      <c r="E93" s="9" t="s">
        <v>958</v>
      </c>
      <c r="F93" s="9" t="s">
        <v>398</v>
      </c>
      <c r="G93" s="1">
        <v>1332.6596999999999</v>
      </c>
      <c r="H93" s="2">
        <v>625</v>
      </c>
      <c r="I93" s="2">
        <v>2</v>
      </c>
      <c r="J93" s="1">
        <v>1332.6745000000001</v>
      </c>
      <c r="K93" s="1">
        <v>667.33709999999996</v>
      </c>
      <c r="L93" s="9" t="s">
        <v>399</v>
      </c>
      <c r="M93" s="2">
        <v>4.54</v>
      </c>
      <c r="N93" s="4">
        <v>4819.32</v>
      </c>
      <c r="O93" s="1">
        <v>11.088848499506472</v>
      </c>
      <c r="P93" s="6">
        <v>39.5</v>
      </c>
      <c r="Q93" s="6">
        <v>32.1</v>
      </c>
      <c r="R93" s="6">
        <v>11.1</v>
      </c>
      <c r="S93" s="6">
        <v>11.9</v>
      </c>
      <c r="T93" s="5">
        <v>1.5E-3</v>
      </c>
      <c r="U93" s="1">
        <v>1.4800000000000001E-2</v>
      </c>
      <c r="V93" s="1">
        <v>4.4405999999999999</v>
      </c>
    </row>
    <row r="94" spans="1:22" x14ac:dyDescent="0.25">
      <c r="A94" s="1">
        <v>0.99990000000000001</v>
      </c>
      <c r="B94" s="9" t="s">
        <v>959</v>
      </c>
      <c r="C94" s="2">
        <v>2994</v>
      </c>
      <c r="D94" s="3" t="s">
        <v>960</v>
      </c>
      <c r="E94" s="9" t="s">
        <v>961</v>
      </c>
      <c r="F94" s="9" t="s">
        <v>962</v>
      </c>
      <c r="G94" s="1">
        <v>2045.0597</v>
      </c>
      <c r="H94" s="2">
        <v>1518</v>
      </c>
      <c r="I94" s="2">
        <v>4</v>
      </c>
      <c r="J94" s="1">
        <v>2047.1374000000001</v>
      </c>
      <c r="K94" s="1">
        <v>512.2722</v>
      </c>
      <c r="L94" s="9" t="s">
        <v>963</v>
      </c>
      <c r="M94" s="2">
        <v>5.52</v>
      </c>
      <c r="N94" s="4">
        <v>4855.82</v>
      </c>
      <c r="O94" s="1">
        <v>34.644667424857388</v>
      </c>
      <c r="P94" s="6">
        <v>26.3</v>
      </c>
      <c r="Q94" s="6">
        <v>22.6</v>
      </c>
      <c r="R94" s="6">
        <v>11.6</v>
      </c>
      <c r="S94" s="6">
        <v>10.8</v>
      </c>
      <c r="T94" s="5">
        <v>0.13</v>
      </c>
      <c r="U94" s="1">
        <v>2.0777000000000001</v>
      </c>
      <c r="V94" s="1">
        <v>1.8721000000000001</v>
      </c>
    </row>
    <row r="95" spans="1:22" x14ac:dyDescent="0.25">
      <c r="A95" s="1">
        <v>0.99590000000000001</v>
      </c>
      <c r="B95" s="9" t="s">
        <v>964</v>
      </c>
      <c r="C95" s="2">
        <v>3044</v>
      </c>
      <c r="D95" s="3" t="s">
        <v>423</v>
      </c>
      <c r="E95" s="9" t="s">
        <v>494</v>
      </c>
      <c r="F95" s="9" t="s">
        <v>495</v>
      </c>
      <c r="G95" s="1">
        <v>1368.7322999999999</v>
      </c>
      <c r="H95" s="2">
        <v>632</v>
      </c>
      <c r="I95" s="2">
        <v>2</v>
      </c>
      <c r="J95" s="1">
        <v>1368.7321999999999</v>
      </c>
      <c r="K95" s="1">
        <v>685.37339999999995</v>
      </c>
      <c r="L95" s="9" t="s">
        <v>157</v>
      </c>
      <c r="M95" s="2">
        <v>4.75</v>
      </c>
      <c r="N95" s="4">
        <v>4980.07</v>
      </c>
      <c r="O95" s="1">
        <v>-7.2952933393680003E-2</v>
      </c>
      <c r="P95" s="6">
        <v>35.5</v>
      </c>
      <c r="Q95" s="6">
        <v>24.4</v>
      </c>
      <c r="R95" s="6">
        <v>12.1</v>
      </c>
      <c r="S95" s="6">
        <v>10.6</v>
      </c>
      <c r="T95" s="5">
        <v>2.0999999999999999E-3</v>
      </c>
      <c r="U95" s="1">
        <v>-1E-4</v>
      </c>
      <c r="V95" s="1">
        <v>4.5236999999999998</v>
      </c>
    </row>
    <row r="96" spans="1:22" x14ac:dyDescent="0.25">
      <c r="A96" s="1">
        <v>0.99929999999999997</v>
      </c>
      <c r="B96" s="9" t="s">
        <v>965</v>
      </c>
      <c r="C96" s="2">
        <v>3059</v>
      </c>
      <c r="D96" s="3" t="s">
        <v>115</v>
      </c>
      <c r="E96" s="9" t="s">
        <v>494</v>
      </c>
      <c r="F96" s="9" t="s">
        <v>495</v>
      </c>
      <c r="G96" s="1">
        <v>1368.7322999999999</v>
      </c>
      <c r="H96" s="2">
        <v>633</v>
      </c>
      <c r="I96" s="2">
        <v>2</v>
      </c>
      <c r="J96" s="1">
        <v>1368.7327</v>
      </c>
      <c r="K96" s="1">
        <v>685.37339999999995</v>
      </c>
      <c r="L96" s="9" t="s">
        <v>157</v>
      </c>
      <c r="M96" s="2">
        <v>4.75</v>
      </c>
      <c r="N96" s="4">
        <v>5016.57</v>
      </c>
      <c r="O96" s="1">
        <v>0.29181173357472001</v>
      </c>
      <c r="P96" s="6">
        <v>46.2</v>
      </c>
      <c r="Q96" s="6">
        <v>29.9</v>
      </c>
      <c r="R96" s="6">
        <v>12.3</v>
      </c>
      <c r="S96" s="6">
        <v>11.1</v>
      </c>
      <c r="T96" s="5">
        <v>4.1E-5</v>
      </c>
      <c r="U96" s="1">
        <v>4.0000000000000002E-4</v>
      </c>
      <c r="V96" s="1">
        <v>6.4485000000000001</v>
      </c>
    </row>
    <row r="97" spans="1:22" x14ac:dyDescent="0.25">
      <c r="A97" s="1">
        <v>0.99950000000000006</v>
      </c>
      <c r="B97" s="9" t="s">
        <v>966</v>
      </c>
      <c r="C97" s="2">
        <v>3068</v>
      </c>
      <c r="D97" s="3" t="s">
        <v>78</v>
      </c>
      <c r="E97" s="9" t="s">
        <v>967</v>
      </c>
      <c r="F97" s="9" t="s">
        <v>968</v>
      </c>
      <c r="G97" s="1">
        <v>1355.6427000000001</v>
      </c>
      <c r="H97" s="2">
        <v>117</v>
      </c>
      <c r="I97" s="2">
        <v>2</v>
      </c>
      <c r="J97" s="1">
        <v>1355.6812</v>
      </c>
      <c r="K97" s="1">
        <v>678.82860000000005</v>
      </c>
      <c r="L97" s="9" t="s">
        <v>969</v>
      </c>
      <c r="M97" s="2">
        <v>6.22</v>
      </c>
      <c r="N97" s="4">
        <v>5038.47</v>
      </c>
      <c r="O97" s="1">
        <v>28.357673792765951</v>
      </c>
      <c r="P97" s="6">
        <v>37.1</v>
      </c>
      <c r="Q97" s="6">
        <v>24.8</v>
      </c>
      <c r="R97" s="6">
        <v>8.1999999999999993</v>
      </c>
      <c r="S97" s="6">
        <v>9.6999999999999993</v>
      </c>
      <c r="T97" s="5">
        <v>5.4000000000000001E-4</v>
      </c>
      <c r="U97" s="1">
        <v>3.85E-2</v>
      </c>
      <c r="V97" s="1">
        <v>5.8842999999999996</v>
      </c>
    </row>
    <row r="98" spans="1:22" x14ac:dyDescent="0.25">
      <c r="A98" s="1">
        <v>0.97599999999999998</v>
      </c>
      <c r="B98" s="9" t="s">
        <v>970</v>
      </c>
      <c r="C98" s="2">
        <v>3072</v>
      </c>
      <c r="D98" s="3" t="s">
        <v>520</v>
      </c>
      <c r="E98" s="9" t="s">
        <v>494</v>
      </c>
      <c r="F98" s="9" t="s">
        <v>495</v>
      </c>
      <c r="G98" s="1">
        <v>1368.7327</v>
      </c>
      <c r="H98" s="2">
        <v>118</v>
      </c>
      <c r="I98" s="2">
        <v>2</v>
      </c>
      <c r="J98" s="1">
        <v>1368.5001</v>
      </c>
      <c r="K98" s="1">
        <v>685.37360000000001</v>
      </c>
      <c r="L98" s="9" t="s">
        <v>157</v>
      </c>
      <c r="M98" s="2">
        <v>4.75</v>
      </c>
      <c r="N98" s="4">
        <v>5045.7700000000004</v>
      </c>
      <c r="O98" s="1">
        <v>-169.68847355661202</v>
      </c>
      <c r="P98" s="6">
        <v>32.4</v>
      </c>
      <c r="Q98" s="6">
        <v>23.4</v>
      </c>
      <c r="R98" s="6">
        <v>12</v>
      </c>
      <c r="S98" s="6">
        <v>10.6</v>
      </c>
      <c r="T98" s="5">
        <v>0.03</v>
      </c>
      <c r="U98" s="1">
        <v>-0.2326</v>
      </c>
      <c r="V98" s="1">
        <v>3.1886999999999999</v>
      </c>
    </row>
    <row r="99" spans="1:22" x14ac:dyDescent="0.25">
      <c r="A99" s="1">
        <v>0.99080000000000001</v>
      </c>
      <c r="B99" s="9" t="s">
        <v>971</v>
      </c>
      <c r="C99" s="2">
        <v>3077</v>
      </c>
      <c r="D99" s="3" t="s">
        <v>702</v>
      </c>
      <c r="E99" s="9" t="s">
        <v>467</v>
      </c>
      <c r="F99" s="9" t="s">
        <v>391</v>
      </c>
      <c r="G99" s="1">
        <v>1351.6986999999999</v>
      </c>
      <c r="H99" s="2">
        <v>635</v>
      </c>
      <c r="I99" s="2">
        <v>2</v>
      </c>
      <c r="J99" s="1">
        <v>1351.7108000000001</v>
      </c>
      <c r="K99" s="1">
        <v>676.85659999999996</v>
      </c>
      <c r="L99" s="9" t="s">
        <v>364</v>
      </c>
      <c r="M99" s="2">
        <v>6.74</v>
      </c>
      <c r="N99" s="4">
        <v>5060.37</v>
      </c>
      <c r="O99" s="1">
        <v>8.9383777893279017</v>
      </c>
      <c r="P99" s="6">
        <v>35.6</v>
      </c>
      <c r="Q99" s="6">
        <v>26.7</v>
      </c>
      <c r="R99" s="6">
        <v>11.5</v>
      </c>
      <c r="S99" s="6">
        <v>11</v>
      </c>
      <c r="T99" s="5">
        <v>8.8999999999999999E-3</v>
      </c>
      <c r="U99" s="1">
        <v>1.21E-2</v>
      </c>
      <c r="V99" s="1">
        <v>3.8839000000000001</v>
      </c>
    </row>
    <row r="100" spans="1:22" x14ac:dyDescent="0.25">
      <c r="A100" s="1">
        <v>0.99150000000000005</v>
      </c>
      <c r="B100" s="9" t="s">
        <v>972</v>
      </c>
      <c r="C100" s="2">
        <v>3084</v>
      </c>
      <c r="D100" s="3" t="s">
        <v>425</v>
      </c>
      <c r="E100" s="9" t="s">
        <v>973</v>
      </c>
      <c r="F100" s="9" t="s">
        <v>974</v>
      </c>
      <c r="G100" s="1">
        <v>1341.7326</v>
      </c>
      <c r="H100" s="2">
        <v>25</v>
      </c>
      <c r="I100" s="2">
        <v>2</v>
      </c>
      <c r="J100" s="1">
        <v>1341.7340999999999</v>
      </c>
      <c r="K100" s="1">
        <v>671.87360000000001</v>
      </c>
      <c r="L100" s="9" t="s">
        <v>975</v>
      </c>
      <c r="M100" s="2">
        <v>6.22</v>
      </c>
      <c r="N100" s="4">
        <v>5074.97</v>
      </c>
      <c r="O100" s="1">
        <v>1.1162813957863502</v>
      </c>
      <c r="P100" s="6">
        <v>32.4</v>
      </c>
      <c r="Q100" s="6">
        <v>22.3</v>
      </c>
      <c r="R100" s="6">
        <v>12</v>
      </c>
      <c r="S100" s="6">
        <v>10.6</v>
      </c>
      <c r="T100" s="5">
        <v>9.1000000000000004E-3</v>
      </c>
      <c r="U100" s="1">
        <v>1.5E-3</v>
      </c>
      <c r="V100" s="1">
        <v>4.0103999999999997</v>
      </c>
    </row>
    <row r="101" spans="1:22" x14ac:dyDescent="0.25">
      <c r="A101" s="1">
        <v>0.98340000000000005</v>
      </c>
      <c r="B101" s="9" t="s">
        <v>976</v>
      </c>
      <c r="C101" s="2">
        <v>3099</v>
      </c>
      <c r="D101" s="3" t="s">
        <v>479</v>
      </c>
      <c r="E101" s="9" t="s">
        <v>494</v>
      </c>
      <c r="F101" s="9" t="s">
        <v>495</v>
      </c>
      <c r="G101" s="1">
        <v>1368.7322999999999</v>
      </c>
      <c r="H101" s="2">
        <v>640</v>
      </c>
      <c r="I101" s="2">
        <v>2</v>
      </c>
      <c r="J101" s="1">
        <v>1368.7334000000001</v>
      </c>
      <c r="K101" s="1">
        <v>685.37339999999995</v>
      </c>
      <c r="L101" s="9" t="s">
        <v>157</v>
      </c>
      <c r="M101" s="2">
        <v>4.75</v>
      </c>
      <c r="N101" s="4">
        <v>5111.47</v>
      </c>
      <c r="O101" s="1">
        <v>0.80248226733048</v>
      </c>
      <c r="P101" s="6">
        <v>30</v>
      </c>
      <c r="Q101" s="6">
        <v>22.6</v>
      </c>
      <c r="R101" s="6">
        <v>12.2</v>
      </c>
      <c r="S101" s="6">
        <v>11.4</v>
      </c>
      <c r="T101" s="5">
        <v>1.2E-2</v>
      </c>
      <c r="U101" s="1">
        <v>1.1000000000000001E-3</v>
      </c>
      <c r="V101" s="1">
        <v>3.4573</v>
      </c>
    </row>
    <row r="102" spans="1:22" x14ac:dyDescent="0.25">
      <c r="A102" s="1">
        <v>0.997</v>
      </c>
      <c r="B102" s="9" t="s">
        <v>977</v>
      </c>
      <c r="C102" s="2">
        <v>3104</v>
      </c>
      <c r="D102" s="3" t="s">
        <v>220</v>
      </c>
      <c r="E102" s="9" t="s">
        <v>978</v>
      </c>
      <c r="F102" s="9" t="s">
        <v>112</v>
      </c>
      <c r="G102" s="1">
        <v>1286.6696999999999</v>
      </c>
      <c r="H102" s="2">
        <v>1349</v>
      </c>
      <c r="I102" s="2">
        <v>2</v>
      </c>
      <c r="J102" s="1">
        <v>1286.6925000000001</v>
      </c>
      <c r="K102" s="1">
        <v>644.34209999999996</v>
      </c>
      <c r="L102" s="9" t="s">
        <v>113</v>
      </c>
      <c r="M102" s="2">
        <v>6.75</v>
      </c>
      <c r="N102" s="4">
        <v>5129.22</v>
      </c>
      <c r="O102" s="1">
        <v>17.69246491886841</v>
      </c>
      <c r="P102" s="6">
        <v>58.8</v>
      </c>
      <c r="Q102" s="6">
        <v>37.299999999999997</v>
      </c>
      <c r="R102" s="6">
        <v>11.5</v>
      </c>
      <c r="S102" s="6">
        <v>11.5</v>
      </c>
      <c r="T102" s="5">
        <v>1.6999999999999999E-3</v>
      </c>
      <c r="U102" s="1">
        <v>2.2800000000000001E-2</v>
      </c>
      <c r="V102" s="1">
        <v>5.2404000000000002</v>
      </c>
    </row>
    <row r="103" spans="1:22" x14ac:dyDescent="0.25">
      <c r="A103" s="1">
        <v>0.99919999999999998</v>
      </c>
      <c r="B103" s="9" t="s">
        <v>979</v>
      </c>
      <c r="C103" s="2">
        <v>3105</v>
      </c>
      <c r="D103" s="3" t="s">
        <v>980</v>
      </c>
      <c r="E103" s="9" t="s">
        <v>981</v>
      </c>
      <c r="F103" s="9" t="s">
        <v>982</v>
      </c>
      <c r="G103" s="1">
        <v>1940.0677000000001</v>
      </c>
      <c r="H103" s="2">
        <v>641</v>
      </c>
      <c r="I103" s="2">
        <v>3</v>
      </c>
      <c r="J103" s="1">
        <v>1940.1434999999999</v>
      </c>
      <c r="K103" s="1">
        <v>647.69650000000001</v>
      </c>
      <c r="L103" s="9" t="s">
        <v>983</v>
      </c>
      <c r="M103" s="2">
        <v>8.75</v>
      </c>
      <c r="N103" s="4">
        <v>5126.07</v>
      </c>
      <c r="O103" s="1">
        <v>39.010040453617812</v>
      </c>
      <c r="P103" s="6">
        <v>33.299999999999997</v>
      </c>
      <c r="Q103" s="6">
        <v>22.3</v>
      </c>
      <c r="R103" s="6">
        <v>9.3000000000000007</v>
      </c>
      <c r="S103" s="6">
        <v>9.1999999999999993</v>
      </c>
      <c r="T103" s="5">
        <v>2.5000000000000001E-4</v>
      </c>
      <c r="U103" s="1">
        <v>7.5800000000000006E-2</v>
      </c>
      <c r="V103" s="1">
        <v>5.9987000000000004</v>
      </c>
    </row>
    <row r="104" spans="1:22" x14ac:dyDescent="0.25">
      <c r="A104" s="1">
        <v>0.99609999999999999</v>
      </c>
      <c r="B104" s="9" t="s">
        <v>984</v>
      </c>
      <c r="C104" s="2">
        <v>3131</v>
      </c>
      <c r="D104" s="3" t="s">
        <v>183</v>
      </c>
      <c r="E104" s="9" t="s">
        <v>985</v>
      </c>
      <c r="F104" s="9" t="s">
        <v>986</v>
      </c>
      <c r="G104" s="1">
        <v>1171.6635000000001</v>
      </c>
      <c r="H104" s="2">
        <v>461</v>
      </c>
      <c r="I104" s="2">
        <v>2</v>
      </c>
      <c r="J104" s="1">
        <v>1171.6717000000001</v>
      </c>
      <c r="K104" s="1">
        <v>586.83900000000006</v>
      </c>
      <c r="L104" s="9" t="s">
        <v>514</v>
      </c>
      <c r="M104" s="2">
        <v>8.75</v>
      </c>
      <c r="N104" s="4">
        <v>5191.7700000000004</v>
      </c>
      <c r="O104" s="1">
        <v>6.9865840545703337</v>
      </c>
      <c r="P104" s="6">
        <v>33.700000000000003</v>
      </c>
      <c r="Q104" s="6">
        <v>23.6</v>
      </c>
      <c r="R104" s="6">
        <v>9.8000000000000007</v>
      </c>
      <c r="S104" s="6">
        <v>11.7</v>
      </c>
      <c r="T104" s="5">
        <v>4.0000000000000001E-3</v>
      </c>
      <c r="U104" s="1">
        <v>8.2000000000000007E-3</v>
      </c>
      <c r="V104" s="1">
        <v>4.7100999999999997</v>
      </c>
    </row>
    <row r="105" spans="1:22" x14ac:dyDescent="0.25">
      <c r="A105" s="1">
        <v>0.98719999999999997</v>
      </c>
      <c r="B105" s="9" t="s">
        <v>987</v>
      </c>
      <c r="C105" s="2">
        <v>3132</v>
      </c>
      <c r="D105" s="3" t="s">
        <v>988</v>
      </c>
      <c r="E105" s="9" t="s">
        <v>989</v>
      </c>
      <c r="F105" s="9" t="s">
        <v>990</v>
      </c>
      <c r="G105" s="1">
        <v>1391.8357000000001</v>
      </c>
      <c r="H105" s="2">
        <v>643</v>
      </c>
      <c r="I105" s="2">
        <v>2</v>
      </c>
      <c r="J105" s="1">
        <v>1391.721</v>
      </c>
      <c r="K105" s="1">
        <v>696.92510000000004</v>
      </c>
      <c r="L105" s="9" t="s">
        <v>991</v>
      </c>
      <c r="M105" s="2">
        <v>11.71</v>
      </c>
      <c r="N105" s="4">
        <v>5191.7700000000004</v>
      </c>
      <c r="O105" s="1">
        <v>-82.290048098425487</v>
      </c>
      <c r="P105" s="6">
        <v>29.8</v>
      </c>
      <c r="Q105" s="6">
        <v>22.5</v>
      </c>
      <c r="R105" s="6">
        <v>0</v>
      </c>
      <c r="S105" s="6">
        <v>11.4</v>
      </c>
      <c r="T105" s="5">
        <v>1.4E-2</v>
      </c>
      <c r="U105" s="1">
        <v>-0.1147</v>
      </c>
      <c r="V105" s="1">
        <v>3.6410999999999998</v>
      </c>
    </row>
    <row r="106" spans="1:22" x14ac:dyDescent="0.25">
      <c r="A106" s="1">
        <v>0.99329999999999996</v>
      </c>
      <c r="B106" s="9" t="s">
        <v>992</v>
      </c>
      <c r="C106" s="2">
        <v>3143</v>
      </c>
      <c r="D106" s="3" t="s">
        <v>183</v>
      </c>
      <c r="E106" s="9" t="s">
        <v>993</v>
      </c>
      <c r="F106" s="9" t="s">
        <v>994</v>
      </c>
      <c r="G106" s="1">
        <v>1216.6847</v>
      </c>
      <c r="H106" s="2">
        <v>462</v>
      </c>
      <c r="I106" s="2">
        <v>2</v>
      </c>
      <c r="J106" s="1">
        <v>1216.6958</v>
      </c>
      <c r="K106" s="1">
        <v>609.34960000000001</v>
      </c>
      <c r="L106" s="9" t="s">
        <v>387</v>
      </c>
      <c r="M106" s="2">
        <v>5.81</v>
      </c>
      <c r="N106" s="4">
        <v>5220.97</v>
      </c>
      <c r="O106" s="1">
        <v>9.1080719508144412</v>
      </c>
      <c r="P106" s="6">
        <v>33.799999999999997</v>
      </c>
      <c r="Q106" s="6">
        <v>25.1</v>
      </c>
      <c r="R106" s="6">
        <v>11.2</v>
      </c>
      <c r="S106" s="6">
        <v>10.9</v>
      </c>
      <c r="T106" s="5">
        <v>3.4000000000000002E-2</v>
      </c>
      <c r="U106" s="1">
        <v>1.11E-2</v>
      </c>
      <c r="V106" s="1">
        <v>3.4131999999999998</v>
      </c>
    </row>
    <row r="107" spans="1:22" x14ac:dyDescent="0.25">
      <c r="A107" s="1">
        <v>0.99739999999999995</v>
      </c>
      <c r="B107" s="9" t="s">
        <v>995</v>
      </c>
      <c r="C107" s="2">
        <v>3144</v>
      </c>
      <c r="D107" s="3" t="s">
        <v>146</v>
      </c>
      <c r="E107" s="9" t="s">
        <v>996</v>
      </c>
      <c r="F107" s="9" t="s">
        <v>540</v>
      </c>
      <c r="G107" s="1">
        <v>1258.6957</v>
      </c>
      <c r="H107" s="2">
        <v>463</v>
      </c>
      <c r="I107" s="2">
        <v>2</v>
      </c>
      <c r="J107" s="1">
        <v>1258.7082</v>
      </c>
      <c r="K107" s="1">
        <v>630.35509999999999</v>
      </c>
      <c r="L107" s="9" t="s">
        <v>514</v>
      </c>
      <c r="M107" s="2">
        <v>8.75</v>
      </c>
      <c r="N107" s="4">
        <v>5220.97</v>
      </c>
      <c r="O107" s="1">
        <v>9.9150462969205773</v>
      </c>
      <c r="P107" s="6">
        <v>39.4</v>
      </c>
      <c r="Q107" s="6">
        <v>25.3</v>
      </c>
      <c r="R107" s="6">
        <v>11.2</v>
      </c>
      <c r="S107" s="6">
        <v>11.7</v>
      </c>
      <c r="T107" s="5">
        <v>2.0999999999999999E-3</v>
      </c>
      <c r="U107" s="1">
        <v>1.2500000000000001E-2</v>
      </c>
      <c r="V107" s="1">
        <v>5.1009000000000002</v>
      </c>
    </row>
    <row r="108" spans="1:22" x14ac:dyDescent="0.25">
      <c r="A108" s="1">
        <v>0.99990000000000001</v>
      </c>
      <c r="B108" s="9" t="s">
        <v>997</v>
      </c>
      <c r="C108" s="2">
        <v>3156</v>
      </c>
      <c r="D108" s="3" t="s">
        <v>349</v>
      </c>
      <c r="E108" s="9" t="s">
        <v>998</v>
      </c>
      <c r="F108" s="9" t="s">
        <v>602</v>
      </c>
      <c r="G108" s="1">
        <v>1773.9947</v>
      </c>
      <c r="H108" s="2">
        <v>1097</v>
      </c>
      <c r="I108" s="2">
        <v>3</v>
      </c>
      <c r="J108" s="1">
        <v>1774.0273999999999</v>
      </c>
      <c r="K108" s="1">
        <v>592.33879999999999</v>
      </c>
      <c r="L108" s="9" t="s">
        <v>603</v>
      </c>
      <c r="M108" s="2">
        <v>4.8499999999999996</v>
      </c>
      <c r="N108" s="4">
        <v>5250.22</v>
      </c>
      <c r="O108" s="1">
        <v>18.401630958498753</v>
      </c>
      <c r="P108" s="6">
        <v>37.200000000000003</v>
      </c>
      <c r="Q108" s="6">
        <v>25.5</v>
      </c>
      <c r="R108" s="6">
        <v>10.7</v>
      </c>
      <c r="S108" s="6">
        <v>14.1</v>
      </c>
      <c r="T108" s="5">
        <v>5.8E-5</v>
      </c>
      <c r="U108" s="1">
        <v>3.27E-2</v>
      </c>
      <c r="V108" s="1">
        <v>6.8616000000000001</v>
      </c>
    </row>
    <row r="109" spans="1:22" x14ac:dyDescent="0.25">
      <c r="A109" s="1">
        <v>0.99890000000000001</v>
      </c>
      <c r="B109" s="9" t="s">
        <v>999</v>
      </c>
      <c r="C109" s="2">
        <v>3176</v>
      </c>
      <c r="D109" s="3" t="s">
        <v>1000</v>
      </c>
      <c r="E109" s="9" t="s">
        <v>539</v>
      </c>
      <c r="F109" s="9" t="s">
        <v>540</v>
      </c>
      <c r="G109" s="1">
        <v>1315.7168999999999</v>
      </c>
      <c r="H109" s="2">
        <v>26</v>
      </c>
      <c r="I109" s="2">
        <v>2</v>
      </c>
      <c r="J109" s="1">
        <v>1315.7238</v>
      </c>
      <c r="K109" s="1">
        <v>658.86569999999995</v>
      </c>
      <c r="L109" s="9" t="s">
        <v>514</v>
      </c>
      <c r="M109" s="2">
        <v>8.75</v>
      </c>
      <c r="N109" s="4">
        <v>5301.32</v>
      </c>
      <c r="O109" s="1">
        <v>5.2362719746983339</v>
      </c>
      <c r="P109" s="6">
        <v>43.5</v>
      </c>
      <c r="Q109" s="6">
        <v>23.8</v>
      </c>
      <c r="R109" s="6">
        <v>11.5</v>
      </c>
      <c r="S109" s="6">
        <v>11.8</v>
      </c>
      <c r="T109" s="5">
        <v>1.7000000000000001E-4</v>
      </c>
      <c r="U109" s="1">
        <v>6.8999999999999999E-3</v>
      </c>
      <c r="V109" s="1">
        <v>6.5007000000000001</v>
      </c>
    </row>
    <row r="110" spans="1:22" x14ac:dyDescent="0.25">
      <c r="A110" s="1">
        <v>0.98429999999999995</v>
      </c>
      <c r="B110" s="9" t="s">
        <v>1001</v>
      </c>
      <c r="C110" s="2">
        <v>3191</v>
      </c>
      <c r="D110" s="3" t="s">
        <v>1002</v>
      </c>
      <c r="E110" s="9" t="s">
        <v>1003</v>
      </c>
      <c r="F110" s="9" t="s">
        <v>1004</v>
      </c>
      <c r="G110" s="1">
        <v>1346.7380000000001</v>
      </c>
      <c r="H110" s="2">
        <v>122</v>
      </c>
      <c r="I110" s="2">
        <v>2</v>
      </c>
      <c r="J110" s="1">
        <v>1346.7374</v>
      </c>
      <c r="K110" s="1">
        <v>674.37630000000001</v>
      </c>
      <c r="L110" s="9" t="s">
        <v>1005</v>
      </c>
      <c r="M110" s="2">
        <v>8.75</v>
      </c>
      <c r="N110" s="4">
        <v>5337.82</v>
      </c>
      <c r="O110" s="1">
        <v>-0.44485549091805265</v>
      </c>
      <c r="P110" s="6">
        <v>47.1</v>
      </c>
      <c r="Q110" s="6">
        <v>43.4</v>
      </c>
      <c r="R110" s="6">
        <v>8.6999999999999993</v>
      </c>
      <c r="S110" s="6">
        <v>9</v>
      </c>
      <c r="T110" s="5">
        <v>5.0000000000000001E-3</v>
      </c>
      <c r="U110" s="1">
        <v>-5.9999999999999995E-4</v>
      </c>
      <c r="V110" s="1">
        <v>3.4782000000000002</v>
      </c>
    </row>
    <row r="111" spans="1:22" x14ac:dyDescent="0.25">
      <c r="A111" s="1">
        <v>0.99719999999999998</v>
      </c>
      <c r="B111" s="9" t="s">
        <v>1006</v>
      </c>
      <c r="C111" s="2">
        <v>3192</v>
      </c>
      <c r="D111" s="3" t="s">
        <v>146</v>
      </c>
      <c r="E111" s="9" t="s">
        <v>1007</v>
      </c>
      <c r="F111" s="9" t="s">
        <v>304</v>
      </c>
      <c r="G111" s="1">
        <v>1302.7039</v>
      </c>
      <c r="H111" s="2">
        <v>647</v>
      </c>
      <c r="I111" s="2">
        <v>2</v>
      </c>
      <c r="J111" s="1">
        <v>1302.7028</v>
      </c>
      <c r="K111" s="1">
        <v>652.35919999999999</v>
      </c>
      <c r="L111" s="9" t="s">
        <v>118</v>
      </c>
      <c r="M111" s="2">
        <v>8.2200000000000006</v>
      </c>
      <c r="N111" s="4">
        <v>5337.82</v>
      </c>
      <c r="O111" s="1">
        <v>-0.84309380476277496</v>
      </c>
      <c r="P111" s="6">
        <v>40.1</v>
      </c>
      <c r="Q111" s="6">
        <v>23.8</v>
      </c>
      <c r="R111" s="6">
        <v>11.9</v>
      </c>
      <c r="S111" s="6">
        <v>9.9</v>
      </c>
      <c r="T111" s="5">
        <v>5.4999999999999997E-3</v>
      </c>
      <c r="U111" s="1">
        <v>-1.1000000000000001E-3</v>
      </c>
      <c r="V111" s="1">
        <v>4.8710000000000004</v>
      </c>
    </row>
    <row r="112" spans="1:22" x14ac:dyDescent="0.25">
      <c r="A112" s="1">
        <v>0.98919999999999997</v>
      </c>
      <c r="B112" s="9" t="s">
        <v>1008</v>
      </c>
      <c r="C112" s="2">
        <v>3200</v>
      </c>
      <c r="D112" s="3" t="s">
        <v>702</v>
      </c>
      <c r="E112" s="9" t="s">
        <v>1009</v>
      </c>
      <c r="F112" s="9" t="s">
        <v>1010</v>
      </c>
      <c r="G112" s="1">
        <v>1393.6796999999999</v>
      </c>
      <c r="H112" s="2">
        <v>124</v>
      </c>
      <c r="I112" s="2">
        <v>2</v>
      </c>
      <c r="J112" s="1">
        <v>1393.7046</v>
      </c>
      <c r="K112" s="1">
        <v>697.84709999999995</v>
      </c>
      <c r="L112" s="9" t="s">
        <v>1011</v>
      </c>
      <c r="M112" s="2">
        <v>4.43</v>
      </c>
      <c r="N112" s="4">
        <v>5356.62</v>
      </c>
      <c r="O112" s="1">
        <v>17.840584276985606</v>
      </c>
      <c r="P112" s="6">
        <v>34.6</v>
      </c>
      <c r="Q112" s="6">
        <v>23.9</v>
      </c>
      <c r="R112" s="6">
        <v>10.6</v>
      </c>
      <c r="S112" s="6">
        <v>10.4</v>
      </c>
      <c r="T112" s="5">
        <v>4.1999999999999997E-3</v>
      </c>
      <c r="U112" s="1">
        <v>2.4899999999999999E-2</v>
      </c>
      <c r="V112" s="1">
        <v>4.532</v>
      </c>
    </row>
    <row r="113" spans="1:22" x14ac:dyDescent="0.25">
      <c r="A113" s="1">
        <v>0.98009999999999997</v>
      </c>
      <c r="B113" s="9" t="s">
        <v>1012</v>
      </c>
      <c r="C113" s="2">
        <v>3206</v>
      </c>
      <c r="D113" s="3" t="s">
        <v>250</v>
      </c>
      <c r="E113" s="9" t="s">
        <v>1013</v>
      </c>
      <c r="F113" s="9" t="s">
        <v>1014</v>
      </c>
      <c r="G113" s="1">
        <v>1220.5456999999999</v>
      </c>
      <c r="H113" s="2">
        <v>648</v>
      </c>
      <c r="I113" s="2">
        <v>2</v>
      </c>
      <c r="J113" s="1">
        <v>1220.5343</v>
      </c>
      <c r="K113" s="1">
        <v>611.28009999999995</v>
      </c>
      <c r="L113" s="9" t="s">
        <v>1015</v>
      </c>
      <c r="M113" s="2">
        <v>6.22</v>
      </c>
      <c r="N113" s="4">
        <v>5371.22</v>
      </c>
      <c r="O113" s="1">
        <v>-9.3246941950179654</v>
      </c>
      <c r="P113" s="6">
        <v>25.4</v>
      </c>
      <c r="Q113" s="6">
        <v>18.399999999999999</v>
      </c>
      <c r="R113" s="6">
        <v>6.4</v>
      </c>
      <c r="S113" s="6">
        <v>7.9</v>
      </c>
      <c r="T113" s="5">
        <v>6.4000000000000001E-2</v>
      </c>
      <c r="U113" s="1">
        <v>-1.14E-2</v>
      </c>
      <c r="V113" s="1">
        <v>3.3359000000000001</v>
      </c>
    </row>
    <row r="114" spans="1:22" x14ac:dyDescent="0.25">
      <c r="A114" s="1">
        <v>0.99719999999999998</v>
      </c>
      <c r="B114" s="9" t="s">
        <v>1016</v>
      </c>
      <c r="C114" s="2">
        <v>3219</v>
      </c>
      <c r="D114" s="3" t="s">
        <v>621</v>
      </c>
      <c r="E114" s="9" t="s">
        <v>1017</v>
      </c>
      <c r="F114" s="9" t="s">
        <v>877</v>
      </c>
      <c r="G114" s="1">
        <v>1263.5119999999999</v>
      </c>
      <c r="H114" s="2">
        <v>650</v>
      </c>
      <c r="I114" s="2">
        <v>2</v>
      </c>
      <c r="J114" s="1">
        <v>1263.5206000000001</v>
      </c>
      <c r="K114" s="1">
        <v>632.76329999999996</v>
      </c>
      <c r="L114" s="9" t="s">
        <v>878</v>
      </c>
      <c r="M114" s="2">
        <v>5.45</v>
      </c>
      <c r="N114" s="4">
        <v>5401.52</v>
      </c>
      <c r="O114" s="1">
        <v>6.7955900729388077</v>
      </c>
      <c r="P114" s="6">
        <v>35.799999999999997</v>
      </c>
      <c r="Q114" s="6">
        <v>26.5</v>
      </c>
      <c r="R114" s="6">
        <v>12.1</v>
      </c>
      <c r="S114" s="6">
        <v>10.3</v>
      </c>
      <c r="T114" s="5">
        <v>1.9E-3</v>
      </c>
      <c r="U114" s="1">
        <v>8.6E-3</v>
      </c>
      <c r="V114" s="1">
        <v>4.8846999999999996</v>
      </c>
    </row>
    <row r="115" spans="1:22" x14ac:dyDescent="0.25">
      <c r="A115" s="1">
        <v>0.99399999999999999</v>
      </c>
      <c r="B115" s="9" t="s">
        <v>1018</v>
      </c>
      <c r="C115" s="2">
        <v>3221</v>
      </c>
      <c r="D115" s="3" t="s">
        <v>396</v>
      </c>
      <c r="E115" s="9" t="s">
        <v>1019</v>
      </c>
      <c r="F115" s="9" t="s">
        <v>117</v>
      </c>
      <c r="G115" s="1">
        <v>1183.6427000000001</v>
      </c>
      <c r="H115" s="2">
        <v>651</v>
      </c>
      <c r="I115" s="2">
        <v>2</v>
      </c>
      <c r="J115" s="1">
        <v>1183.6741</v>
      </c>
      <c r="K115" s="1">
        <v>592.82860000000005</v>
      </c>
      <c r="L115" s="9" t="s">
        <v>118</v>
      </c>
      <c r="M115" s="2">
        <v>11</v>
      </c>
      <c r="N115" s="4">
        <v>5408.82</v>
      </c>
      <c r="O115" s="1">
        <v>26.483202733471355</v>
      </c>
      <c r="P115" s="6">
        <v>40.9</v>
      </c>
      <c r="Q115" s="6">
        <v>30.1</v>
      </c>
      <c r="R115" s="6">
        <v>7</v>
      </c>
      <c r="S115" s="6">
        <v>10.1</v>
      </c>
      <c r="T115" s="5">
        <v>1.0999999999999999E-2</v>
      </c>
      <c r="U115" s="1">
        <v>3.1399999999999997E-2</v>
      </c>
      <c r="V115" s="1">
        <v>4.2135999999999996</v>
      </c>
    </row>
    <row r="116" spans="1:22" x14ac:dyDescent="0.25">
      <c r="A116" s="1">
        <v>0.99990000000000001</v>
      </c>
      <c r="B116" s="9" t="s">
        <v>1020</v>
      </c>
      <c r="C116" s="2">
        <v>3222</v>
      </c>
      <c r="D116" s="3" t="s">
        <v>1021</v>
      </c>
      <c r="E116" s="9" t="s">
        <v>1022</v>
      </c>
      <c r="F116" s="9" t="s">
        <v>1023</v>
      </c>
      <c r="G116" s="1">
        <v>1986.0056999999999</v>
      </c>
      <c r="H116" s="2">
        <v>1525</v>
      </c>
      <c r="I116" s="2">
        <v>3</v>
      </c>
      <c r="J116" s="1">
        <v>1986.0735999999999</v>
      </c>
      <c r="K116" s="1">
        <v>663.00919999999996</v>
      </c>
      <c r="L116" s="9" t="s">
        <v>1024</v>
      </c>
      <c r="M116" s="2">
        <v>4.3099999999999996</v>
      </c>
      <c r="N116" s="4">
        <v>5408.82</v>
      </c>
      <c r="O116" s="1">
        <v>34.137283967301414</v>
      </c>
      <c r="P116" s="6">
        <v>52</v>
      </c>
      <c r="Q116" s="6">
        <v>29.2</v>
      </c>
      <c r="R116" s="6">
        <v>11.8</v>
      </c>
      <c r="S116" s="6">
        <v>13.1</v>
      </c>
      <c r="T116" s="5">
        <v>4.5000000000000001E-6</v>
      </c>
      <c r="U116" s="1">
        <v>6.7900000000000002E-2</v>
      </c>
      <c r="V116" s="1">
        <v>8.0706000000000007</v>
      </c>
    </row>
    <row r="117" spans="1:22" x14ac:dyDescent="0.25">
      <c r="A117" s="1">
        <v>0.99160000000000004</v>
      </c>
      <c r="B117" s="9" t="s">
        <v>1025</v>
      </c>
      <c r="C117" s="2">
        <v>3228</v>
      </c>
      <c r="D117" s="3" t="s">
        <v>326</v>
      </c>
      <c r="E117" s="9" t="s">
        <v>1026</v>
      </c>
      <c r="F117" s="9" t="s">
        <v>1027</v>
      </c>
      <c r="G117" s="1">
        <v>1307.6907000000001</v>
      </c>
      <c r="H117" s="2">
        <v>1101</v>
      </c>
      <c r="I117" s="2">
        <v>2</v>
      </c>
      <c r="J117" s="1">
        <v>1307.7032999999999</v>
      </c>
      <c r="K117" s="1">
        <v>654.85260000000005</v>
      </c>
      <c r="L117" s="9" t="s">
        <v>1028</v>
      </c>
      <c r="M117" s="2">
        <v>8.4600000000000009</v>
      </c>
      <c r="N117" s="4">
        <v>5423.42</v>
      </c>
      <c r="O117" s="1">
        <v>9.6204855871382335</v>
      </c>
      <c r="P117" s="6">
        <v>41.3</v>
      </c>
      <c r="Q117" s="6">
        <v>30.7</v>
      </c>
      <c r="R117" s="6">
        <v>8.8000000000000007</v>
      </c>
      <c r="S117" s="6">
        <v>10</v>
      </c>
      <c r="T117" s="5">
        <v>5.7000000000000002E-3</v>
      </c>
      <c r="U117" s="1">
        <v>1.26E-2</v>
      </c>
      <c r="V117" s="1">
        <v>4.3131000000000004</v>
      </c>
    </row>
    <row r="118" spans="1:22" x14ac:dyDescent="0.25">
      <c r="A118" s="1">
        <v>0.97099999999999997</v>
      </c>
      <c r="B118" s="9" t="s">
        <v>1029</v>
      </c>
      <c r="C118" s="2">
        <v>3273</v>
      </c>
      <c r="D118" s="3" t="s">
        <v>1030</v>
      </c>
      <c r="E118" s="9" t="s">
        <v>1031</v>
      </c>
      <c r="F118" s="9" t="s">
        <v>1032</v>
      </c>
      <c r="G118" s="1">
        <v>1357.6985</v>
      </c>
      <c r="H118" s="2">
        <v>1104</v>
      </c>
      <c r="I118" s="2">
        <v>2</v>
      </c>
      <c r="J118" s="1">
        <v>1357.6958999999999</v>
      </c>
      <c r="K118" s="1">
        <v>679.85649999999998</v>
      </c>
      <c r="L118" s="9" t="s">
        <v>1033</v>
      </c>
      <c r="M118" s="2">
        <v>5.84</v>
      </c>
      <c r="N118" s="4">
        <v>5521.83</v>
      </c>
      <c r="O118" s="1">
        <v>-1.9121682296190445</v>
      </c>
      <c r="P118" s="6">
        <v>28.6</v>
      </c>
      <c r="Q118" s="6">
        <v>23.4</v>
      </c>
      <c r="R118" s="6">
        <v>9.6999999999999993</v>
      </c>
      <c r="S118" s="6">
        <v>13.9</v>
      </c>
      <c r="T118" s="5">
        <v>0.24</v>
      </c>
      <c r="U118" s="1">
        <v>-2.5999999999999999E-3</v>
      </c>
      <c r="V118" s="1">
        <v>1.8989</v>
      </c>
    </row>
    <row r="119" spans="1:22" x14ac:dyDescent="0.25">
      <c r="A119" s="1">
        <v>0.98780000000000001</v>
      </c>
      <c r="B119" s="9" t="s">
        <v>1034</v>
      </c>
      <c r="C119" s="2">
        <v>3280</v>
      </c>
      <c r="D119" s="3" t="s">
        <v>425</v>
      </c>
      <c r="E119" s="9" t="s">
        <v>1031</v>
      </c>
      <c r="F119" s="9" t="s">
        <v>1032</v>
      </c>
      <c r="G119" s="1">
        <v>1357.6986999999999</v>
      </c>
      <c r="H119" s="2">
        <v>1352</v>
      </c>
      <c r="I119" s="2">
        <v>2</v>
      </c>
      <c r="J119" s="1">
        <v>1357.4677999999999</v>
      </c>
      <c r="K119" s="1">
        <v>679.85659999999996</v>
      </c>
      <c r="L119" s="9" t="s">
        <v>1033</v>
      </c>
      <c r="M119" s="2">
        <v>5.84</v>
      </c>
      <c r="N119" s="4">
        <v>5540.67</v>
      </c>
      <c r="O119" s="1">
        <v>-169.81522279845487</v>
      </c>
      <c r="P119" s="6">
        <v>33.799999999999997</v>
      </c>
      <c r="Q119" s="6">
        <v>27.7</v>
      </c>
      <c r="R119" s="6">
        <v>9.8000000000000007</v>
      </c>
      <c r="S119" s="6">
        <v>13.2</v>
      </c>
      <c r="T119" s="5">
        <v>0.11</v>
      </c>
      <c r="U119" s="1">
        <v>-0.23089999999999999</v>
      </c>
      <c r="V119" s="1">
        <v>2.2530999999999999</v>
      </c>
    </row>
    <row r="120" spans="1:22" x14ac:dyDescent="0.25">
      <c r="A120" s="1">
        <v>0.98440000000000005</v>
      </c>
      <c r="B120" s="9" t="s">
        <v>1035</v>
      </c>
      <c r="C120" s="2">
        <v>3304</v>
      </c>
      <c r="D120" s="3" t="s">
        <v>621</v>
      </c>
      <c r="E120" s="9" t="s">
        <v>1036</v>
      </c>
      <c r="F120" s="9" t="s">
        <v>944</v>
      </c>
      <c r="G120" s="1">
        <v>1204.6157000000001</v>
      </c>
      <c r="H120" s="2">
        <v>289</v>
      </c>
      <c r="I120" s="2">
        <v>2</v>
      </c>
      <c r="J120" s="1">
        <v>1204.6519000000001</v>
      </c>
      <c r="K120" s="1">
        <v>603.31510000000003</v>
      </c>
      <c r="L120" s="9" t="s">
        <v>945</v>
      </c>
      <c r="M120" s="2">
        <v>6.19</v>
      </c>
      <c r="N120" s="4">
        <v>5595.02</v>
      </c>
      <c r="O120" s="1">
        <v>30.000906657234339</v>
      </c>
      <c r="P120" s="6">
        <v>33.1</v>
      </c>
      <c r="Q120" s="6">
        <v>25.5</v>
      </c>
      <c r="R120" s="6">
        <v>7.1</v>
      </c>
      <c r="S120" s="6">
        <v>9.6</v>
      </c>
      <c r="T120" s="5">
        <v>1.6E-2</v>
      </c>
      <c r="U120" s="1">
        <v>3.6200000000000003E-2</v>
      </c>
      <c r="V120" s="1">
        <v>3.6539999999999999</v>
      </c>
    </row>
    <row r="121" spans="1:22" x14ac:dyDescent="0.25">
      <c r="A121" s="1">
        <v>0.99760000000000004</v>
      </c>
      <c r="B121" s="9" t="s">
        <v>1037</v>
      </c>
      <c r="C121" s="2">
        <v>3315</v>
      </c>
      <c r="D121" s="3" t="s">
        <v>621</v>
      </c>
      <c r="E121" s="9" t="s">
        <v>605</v>
      </c>
      <c r="F121" s="9" t="s">
        <v>606</v>
      </c>
      <c r="G121" s="1">
        <v>1210.6994999999999</v>
      </c>
      <c r="H121" s="2">
        <v>290</v>
      </c>
      <c r="I121" s="2">
        <v>2</v>
      </c>
      <c r="J121" s="1">
        <v>1210.7065</v>
      </c>
      <c r="K121" s="1">
        <v>606.35699999999997</v>
      </c>
      <c r="L121" s="9" t="s">
        <v>607</v>
      </c>
      <c r="M121" s="2">
        <v>6.22</v>
      </c>
      <c r="N121" s="4">
        <v>5621.12</v>
      </c>
      <c r="O121" s="1">
        <v>5.7721771167810392</v>
      </c>
      <c r="P121" s="6">
        <v>38.5</v>
      </c>
      <c r="Q121" s="6">
        <v>26.8</v>
      </c>
      <c r="R121" s="6">
        <v>11.4</v>
      </c>
      <c r="S121" s="6">
        <v>12.4</v>
      </c>
      <c r="T121" s="5">
        <v>2.0999999999999999E-3</v>
      </c>
      <c r="U121" s="1">
        <v>7.0000000000000001E-3</v>
      </c>
      <c r="V121" s="1">
        <v>5.0572999999999997</v>
      </c>
    </row>
    <row r="122" spans="1:22" x14ac:dyDescent="0.25">
      <c r="A122" s="1">
        <v>0.95450000000000002</v>
      </c>
      <c r="B122" s="9" t="s">
        <v>1038</v>
      </c>
      <c r="C122" s="2">
        <v>3317</v>
      </c>
      <c r="D122" s="3" t="s">
        <v>621</v>
      </c>
      <c r="E122" s="9" t="s">
        <v>1036</v>
      </c>
      <c r="F122" s="9" t="s">
        <v>944</v>
      </c>
      <c r="G122" s="1">
        <v>1204.6157000000001</v>
      </c>
      <c r="H122" s="2">
        <v>656</v>
      </c>
      <c r="I122" s="2">
        <v>2</v>
      </c>
      <c r="J122" s="1">
        <v>1204.6266000000001</v>
      </c>
      <c r="K122" s="1">
        <v>603.31510000000003</v>
      </c>
      <c r="L122" s="9" t="s">
        <v>945</v>
      </c>
      <c r="M122" s="2">
        <v>6.19</v>
      </c>
      <c r="N122" s="4">
        <v>5622.17</v>
      </c>
      <c r="O122" s="1">
        <v>9.0334221702722175</v>
      </c>
      <c r="P122" s="6">
        <v>32.799999999999997</v>
      </c>
      <c r="Q122" s="6">
        <v>26.3</v>
      </c>
      <c r="R122" s="6">
        <v>6.9</v>
      </c>
      <c r="S122" s="6">
        <v>9.1999999999999993</v>
      </c>
      <c r="T122" s="5">
        <v>6.4000000000000001E-2</v>
      </c>
      <c r="U122" s="1">
        <v>1.09E-2</v>
      </c>
      <c r="V122" s="1">
        <v>2.7934999999999999</v>
      </c>
    </row>
    <row r="123" spans="1:22" x14ac:dyDescent="0.25">
      <c r="A123" s="1">
        <v>0.99109999999999998</v>
      </c>
      <c r="B123" s="9" t="s">
        <v>1039</v>
      </c>
      <c r="C123" s="2">
        <v>3343</v>
      </c>
      <c r="D123" s="3" t="s">
        <v>702</v>
      </c>
      <c r="E123" s="9" t="s">
        <v>1040</v>
      </c>
      <c r="F123" s="9" t="s">
        <v>1041</v>
      </c>
      <c r="G123" s="1">
        <v>1387.8146999999999</v>
      </c>
      <c r="H123" s="2">
        <v>33</v>
      </c>
      <c r="I123" s="2">
        <v>2</v>
      </c>
      <c r="J123" s="1">
        <v>1387.8</v>
      </c>
      <c r="K123" s="1">
        <v>694.91459999999995</v>
      </c>
      <c r="L123" s="9" t="s">
        <v>1042</v>
      </c>
      <c r="M123" s="2">
        <v>8.59</v>
      </c>
      <c r="N123" s="4">
        <v>5668.62</v>
      </c>
      <c r="O123" s="1">
        <v>-10.576839225999857</v>
      </c>
      <c r="P123" s="6">
        <v>39.1</v>
      </c>
      <c r="Q123" s="6">
        <v>29.9</v>
      </c>
      <c r="R123" s="6">
        <v>12.1</v>
      </c>
      <c r="S123" s="6">
        <v>12.9</v>
      </c>
      <c r="T123" s="5">
        <v>2.5000000000000001E-2</v>
      </c>
      <c r="U123" s="1">
        <v>-1.47E-2</v>
      </c>
      <c r="V123" s="1">
        <v>3.3147000000000002</v>
      </c>
    </row>
    <row r="124" spans="1:22" x14ac:dyDescent="0.25">
      <c r="A124" s="1">
        <v>0.96419999999999995</v>
      </c>
      <c r="B124" s="9" t="s">
        <v>1043</v>
      </c>
      <c r="C124" s="2">
        <v>3352</v>
      </c>
      <c r="D124" s="3" t="s">
        <v>702</v>
      </c>
      <c r="E124" s="9" t="s">
        <v>1040</v>
      </c>
      <c r="F124" s="9" t="s">
        <v>1041</v>
      </c>
      <c r="G124" s="1">
        <v>1387.8146999999999</v>
      </c>
      <c r="H124" s="2">
        <v>127</v>
      </c>
      <c r="I124" s="2">
        <v>2</v>
      </c>
      <c r="J124" s="1">
        <v>1387.6101000000001</v>
      </c>
      <c r="K124" s="1">
        <v>694.91459999999995</v>
      </c>
      <c r="L124" s="9" t="s">
        <v>1042</v>
      </c>
      <c r="M124" s="2">
        <v>8.59</v>
      </c>
      <c r="N124" s="4">
        <v>5690.52</v>
      </c>
      <c r="O124" s="1">
        <v>-147.21233371697761</v>
      </c>
      <c r="P124" s="6">
        <v>41.2</v>
      </c>
      <c r="Q124" s="6">
        <v>30.7</v>
      </c>
      <c r="R124" s="6">
        <v>11.8</v>
      </c>
      <c r="S124" s="6">
        <v>13</v>
      </c>
      <c r="T124" s="5">
        <v>0.17</v>
      </c>
      <c r="U124" s="1">
        <v>-0.2046</v>
      </c>
      <c r="V124" s="1">
        <v>2.4843000000000002</v>
      </c>
    </row>
    <row r="125" spans="1:22" x14ac:dyDescent="0.25">
      <c r="A125" s="1">
        <v>0.999</v>
      </c>
      <c r="B125" s="9" t="s">
        <v>1044</v>
      </c>
      <c r="C125" s="2">
        <v>3367</v>
      </c>
      <c r="D125" s="3" t="s">
        <v>78</v>
      </c>
      <c r="E125" s="9" t="s">
        <v>611</v>
      </c>
      <c r="F125" s="9" t="s">
        <v>358</v>
      </c>
      <c r="G125" s="1">
        <v>1291.6847</v>
      </c>
      <c r="H125" s="2">
        <v>659</v>
      </c>
      <c r="I125" s="2">
        <v>2</v>
      </c>
      <c r="J125" s="1">
        <v>1291.7150999999999</v>
      </c>
      <c r="K125" s="1">
        <v>646.84960000000001</v>
      </c>
      <c r="L125" s="9" t="s">
        <v>359</v>
      </c>
      <c r="M125" s="2">
        <v>6.22</v>
      </c>
      <c r="N125" s="4">
        <v>5720.98</v>
      </c>
      <c r="O125" s="1">
        <v>23.498507226409352</v>
      </c>
      <c r="P125" s="6">
        <v>38.1</v>
      </c>
      <c r="Q125" s="6">
        <v>23.8</v>
      </c>
      <c r="R125" s="6">
        <v>10.6</v>
      </c>
      <c r="S125" s="6">
        <v>10.6</v>
      </c>
      <c r="T125" s="5">
        <v>7.2999999999999996E-4</v>
      </c>
      <c r="U125" s="1">
        <v>3.04E-2</v>
      </c>
      <c r="V125" s="1">
        <v>5.9532999999999996</v>
      </c>
    </row>
    <row r="126" spans="1:22" x14ac:dyDescent="0.25">
      <c r="A126" s="1">
        <v>0.99950000000000006</v>
      </c>
      <c r="B126" s="9" t="s">
        <v>1045</v>
      </c>
      <c r="C126" s="2">
        <v>3399</v>
      </c>
      <c r="D126" s="3" t="s">
        <v>61</v>
      </c>
      <c r="E126" s="9" t="s">
        <v>1046</v>
      </c>
      <c r="F126" s="9" t="s">
        <v>1047</v>
      </c>
      <c r="G126" s="1">
        <v>1799.0227</v>
      </c>
      <c r="H126" s="2">
        <v>319</v>
      </c>
      <c r="I126" s="2">
        <v>3</v>
      </c>
      <c r="J126" s="1">
        <v>1799.075</v>
      </c>
      <c r="K126" s="1">
        <v>600.68150000000003</v>
      </c>
      <c r="L126" s="9" t="s">
        <v>1048</v>
      </c>
      <c r="M126" s="2">
        <v>6.27</v>
      </c>
      <c r="N126" s="4">
        <v>5791.17</v>
      </c>
      <c r="O126" s="1">
        <v>29.022590729585197</v>
      </c>
      <c r="P126" s="6">
        <v>42.3</v>
      </c>
      <c r="Q126" s="6">
        <v>24.5</v>
      </c>
      <c r="R126" s="6">
        <v>8.4</v>
      </c>
      <c r="S126" s="6">
        <v>12.3</v>
      </c>
      <c r="T126" s="5">
        <v>2.0000000000000001E-4</v>
      </c>
      <c r="U126" s="1">
        <v>5.2299999999999999E-2</v>
      </c>
      <c r="V126" s="1">
        <v>6.7713000000000001</v>
      </c>
    </row>
    <row r="127" spans="1:22" x14ac:dyDescent="0.25">
      <c r="A127" s="1">
        <v>0.96189999999999998</v>
      </c>
      <c r="B127" s="9" t="s">
        <v>1049</v>
      </c>
      <c r="C127" s="2">
        <v>3403</v>
      </c>
      <c r="D127" s="3" t="s">
        <v>621</v>
      </c>
      <c r="E127" s="9" t="s">
        <v>1050</v>
      </c>
      <c r="F127" s="9" t="s">
        <v>117</v>
      </c>
      <c r="G127" s="1">
        <v>1174.6457</v>
      </c>
      <c r="H127" s="2">
        <v>1526</v>
      </c>
      <c r="I127" s="2">
        <v>2</v>
      </c>
      <c r="J127" s="1">
        <v>1174.6674</v>
      </c>
      <c r="K127" s="1">
        <v>588.33010000000002</v>
      </c>
      <c r="L127" s="9" t="s">
        <v>118</v>
      </c>
      <c r="M127" s="2">
        <v>8.2200000000000006</v>
      </c>
      <c r="N127" s="4">
        <v>5795.32</v>
      </c>
      <c r="O127" s="1">
        <v>18.442027698395851</v>
      </c>
      <c r="P127" s="6">
        <v>37.200000000000003</v>
      </c>
      <c r="Q127" s="6">
        <v>29.7</v>
      </c>
      <c r="R127" s="6">
        <v>12.2</v>
      </c>
      <c r="S127" s="6">
        <v>12</v>
      </c>
      <c r="T127" s="5">
        <v>2.5000000000000001E-2</v>
      </c>
      <c r="U127" s="1">
        <v>2.1700000000000001E-2</v>
      </c>
      <c r="V127" s="1">
        <v>3.2865000000000002</v>
      </c>
    </row>
    <row r="128" spans="1:22" x14ac:dyDescent="0.25">
      <c r="A128" s="1">
        <v>0.96830000000000005</v>
      </c>
      <c r="B128" s="9" t="s">
        <v>1051</v>
      </c>
      <c r="C128" s="2">
        <v>3418</v>
      </c>
      <c r="D128" s="3" t="s">
        <v>1052</v>
      </c>
      <c r="E128" s="9" t="s">
        <v>1053</v>
      </c>
      <c r="F128" s="9" t="s">
        <v>944</v>
      </c>
      <c r="G128" s="1">
        <v>1160.5536999999999</v>
      </c>
      <c r="H128" s="2">
        <v>469</v>
      </c>
      <c r="I128" s="2">
        <v>2</v>
      </c>
      <c r="J128" s="1">
        <v>1160.5759</v>
      </c>
      <c r="K128" s="1">
        <v>581.28409999999997</v>
      </c>
      <c r="L128" s="9" t="s">
        <v>945</v>
      </c>
      <c r="M128" s="2">
        <v>4.5999999999999996</v>
      </c>
      <c r="N128" s="4">
        <v>5829.82</v>
      </c>
      <c r="O128" s="1">
        <v>19.095653915185366</v>
      </c>
      <c r="P128" s="6">
        <v>23.2</v>
      </c>
      <c r="Q128" s="6">
        <v>18.3</v>
      </c>
      <c r="R128" s="6">
        <v>11.5</v>
      </c>
      <c r="S128" s="6">
        <v>8.6</v>
      </c>
      <c r="T128" s="5">
        <v>0.16</v>
      </c>
      <c r="U128" s="1">
        <v>2.2200000000000001E-2</v>
      </c>
      <c r="V128" s="1">
        <v>2.3959000000000001</v>
      </c>
    </row>
    <row r="129" spans="1:22" x14ac:dyDescent="0.25">
      <c r="A129" s="1">
        <v>0.95509999999999995</v>
      </c>
      <c r="B129" s="9" t="s">
        <v>1054</v>
      </c>
      <c r="C129" s="2">
        <v>3426</v>
      </c>
      <c r="D129" s="3" t="s">
        <v>331</v>
      </c>
      <c r="E129" s="9" t="s">
        <v>1055</v>
      </c>
      <c r="F129" s="9" t="s">
        <v>290</v>
      </c>
      <c r="G129" s="1">
        <v>1331.7007000000001</v>
      </c>
      <c r="H129" s="2">
        <v>132</v>
      </c>
      <c r="I129" s="2">
        <v>2</v>
      </c>
      <c r="J129" s="1">
        <v>1331.7197000000001</v>
      </c>
      <c r="K129" s="1">
        <v>666.85760000000005</v>
      </c>
      <c r="L129" s="9" t="s">
        <v>291</v>
      </c>
      <c r="M129" s="2">
        <v>4.75</v>
      </c>
      <c r="N129" s="4">
        <v>5845.67</v>
      </c>
      <c r="O129" s="1">
        <v>14.245919968521015</v>
      </c>
      <c r="P129" s="6">
        <v>37.9</v>
      </c>
      <c r="Q129" s="6">
        <v>28.4</v>
      </c>
      <c r="R129" s="6">
        <v>9.8000000000000007</v>
      </c>
      <c r="S129" s="6">
        <v>10.9</v>
      </c>
      <c r="T129" s="5">
        <v>7.0999999999999994E-2</v>
      </c>
      <c r="U129" s="1">
        <v>1.9E-2</v>
      </c>
      <c r="V129" s="1">
        <v>2.7795000000000001</v>
      </c>
    </row>
    <row r="130" spans="1:22" x14ac:dyDescent="0.25">
      <c r="A130" s="1">
        <v>0.99490000000000001</v>
      </c>
      <c r="B130" s="9" t="s">
        <v>1056</v>
      </c>
      <c r="C130" s="2">
        <v>3429</v>
      </c>
      <c r="D130" s="3" t="s">
        <v>1000</v>
      </c>
      <c r="E130" s="9" t="s">
        <v>1055</v>
      </c>
      <c r="F130" s="9" t="s">
        <v>290</v>
      </c>
      <c r="G130" s="1">
        <v>1331.7007000000001</v>
      </c>
      <c r="H130" s="2">
        <v>292</v>
      </c>
      <c r="I130" s="2">
        <v>2</v>
      </c>
      <c r="J130" s="1">
        <v>1331.5092</v>
      </c>
      <c r="K130" s="1">
        <v>666.85760000000005</v>
      </c>
      <c r="L130" s="9" t="s">
        <v>291</v>
      </c>
      <c r="M130" s="2">
        <v>4.75</v>
      </c>
      <c r="N130" s="4">
        <v>5856.07</v>
      </c>
      <c r="O130" s="1">
        <v>-143.58387757746181</v>
      </c>
      <c r="P130" s="6">
        <v>41.8</v>
      </c>
      <c r="Q130" s="6">
        <v>28.8</v>
      </c>
      <c r="R130" s="6">
        <v>10.5</v>
      </c>
      <c r="S130" s="6">
        <v>11</v>
      </c>
      <c r="T130" s="5">
        <v>3.5000000000000001E-3</v>
      </c>
      <c r="U130" s="1">
        <v>-0.1915</v>
      </c>
      <c r="V130" s="1">
        <v>4.4484000000000004</v>
      </c>
    </row>
    <row r="131" spans="1:22" x14ac:dyDescent="0.25">
      <c r="A131" s="1">
        <v>0.99880000000000002</v>
      </c>
      <c r="B131" s="9" t="s">
        <v>1057</v>
      </c>
      <c r="C131" s="2">
        <v>3442</v>
      </c>
      <c r="D131" s="3" t="s">
        <v>146</v>
      </c>
      <c r="E131" s="9" t="s">
        <v>1058</v>
      </c>
      <c r="F131" s="9" t="s">
        <v>1059</v>
      </c>
      <c r="G131" s="1">
        <v>1375.6327000000001</v>
      </c>
      <c r="H131" s="2">
        <v>920</v>
      </c>
      <c r="I131" s="2">
        <v>2</v>
      </c>
      <c r="J131" s="1">
        <v>1375.6486</v>
      </c>
      <c r="K131" s="1">
        <v>688.82360000000006</v>
      </c>
      <c r="L131" s="9" t="s">
        <v>1060</v>
      </c>
      <c r="M131" s="2">
        <v>4.3099999999999996</v>
      </c>
      <c r="N131" s="4">
        <v>5886.32</v>
      </c>
      <c r="O131" s="1">
        <v>11.541416409077739</v>
      </c>
      <c r="P131" s="6">
        <v>36.200000000000003</v>
      </c>
      <c r="Q131" s="6">
        <v>18.899999999999999</v>
      </c>
      <c r="R131" s="6">
        <v>6.9</v>
      </c>
      <c r="S131" s="6">
        <v>9</v>
      </c>
      <c r="T131" s="5">
        <v>3.4E-5</v>
      </c>
      <c r="U131" s="1">
        <v>1.5900000000000001E-2</v>
      </c>
      <c r="V131" s="1">
        <v>7.6692</v>
      </c>
    </row>
    <row r="132" spans="1:22" x14ac:dyDescent="0.25">
      <c r="A132" s="1">
        <v>0.97589999999999999</v>
      </c>
      <c r="B132" s="9" t="s">
        <v>1061</v>
      </c>
      <c r="C132" s="2">
        <v>3454</v>
      </c>
      <c r="D132" s="3" t="s">
        <v>306</v>
      </c>
      <c r="E132" s="9" t="s">
        <v>1062</v>
      </c>
      <c r="F132" s="9" t="s">
        <v>1063</v>
      </c>
      <c r="G132" s="1">
        <v>1110.5456999999999</v>
      </c>
      <c r="H132" s="2">
        <v>293</v>
      </c>
      <c r="I132" s="2">
        <v>2</v>
      </c>
      <c r="J132" s="1">
        <v>1110.5581999999999</v>
      </c>
      <c r="K132" s="1">
        <v>556.28009999999995</v>
      </c>
      <c r="L132" s="9" t="s">
        <v>1064</v>
      </c>
      <c r="M132" s="2">
        <v>5.97</v>
      </c>
      <c r="N132" s="4">
        <v>5911.37</v>
      </c>
      <c r="O132" s="1">
        <v>11.235347085038637</v>
      </c>
      <c r="P132" s="6">
        <v>28.2</v>
      </c>
      <c r="Q132" s="6">
        <v>21</v>
      </c>
      <c r="R132" s="6">
        <v>8.4</v>
      </c>
      <c r="S132" s="6">
        <v>9.6</v>
      </c>
      <c r="T132" s="5">
        <v>6.7000000000000004E-2</v>
      </c>
      <c r="U132" s="1">
        <v>1.2500000000000001E-2</v>
      </c>
      <c r="V132" s="1">
        <v>3.3734000000000002</v>
      </c>
    </row>
    <row r="133" spans="1:22" x14ac:dyDescent="0.25">
      <c r="A133" s="1">
        <v>0.99480000000000002</v>
      </c>
      <c r="B133" s="9" t="s">
        <v>1065</v>
      </c>
      <c r="C133" s="2">
        <v>3457</v>
      </c>
      <c r="D133" s="3" t="s">
        <v>702</v>
      </c>
      <c r="E133" s="9" t="s">
        <v>1058</v>
      </c>
      <c r="F133" s="9" t="s">
        <v>1059</v>
      </c>
      <c r="G133" s="1">
        <v>1375.6327000000001</v>
      </c>
      <c r="H133" s="2">
        <v>664</v>
      </c>
      <c r="I133" s="2">
        <v>2</v>
      </c>
      <c r="J133" s="1">
        <v>1375.6507999999999</v>
      </c>
      <c r="K133" s="1">
        <v>688.82360000000006</v>
      </c>
      <c r="L133" s="9" t="s">
        <v>1060</v>
      </c>
      <c r="M133" s="2">
        <v>4.3099999999999996</v>
      </c>
      <c r="N133" s="4">
        <v>5913.48</v>
      </c>
      <c r="O133" s="1">
        <v>13.138341949956418</v>
      </c>
      <c r="P133" s="6">
        <v>32.5</v>
      </c>
      <c r="Q133" s="6">
        <v>21.4</v>
      </c>
      <c r="R133" s="6">
        <v>6.9</v>
      </c>
      <c r="S133" s="6">
        <v>8.9</v>
      </c>
      <c r="T133" s="5">
        <v>1.5E-3</v>
      </c>
      <c r="U133" s="1">
        <v>1.8100000000000002E-2</v>
      </c>
      <c r="V133" s="1">
        <v>5.1844999999999999</v>
      </c>
    </row>
    <row r="134" spans="1:22" x14ac:dyDescent="0.25">
      <c r="A134" s="1">
        <v>0.9657</v>
      </c>
      <c r="B134" s="9" t="s">
        <v>1066</v>
      </c>
      <c r="C134" s="2">
        <v>3488</v>
      </c>
      <c r="D134" s="3" t="s">
        <v>95</v>
      </c>
      <c r="E134" s="9" t="s">
        <v>1067</v>
      </c>
      <c r="F134" s="9" t="s">
        <v>1068</v>
      </c>
      <c r="G134" s="1">
        <v>1378.6806999999999</v>
      </c>
      <c r="H134" s="2">
        <v>1527</v>
      </c>
      <c r="I134" s="2">
        <v>2</v>
      </c>
      <c r="J134" s="1">
        <v>1378.7074</v>
      </c>
      <c r="K134" s="1">
        <v>690.34760000000006</v>
      </c>
      <c r="L134" s="9" t="s">
        <v>1069</v>
      </c>
      <c r="M134" s="2">
        <v>4.75</v>
      </c>
      <c r="N134" s="4">
        <v>5969.38</v>
      </c>
      <c r="O134" s="1">
        <v>19.338084176724884</v>
      </c>
      <c r="P134" s="6">
        <v>29.5</v>
      </c>
      <c r="Q134" s="6">
        <v>22.7</v>
      </c>
      <c r="R134" s="6">
        <v>11.2</v>
      </c>
      <c r="S134" s="6">
        <v>8.8000000000000007</v>
      </c>
      <c r="T134" s="5">
        <v>2.1000000000000001E-2</v>
      </c>
      <c r="U134" s="1">
        <v>2.6700000000000002E-2</v>
      </c>
      <c r="V134" s="1">
        <v>3.3757000000000001</v>
      </c>
    </row>
    <row r="135" spans="1:22" x14ac:dyDescent="0.25">
      <c r="A135" s="1">
        <v>0.98729999999999996</v>
      </c>
      <c r="B135" s="9" t="s">
        <v>1070</v>
      </c>
      <c r="C135" s="2">
        <v>3491</v>
      </c>
      <c r="D135" s="3" t="s">
        <v>326</v>
      </c>
      <c r="E135" s="9" t="s">
        <v>1071</v>
      </c>
      <c r="F135" s="9" t="s">
        <v>112</v>
      </c>
      <c r="G135" s="1">
        <v>1157.6367</v>
      </c>
      <c r="H135" s="2">
        <v>948</v>
      </c>
      <c r="I135" s="2">
        <v>2</v>
      </c>
      <c r="J135" s="1">
        <v>1157.6489999999999</v>
      </c>
      <c r="K135" s="1">
        <v>579.82560000000001</v>
      </c>
      <c r="L135" s="9" t="s">
        <v>113</v>
      </c>
      <c r="M135" s="2">
        <v>4.8600000000000003</v>
      </c>
      <c r="N135" s="4">
        <v>5979.82</v>
      </c>
      <c r="O135" s="1">
        <v>10.606637582059156</v>
      </c>
      <c r="P135" s="6">
        <v>43</v>
      </c>
      <c r="Q135" s="6">
        <v>32.299999999999997</v>
      </c>
      <c r="R135" s="6">
        <v>12.4</v>
      </c>
      <c r="S135" s="6">
        <v>11.5</v>
      </c>
      <c r="T135" s="5">
        <v>9.2999999999999992E-3</v>
      </c>
      <c r="U135" s="1">
        <v>1.23E-2</v>
      </c>
      <c r="V135" s="1">
        <v>4.0258000000000003</v>
      </c>
    </row>
    <row r="136" spans="1:22" x14ac:dyDescent="0.25">
      <c r="A136" s="1">
        <v>0.9849</v>
      </c>
      <c r="B136" s="9" t="s">
        <v>1072</v>
      </c>
      <c r="C136" s="2">
        <v>3517</v>
      </c>
      <c r="D136" s="3" t="s">
        <v>154</v>
      </c>
      <c r="E136" s="9" t="s">
        <v>643</v>
      </c>
      <c r="F136" s="9" t="s">
        <v>623</v>
      </c>
      <c r="G136" s="1">
        <v>1204.6777</v>
      </c>
      <c r="H136" s="2">
        <v>667</v>
      </c>
      <c r="I136" s="2">
        <v>2</v>
      </c>
      <c r="J136" s="1">
        <v>1204.7109</v>
      </c>
      <c r="K136" s="1">
        <v>603.34609999999998</v>
      </c>
      <c r="L136" s="9" t="s">
        <v>412</v>
      </c>
      <c r="M136" s="2">
        <v>6.22</v>
      </c>
      <c r="N136" s="4">
        <v>6025.07</v>
      </c>
      <c r="O136" s="1">
        <v>27.513229968669727</v>
      </c>
      <c r="P136" s="6">
        <v>36.1</v>
      </c>
      <c r="Q136" s="6">
        <v>26.4</v>
      </c>
      <c r="R136" s="6">
        <v>9.8000000000000007</v>
      </c>
      <c r="S136" s="6">
        <v>11.6</v>
      </c>
      <c r="T136" s="5">
        <v>4.2000000000000003E-2</v>
      </c>
      <c r="U136" s="1">
        <v>3.32E-2</v>
      </c>
      <c r="V136" s="1">
        <v>3.5238</v>
      </c>
    </row>
    <row r="137" spans="1:22" x14ac:dyDescent="0.25">
      <c r="A137" s="1">
        <v>0.96940000000000004</v>
      </c>
      <c r="B137" s="9" t="s">
        <v>1073</v>
      </c>
      <c r="C137" s="2">
        <v>3559</v>
      </c>
      <c r="D137" s="3" t="s">
        <v>78</v>
      </c>
      <c r="E137" s="9" t="s">
        <v>1074</v>
      </c>
      <c r="F137" s="9" t="s">
        <v>1075</v>
      </c>
      <c r="G137" s="1">
        <v>1234.6016</v>
      </c>
      <c r="H137" s="2">
        <v>670</v>
      </c>
      <c r="I137" s="2">
        <v>2</v>
      </c>
      <c r="J137" s="1">
        <v>1234.5987</v>
      </c>
      <c r="K137" s="1">
        <v>618.30809999999997</v>
      </c>
      <c r="L137" s="9" t="s">
        <v>1076</v>
      </c>
      <c r="M137" s="2">
        <v>4.75</v>
      </c>
      <c r="N137" s="4">
        <v>6102.87</v>
      </c>
      <c r="O137" s="1">
        <v>-2.3451091777707584</v>
      </c>
      <c r="P137" s="6">
        <v>37.9</v>
      </c>
      <c r="Q137" s="6">
        <v>31.1</v>
      </c>
      <c r="R137" s="6">
        <v>9.4</v>
      </c>
      <c r="S137" s="6">
        <v>10.3</v>
      </c>
      <c r="T137" s="5">
        <v>3.2000000000000001E-2</v>
      </c>
      <c r="U137" s="1">
        <v>-2.8999999999999998E-3</v>
      </c>
      <c r="V137" s="1">
        <v>3.0493000000000001</v>
      </c>
    </row>
    <row r="138" spans="1:22" x14ac:dyDescent="0.25">
      <c r="A138" s="1">
        <v>0.96909999999999996</v>
      </c>
      <c r="B138" s="9" t="s">
        <v>1077</v>
      </c>
      <c r="C138" s="2">
        <v>3567</v>
      </c>
      <c r="D138" s="3" t="s">
        <v>343</v>
      </c>
      <c r="E138" s="9" t="s">
        <v>1078</v>
      </c>
      <c r="F138" s="9" t="s">
        <v>1079</v>
      </c>
      <c r="G138" s="1">
        <v>1196.5567000000001</v>
      </c>
      <c r="H138" s="2">
        <v>1529</v>
      </c>
      <c r="I138" s="2">
        <v>2</v>
      </c>
      <c r="J138" s="1">
        <v>1196.5818999999999</v>
      </c>
      <c r="K138" s="1">
        <v>599.28560000000004</v>
      </c>
      <c r="L138" s="9" t="s">
        <v>1080</v>
      </c>
      <c r="M138" s="2">
        <v>4.75</v>
      </c>
      <c r="N138" s="4">
        <v>6117.57</v>
      </c>
      <c r="O138" s="1">
        <v>21.025033806919438</v>
      </c>
      <c r="P138" s="6">
        <v>27.6</v>
      </c>
      <c r="Q138" s="6">
        <v>21.4</v>
      </c>
      <c r="R138" s="6">
        <v>12</v>
      </c>
      <c r="S138" s="6">
        <v>11.8</v>
      </c>
      <c r="T138" s="5">
        <v>0.03</v>
      </c>
      <c r="U138" s="1">
        <v>2.52E-2</v>
      </c>
      <c r="V138" s="1">
        <v>3.4681999999999999</v>
      </c>
    </row>
    <row r="139" spans="1:22" x14ac:dyDescent="0.25">
      <c r="A139" s="1">
        <v>0.96389999999999998</v>
      </c>
      <c r="B139" s="9" t="s">
        <v>1081</v>
      </c>
      <c r="C139" s="2">
        <v>3623</v>
      </c>
      <c r="D139" s="3" t="s">
        <v>621</v>
      </c>
      <c r="E139" s="9" t="s">
        <v>1082</v>
      </c>
      <c r="F139" s="9" t="s">
        <v>1083</v>
      </c>
      <c r="G139" s="1">
        <v>1222.6267</v>
      </c>
      <c r="H139" s="2">
        <v>671</v>
      </c>
      <c r="I139" s="2">
        <v>2</v>
      </c>
      <c r="J139" s="1">
        <v>1222.6593</v>
      </c>
      <c r="K139" s="1">
        <v>612.32060000000001</v>
      </c>
      <c r="L139" s="9" t="s">
        <v>1084</v>
      </c>
      <c r="M139" s="2">
        <v>6.22</v>
      </c>
      <c r="N139" s="4">
        <v>6204.87</v>
      </c>
      <c r="O139" s="1">
        <v>26.620041853891571</v>
      </c>
      <c r="P139" s="6">
        <v>34.299999999999997</v>
      </c>
      <c r="Q139" s="6">
        <v>25.9</v>
      </c>
      <c r="R139" s="6">
        <v>9.4</v>
      </c>
      <c r="S139" s="6">
        <v>10.3</v>
      </c>
      <c r="T139" s="5">
        <v>0.14000000000000001</v>
      </c>
      <c r="U139" s="1">
        <v>3.2599999999999997E-2</v>
      </c>
      <c r="V139" s="1">
        <v>2.6339000000000001</v>
      </c>
    </row>
    <row r="140" spans="1:22" x14ac:dyDescent="0.25">
      <c r="A140" s="1">
        <v>0.98970000000000002</v>
      </c>
      <c r="B140" s="9" t="s">
        <v>1085</v>
      </c>
      <c r="C140" s="2">
        <v>3662</v>
      </c>
      <c r="D140" s="3" t="s">
        <v>1086</v>
      </c>
      <c r="E140" s="9" t="s">
        <v>1087</v>
      </c>
      <c r="F140" s="9" t="s">
        <v>1088</v>
      </c>
      <c r="G140" s="1">
        <v>1907.0436999999999</v>
      </c>
      <c r="H140" s="2">
        <v>673</v>
      </c>
      <c r="I140" s="2">
        <v>3</v>
      </c>
      <c r="J140" s="1">
        <v>1907.1176</v>
      </c>
      <c r="K140" s="1">
        <v>636.68849999999998</v>
      </c>
      <c r="L140" s="9" t="s">
        <v>412</v>
      </c>
      <c r="M140" s="2">
        <v>4.8499999999999996</v>
      </c>
      <c r="N140" s="4">
        <v>6276.02</v>
      </c>
      <c r="O140" s="1">
        <v>38.689772680570371</v>
      </c>
      <c r="P140" s="6">
        <v>27.4</v>
      </c>
      <c r="Q140" s="6">
        <v>19.600000000000001</v>
      </c>
      <c r="R140" s="6">
        <v>6.4</v>
      </c>
      <c r="S140" s="6">
        <v>8.9</v>
      </c>
      <c r="T140" s="5">
        <v>3.1E-2</v>
      </c>
      <c r="U140" s="1">
        <v>7.3899999999999993E-2</v>
      </c>
      <c r="V140" s="1">
        <v>3.3601999999999999</v>
      </c>
    </row>
    <row r="141" spans="1:22" x14ac:dyDescent="0.25">
      <c r="A141" s="1">
        <v>0.95960000000000001</v>
      </c>
      <c r="B141" s="9" t="s">
        <v>1089</v>
      </c>
      <c r="C141" s="2">
        <v>3720</v>
      </c>
      <c r="D141" s="3" t="s">
        <v>1090</v>
      </c>
      <c r="E141" s="9" t="s">
        <v>1091</v>
      </c>
      <c r="F141" s="9" t="s">
        <v>1092</v>
      </c>
      <c r="G141" s="1">
        <v>1865.8526999999999</v>
      </c>
      <c r="H141" s="2">
        <v>1393</v>
      </c>
      <c r="I141" s="2">
        <v>3</v>
      </c>
      <c r="J141" s="1">
        <v>1865.5673999999999</v>
      </c>
      <c r="K141" s="1">
        <v>622.95820000000003</v>
      </c>
      <c r="L141" s="9" t="s">
        <v>1093</v>
      </c>
      <c r="M141" s="2">
        <v>3.88</v>
      </c>
      <c r="N141" s="4">
        <v>6369.67</v>
      </c>
      <c r="O141" s="1">
        <v>-152.65871771171805</v>
      </c>
      <c r="P141" s="6">
        <v>30.6</v>
      </c>
      <c r="Q141" s="6">
        <v>23.1</v>
      </c>
      <c r="R141" s="6">
        <v>11.6</v>
      </c>
      <c r="S141" s="6">
        <v>11.5</v>
      </c>
      <c r="T141" s="5">
        <v>1.7000000000000001E-2</v>
      </c>
      <c r="U141" s="1">
        <v>-0.2853</v>
      </c>
      <c r="V141" s="1">
        <v>3.5697999999999999</v>
      </c>
    </row>
    <row r="142" spans="1:22" x14ac:dyDescent="0.25">
      <c r="A142" s="1">
        <v>0.99950000000000006</v>
      </c>
      <c r="B142" s="9" t="s">
        <v>1094</v>
      </c>
      <c r="C142" s="2">
        <v>3734</v>
      </c>
      <c r="D142" s="3" t="s">
        <v>370</v>
      </c>
      <c r="E142" s="9" t="s">
        <v>1095</v>
      </c>
      <c r="F142" s="9" t="s">
        <v>1096</v>
      </c>
      <c r="G142" s="1">
        <v>1326.7697000000001</v>
      </c>
      <c r="H142" s="2">
        <v>1363</v>
      </c>
      <c r="I142" s="2">
        <v>2</v>
      </c>
      <c r="J142" s="1">
        <v>1326.78</v>
      </c>
      <c r="K142" s="1">
        <v>664.39210000000003</v>
      </c>
      <c r="L142" s="9" t="s">
        <v>1097</v>
      </c>
      <c r="M142" s="2">
        <v>9.75</v>
      </c>
      <c r="N142" s="4">
        <v>6400.82</v>
      </c>
      <c r="O142" s="1">
        <v>7.7514467736747621</v>
      </c>
      <c r="P142" s="6">
        <v>43.9</v>
      </c>
      <c r="Q142" s="6">
        <v>33.200000000000003</v>
      </c>
      <c r="R142" s="6">
        <v>12.2</v>
      </c>
      <c r="S142" s="6">
        <v>11.9</v>
      </c>
      <c r="T142" s="5">
        <v>3.3E-3</v>
      </c>
      <c r="U142" s="1">
        <v>1.03E-2</v>
      </c>
      <c r="V142" s="1">
        <v>4.3323</v>
      </c>
    </row>
    <row r="143" spans="1:22" x14ac:dyDescent="0.25">
      <c r="A143" s="1">
        <v>0.99660000000000004</v>
      </c>
      <c r="B143" s="9" t="s">
        <v>1098</v>
      </c>
      <c r="C143" s="2">
        <v>3921</v>
      </c>
      <c r="D143" s="3" t="s">
        <v>69</v>
      </c>
      <c r="E143" s="9" t="s">
        <v>1099</v>
      </c>
      <c r="F143" s="9" t="s">
        <v>1100</v>
      </c>
      <c r="G143" s="1">
        <v>1130.6406999999999</v>
      </c>
      <c r="H143" s="2">
        <v>296</v>
      </c>
      <c r="I143" s="2">
        <v>2</v>
      </c>
      <c r="J143" s="1">
        <v>1130.6676</v>
      </c>
      <c r="K143" s="1">
        <v>566.32759999999996</v>
      </c>
      <c r="L143" s="9" t="s">
        <v>1101</v>
      </c>
      <c r="M143" s="2">
        <v>6.22</v>
      </c>
      <c r="N143" s="4">
        <v>6627.42</v>
      </c>
      <c r="O143" s="1">
        <v>23.749504703637967</v>
      </c>
      <c r="P143" s="6">
        <v>40.4</v>
      </c>
      <c r="Q143" s="6">
        <v>30.5</v>
      </c>
      <c r="R143" s="6">
        <v>8.8000000000000007</v>
      </c>
      <c r="S143" s="6">
        <v>10.5</v>
      </c>
      <c r="T143" s="5">
        <v>3.2000000000000002E-3</v>
      </c>
      <c r="U143" s="1">
        <v>2.69E-2</v>
      </c>
      <c r="V143" s="1">
        <v>4.7706999999999997</v>
      </c>
    </row>
    <row r="144" spans="1:22" x14ac:dyDescent="0.25">
      <c r="A144" s="1">
        <v>0.99919999999999998</v>
      </c>
      <c r="B144" s="9" t="s">
        <v>1102</v>
      </c>
      <c r="C144" s="2">
        <v>3964</v>
      </c>
      <c r="D144" s="3" t="s">
        <v>141</v>
      </c>
      <c r="E144" s="9" t="s">
        <v>1103</v>
      </c>
      <c r="F144" s="9" t="s">
        <v>1104</v>
      </c>
      <c r="G144" s="1">
        <v>1371.7176999999999</v>
      </c>
      <c r="H144" s="2">
        <v>677</v>
      </c>
      <c r="I144" s="2">
        <v>2</v>
      </c>
      <c r="J144" s="1">
        <v>1371.7289000000001</v>
      </c>
      <c r="K144" s="1">
        <v>686.86609999999996</v>
      </c>
      <c r="L144" s="9" t="s">
        <v>1105</v>
      </c>
      <c r="M144" s="2">
        <v>6.22</v>
      </c>
      <c r="N144" s="4">
        <v>6687.92</v>
      </c>
      <c r="O144" s="1">
        <v>8.1529718820014558</v>
      </c>
      <c r="P144" s="6">
        <v>46.4</v>
      </c>
      <c r="Q144" s="6">
        <v>32.1</v>
      </c>
      <c r="R144" s="6">
        <v>12.3</v>
      </c>
      <c r="S144" s="6">
        <v>11.6</v>
      </c>
      <c r="T144" s="5">
        <v>8.2999999999999998E-5</v>
      </c>
      <c r="U144" s="1">
        <v>1.12E-2</v>
      </c>
      <c r="V144" s="1">
        <v>6.4199000000000002</v>
      </c>
    </row>
    <row r="145" spans="1:22" x14ac:dyDescent="0.25">
      <c r="A145" s="1">
        <v>0.998</v>
      </c>
      <c r="B145" s="9" t="s">
        <v>1106</v>
      </c>
      <c r="C145" s="2">
        <v>3988</v>
      </c>
      <c r="D145" s="3" t="s">
        <v>146</v>
      </c>
      <c r="E145" s="9" t="s">
        <v>1103</v>
      </c>
      <c r="F145" s="9" t="s">
        <v>1104</v>
      </c>
      <c r="G145" s="1">
        <v>1371.7176999999999</v>
      </c>
      <c r="H145" s="2">
        <v>678</v>
      </c>
      <c r="I145" s="2">
        <v>2</v>
      </c>
      <c r="J145" s="1">
        <v>1371.7516000000001</v>
      </c>
      <c r="K145" s="1">
        <v>686.86609999999996</v>
      </c>
      <c r="L145" s="9" t="s">
        <v>1105</v>
      </c>
      <c r="M145" s="2">
        <v>6.22</v>
      </c>
      <c r="N145" s="4">
        <v>6719.32</v>
      </c>
      <c r="O145" s="1">
        <v>24.677298821415121</v>
      </c>
      <c r="P145" s="6">
        <v>38.700000000000003</v>
      </c>
      <c r="Q145" s="6">
        <v>26.4</v>
      </c>
      <c r="R145" s="6">
        <v>12</v>
      </c>
      <c r="S145" s="6">
        <v>9.8000000000000007</v>
      </c>
      <c r="T145" s="5">
        <v>1.1000000000000001E-3</v>
      </c>
      <c r="U145" s="1">
        <v>3.39E-2</v>
      </c>
      <c r="V145" s="1">
        <v>5.2196999999999996</v>
      </c>
    </row>
    <row r="146" spans="1:22" x14ac:dyDescent="0.25">
      <c r="A146" s="1">
        <v>0.98270000000000002</v>
      </c>
      <c r="B146" s="9" t="s">
        <v>1107</v>
      </c>
      <c r="C146" s="2">
        <v>4268</v>
      </c>
      <c r="D146" s="3" t="s">
        <v>95</v>
      </c>
      <c r="E146" s="9" t="s">
        <v>1108</v>
      </c>
      <c r="F146" s="9" t="s">
        <v>1083</v>
      </c>
      <c r="G146" s="1">
        <v>1368.7111</v>
      </c>
      <c r="H146" s="2">
        <v>42</v>
      </c>
      <c r="I146" s="2">
        <v>2</v>
      </c>
      <c r="J146" s="1">
        <v>1368.7203</v>
      </c>
      <c r="K146" s="1">
        <v>685.36279999999999</v>
      </c>
      <c r="L146" s="9" t="s">
        <v>1084</v>
      </c>
      <c r="M146" s="2">
        <v>5.47</v>
      </c>
      <c r="N146" s="4">
        <v>7078.22</v>
      </c>
      <c r="O146" s="1">
        <v>6.711773676657093</v>
      </c>
      <c r="P146" s="6">
        <v>30.3</v>
      </c>
      <c r="Q146" s="6">
        <v>20.7</v>
      </c>
      <c r="R146" s="6">
        <v>12</v>
      </c>
      <c r="S146" s="6">
        <v>9.8000000000000007</v>
      </c>
      <c r="T146" s="5">
        <v>4.2000000000000003E-2</v>
      </c>
      <c r="U146" s="1">
        <v>9.1999999999999998E-3</v>
      </c>
      <c r="V146" s="1">
        <v>3.4578000000000002</v>
      </c>
    </row>
    <row r="147" spans="1:22" x14ac:dyDescent="0.25">
      <c r="A147" s="1">
        <v>0.99429999999999996</v>
      </c>
      <c r="B147" s="9" t="s">
        <v>1109</v>
      </c>
      <c r="C147" s="2">
        <v>5211</v>
      </c>
      <c r="D147" s="3" t="s">
        <v>702</v>
      </c>
      <c r="E147" s="9" t="s">
        <v>825</v>
      </c>
      <c r="F147" s="9" t="s">
        <v>826</v>
      </c>
      <c r="G147" s="1">
        <v>1243.6116999999999</v>
      </c>
      <c r="H147" s="2">
        <v>1119</v>
      </c>
      <c r="I147" s="2">
        <v>2</v>
      </c>
      <c r="J147" s="1">
        <v>1243.6656</v>
      </c>
      <c r="K147" s="1">
        <v>622.81309999999996</v>
      </c>
      <c r="L147" s="9" t="s">
        <v>827</v>
      </c>
      <c r="M147" s="2">
        <v>4.75</v>
      </c>
      <c r="N147" s="4">
        <v>3680.64</v>
      </c>
      <c r="O147" s="1">
        <v>43.271408388808787</v>
      </c>
      <c r="P147" s="6">
        <v>37.6</v>
      </c>
      <c r="Q147" s="6">
        <v>26.9</v>
      </c>
      <c r="R147" s="6">
        <v>12.8</v>
      </c>
      <c r="S147" s="6">
        <v>12</v>
      </c>
      <c r="T147" s="5">
        <v>2.5999999999999999E-3</v>
      </c>
      <c r="U147" s="1">
        <v>5.3900000000000003E-2</v>
      </c>
      <c r="V147" s="1">
        <v>4.6443000000000003</v>
      </c>
    </row>
    <row r="148" spans="1:22" x14ac:dyDescent="0.25">
      <c r="A148" s="1">
        <v>0.99860000000000004</v>
      </c>
      <c r="B148" s="9" t="s">
        <v>1110</v>
      </c>
      <c r="C148" s="2">
        <v>5217</v>
      </c>
      <c r="D148" s="3" t="s">
        <v>1002</v>
      </c>
      <c r="E148" s="9" t="s">
        <v>848</v>
      </c>
      <c r="F148" s="9" t="s">
        <v>112</v>
      </c>
      <c r="G148" s="1">
        <v>1253.7417</v>
      </c>
      <c r="H148" s="2">
        <v>685</v>
      </c>
      <c r="I148" s="2">
        <v>2</v>
      </c>
      <c r="J148" s="1">
        <v>1253.7503999999999</v>
      </c>
      <c r="K148" s="1">
        <v>627.87810000000002</v>
      </c>
      <c r="L148" s="9" t="s">
        <v>113</v>
      </c>
      <c r="M148" s="2">
        <v>8.59</v>
      </c>
      <c r="N148" s="4">
        <v>3892.27</v>
      </c>
      <c r="O148" s="1">
        <v>6.9280963932330168</v>
      </c>
      <c r="P148" s="6">
        <v>48.6</v>
      </c>
      <c r="Q148" s="6">
        <v>33.5</v>
      </c>
      <c r="R148" s="6">
        <v>10.4</v>
      </c>
      <c r="S148" s="6">
        <v>10.3</v>
      </c>
      <c r="T148" s="5">
        <v>8.4000000000000003E-4</v>
      </c>
      <c r="U148" s="1">
        <v>8.6999999999999994E-3</v>
      </c>
      <c r="V148" s="1">
        <v>5.5552999999999999</v>
      </c>
    </row>
    <row r="149" spans="1:22" x14ac:dyDescent="0.25">
      <c r="A149" s="1">
        <v>0.99980000000000002</v>
      </c>
      <c r="B149" s="9" t="s">
        <v>1111</v>
      </c>
      <c r="C149" s="2">
        <v>5230</v>
      </c>
      <c r="D149" s="3" t="s">
        <v>333</v>
      </c>
      <c r="E149" s="9" t="s">
        <v>289</v>
      </c>
      <c r="F149" s="9" t="s">
        <v>290</v>
      </c>
      <c r="G149" s="1">
        <v>1831.9757</v>
      </c>
      <c r="H149" s="2">
        <v>709</v>
      </c>
      <c r="I149" s="2">
        <v>3</v>
      </c>
      <c r="J149" s="1">
        <v>1832.0147999999999</v>
      </c>
      <c r="K149" s="1">
        <v>611.66579999999999</v>
      </c>
      <c r="L149" s="9" t="s">
        <v>291</v>
      </c>
      <c r="M149" s="2">
        <v>6.17</v>
      </c>
      <c r="N149" s="4">
        <v>4366.72</v>
      </c>
      <c r="O149" s="1">
        <v>21.307932098432403</v>
      </c>
      <c r="P149" s="6">
        <v>42</v>
      </c>
      <c r="Q149" s="6">
        <v>24.6</v>
      </c>
      <c r="R149" s="6">
        <v>11.6</v>
      </c>
      <c r="S149" s="6">
        <v>11.2</v>
      </c>
      <c r="T149" s="5">
        <v>1.4999999999999999E-4</v>
      </c>
      <c r="U149" s="1">
        <v>3.9100000000000003E-2</v>
      </c>
      <c r="V149" s="1">
        <v>7.1208999999999998</v>
      </c>
    </row>
    <row r="150" spans="1:22" x14ac:dyDescent="0.25">
      <c r="A150" s="1">
        <v>0.99519999999999997</v>
      </c>
      <c r="B150" s="9" t="s">
        <v>1112</v>
      </c>
      <c r="C150" s="2">
        <v>5254</v>
      </c>
      <c r="D150" s="3" t="s">
        <v>280</v>
      </c>
      <c r="E150" s="9" t="s">
        <v>494</v>
      </c>
      <c r="F150" s="9" t="s">
        <v>495</v>
      </c>
      <c r="G150" s="1">
        <v>1368.7322999999999</v>
      </c>
      <c r="H150" s="2">
        <v>690</v>
      </c>
      <c r="I150" s="2">
        <v>2</v>
      </c>
      <c r="J150" s="1">
        <v>1368.7321999999999</v>
      </c>
      <c r="K150" s="1">
        <v>685.37339999999995</v>
      </c>
      <c r="L150" s="9" t="s">
        <v>157</v>
      </c>
      <c r="M150" s="2">
        <v>4.75</v>
      </c>
      <c r="N150" s="4">
        <v>4980.07</v>
      </c>
      <c r="O150" s="1">
        <v>-7.2952933393680003E-2</v>
      </c>
      <c r="P150" s="6">
        <v>42.6</v>
      </c>
      <c r="Q150" s="6">
        <v>30.9</v>
      </c>
      <c r="R150" s="6">
        <v>12.1</v>
      </c>
      <c r="S150" s="6">
        <v>11.2</v>
      </c>
      <c r="T150" s="5">
        <v>1.9E-3</v>
      </c>
      <c r="U150" s="1">
        <v>-1E-4</v>
      </c>
      <c r="V150" s="1">
        <v>4.3993000000000002</v>
      </c>
    </row>
    <row r="151" spans="1:22" x14ac:dyDescent="0.25">
      <c r="A151" s="1">
        <v>0.96619999999999995</v>
      </c>
      <c r="B151" s="9" t="s">
        <v>1113</v>
      </c>
      <c r="C151" s="2">
        <v>5268</v>
      </c>
      <c r="D151" s="3" t="s">
        <v>1002</v>
      </c>
      <c r="E151" s="9" t="s">
        <v>1003</v>
      </c>
      <c r="F151" s="9" t="s">
        <v>1004</v>
      </c>
      <c r="G151" s="1">
        <v>1346.7380000000001</v>
      </c>
      <c r="H151" s="2">
        <v>146</v>
      </c>
      <c r="I151" s="2">
        <v>2</v>
      </c>
      <c r="J151" s="1">
        <v>1346.7374</v>
      </c>
      <c r="K151" s="1">
        <v>674.37630000000001</v>
      </c>
      <c r="L151" s="9" t="s">
        <v>1005</v>
      </c>
      <c r="M151" s="2">
        <v>8.75</v>
      </c>
      <c r="N151" s="4">
        <v>5337.82</v>
      </c>
      <c r="O151" s="1">
        <v>-0.44485549091805265</v>
      </c>
      <c r="P151" s="6">
        <v>48.3</v>
      </c>
      <c r="Q151" s="6">
        <v>38.4</v>
      </c>
      <c r="R151" s="6">
        <v>10.199999999999999</v>
      </c>
      <c r="S151" s="6">
        <v>10</v>
      </c>
      <c r="T151" s="5">
        <v>4.9000000000000002E-2</v>
      </c>
      <c r="U151" s="1">
        <v>-5.9999999999999995E-4</v>
      </c>
      <c r="V151" s="1">
        <v>2.9630000000000001</v>
      </c>
    </row>
    <row r="152" spans="1:22" x14ac:dyDescent="0.25">
      <c r="A152" s="1">
        <v>0.9899</v>
      </c>
      <c r="B152" s="9" t="s">
        <v>1114</v>
      </c>
      <c r="C152" s="2">
        <v>5273</v>
      </c>
      <c r="D152" s="3" t="s">
        <v>302</v>
      </c>
      <c r="E152" s="9" t="s">
        <v>584</v>
      </c>
      <c r="F152" s="9" t="s">
        <v>585</v>
      </c>
      <c r="G152" s="1">
        <v>1305.5736999999999</v>
      </c>
      <c r="H152" s="2">
        <v>694</v>
      </c>
      <c r="I152" s="2">
        <v>2</v>
      </c>
      <c r="J152" s="1">
        <v>1305.5856000000001</v>
      </c>
      <c r="K152" s="1">
        <v>653.79409999999996</v>
      </c>
      <c r="L152" s="9" t="s">
        <v>86</v>
      </c>
      <c r="M152" s="2">
        <v>4.71</v>
      </c>
      <c r="N152" s="4">
        <v>5457.87</v>
      </c>
      <c r="O152" s="1">
        <v>9.1007245247395172</v>
      </c>
      <c r="P152" s="6">
        <v>34.299999999999997</v>
      </c>
      <c r="Q152" s="6">
        <v>24</v>
      </c>
      <c r="R152" s="6">
        <v>10.1</v>
      </c>
      <c r="S152" s="6">
        <v>9</v>
      </c>
      <c r="T152" s="5">
        <v>3.7000000000000002E-3</v>
      </c>
      <c r="U152" s="1">
        <v>1.1900000000000001E-2</v>
      </c>
      <c r="V152" s="1">
        <v>4.5499000000000001</v>
      </c>
    </row>
    <row r="153" spans="1:22" x14ac:dyDescent="0.25">
      <c r="A153" s="1">
        <v>0.97989999999999999</v>
      </c>
      <c r="B153" s="9" t="s">
        <v>1115</v>
      </c>
      <c r="C153" s="2">
        <v>5274</v>
      </c>
      <c r="D153" s="3" t="s">
        <v>425</v>
      </c>
      <c r="E153" s="9" t="s">
        <v>1031</v>
      </c>
      <c r="F153" s="9" t="s">
        <v>1032</v>
      </c>
      <c r="G153" s="1">
        <v>1357.6985</v>
      </c>
      <c r="H153" s="2">
        <v>1129</v>
      </c>
      <c r="I153" s="2">
        <v>2</v>
      </c>
      <c r="J153" s="1">
        <v>1357.6958999999999</v>
      </c>
      <c r="K153" s="1">
        <v>679.85649999999998</v>
      </c>
      <c r="L153" s="9" t="s">
        <v>1033</v>
      </c>
      <c r="M153" s="2">
        <v>5.84</v>
      </c>
      <c r="N153" s="4">
        <v>5521.83</v>
      </c>
      <c r="O153" s="1">
        <v>-1.9121682296190445</v>
      </c>
      <c r="P153" s="6">
        <v>34.1</v>
      </c>
      <c r="Q153" s="6">
        <v>27.4</v>
      </c>
      <c r="R153" s="6">
        <v>9.1</v>
      </c>
      <c r="S153" s="6">
        <v>13.7</v>
      </c>
      <c r="T153" s="5">
        <v>0.18</v>
      </c>
      <c r="U153" s="1">
        <v>-2.5999999999999999E-3</v>
      </c>
      <c r="V153" s="1">
        <v>2.0994999999999999</v>
      </c>
    </row>
    <row r="154" spans="1:22" x14ac:dyDescent="0.25">
      <c r="A154" s="1">
        <v>0.98609999999999998</v>
      </c>
      <c r="B154" s="9" t="s">
        <v>1116</v>
      </c>
      <c r="C154" s="2">
        <v>5275</v>
      </c>
      <c r="D154" s="3" t="s">
        <v>168</v>
      </c>
      <c r="E154" s="9" t="s">
        <v>1117</v>
      </c>
      <c r="F154" s="9" t="s">
        <v>844</v>
      </c>
      <c r="G154" s="1">
        <v>2067.0747000000001</v>
      </c>
      <c r="H154" s="2">
        <v>711</v>
      </c>
      <c r="I154" s="2">
        <v>3</v>
      </c>
      <c r="J154" s="1">
        <v>2067.2002000000002</v>
      </c>
      <c r="K154" s="1">
        <v>690.03219999999999</v>
      </c>
      <c r="L154" s="9" t="s">
        <v>745</v>
      </c>
      <c r="M154" s="2">
        <v>8.59</v>
      </c>
      <c r="N154" s="4">
        <v>5564.72</v>
      </c>
      <c r="O154" s="1">
        <v>60.625190148131253</v>
      </c>
      <c r="P154" s="6">
        <v>35.4</v>
      </c>
      <c r="Q154" s="6">
        <v>27</v>
      </c>
      <c r="R154" s="6">
        <v>11.9</v>
      </c>
      <c r="S154" s="6">
        <v>10.5</v>
      </c>
      <c r="T154" s="5">
        <v>2.8000000000000001E-2</v>
      </c>
      <c r="U154" s="1">
        <v>0.1255</v>
      </c>
      <c r="V154" s="1">
        <v>3.0041000000000002</v>
      </c>
    </row>
    <row r="155" spans="1:22" x14ac:dyDescent="0.25">
      <c r="A155" s="1">
        <v>0.97330000000000005</v>
      </c>
      <c r="B155" s="9" t="s">
        <v>1118</v>
      </c>
      <c r="C155" s="2">
        <v>5276</v>
      </c>
      <c r="D155" s="3" t="s">
        <v>621</v>
      </c>
      <c r="E155" s="9" t="s">
        <v>1036</v>
      </c>
      <c r="F155" s="9" t="s">
        <v>944</v>
      </c>
      <c r="G155" s="1">
        <v>1204.6157000000001</v>
      </c>
      <c r="H155" s="2">
        <v>148</v>
      </c>
      <c r="I155" s="2">
        <v>2</v>
      </c>
      <c r="J155" s="1">
        <v>1204.6519000000001</v>
      </c>
      <c r="K155" s="1">
        <v>603.31510000000003</v>
      </c>
      <c r="L155" s="9" t="s">
        <v>945</v>
      </c>
      <c r="M155" s="2">
        <v>6.19</v>
      </c>
      <c r="N155" s="4">
        <v>5588.77</v>
      </c>
      <c r="O155" s="1">
        <v>30.000906657234339</v>
      </c>
      <c r="P155" s="6">
        <v>33</v>
      </c>
      <c r="Q155" s="6">
        <v>25.3</v>
      </c>
      <c r="R155" s="6">
        <v>7.3</v>
      </c>
      <c r="S155" s="6">
        <v>9.8000000000000007</v>
      </c>
      <c r="T155" s="5">
        <v>4.8000000000000001E-2</v>
      </c>
      <c r="U155" s="1">
        <v>3.6200000000000003E-2</v>
      </c>
      <c r="V155" s="1">
        <v>3.117</v>
      </c>
    </row>
    <row r="156" spans="1:22" x14ac:dyDescent="0.25">
      <c r="A156" s="1">
        <v>0.96870000000000001</v>
      </c>
      <c r="B156" s="9" t="s">
        <v>1119</v>
      </c>
      <c r="C156" s="2">
        <v>5278</v>
      </c>
      <c r="D156" s="3" t="s">
        <v>370</v>
      </c>
      <c r="E156" s="9" t="s">
        <v>1040</v>
      </c>
      <c r="F156" s="9" t="s">
        <v>1041</v>
      </c>
      <c r="G156" s="1">
        <v>1387.8146999999999</v>
      </c>
      <c r="H156" s="2">
        <v>695</v>
      </c>
      <c r="I156" s="2">
        <v>2</v>
      </c>
      <c r="J156" s="1">
        <v>1387.6874</v>
      </c>
      <c r="K156" s="1">
        <v>694.91459999999995</v>
      </c>
      <c r="L156" s="9" t="s">
        <v>1042</v>
      </c>
      <c r="M156" s="2">
        <v>8.59</v>
      </c>
      <c r="N156" s="4">
        <v>5610.67</v>
      </c>
      <c r="O156" s="1">
        <v>-91.593988671413726</v>
      </c>
      <c r="P156" s="6">
        <v>47.8</v>
      </c>
      <c r="Q156" s="6">
        <v>35.799999999999997</v>
      </c>
      <c r="R156" s="6">
        <v>12.1</v>
      </c>
      <c r="S156" s="6">
        <v>13.7</v>
      </c>
      <c r="T156" s="5">
        <v>0.1</v>
      </c>
      <c r="U156" s="1">
        <v>-0.1273</v>
      </c>
      <c r="V156" s="1">
        <v>2.7219000000000002</v>
      </c>
    </row>
    <row r="157" spans="1:22" x14ac:dyDescent="0.25">
      <c r="A157" s="1">
        <v>0.97709999999999997</v>
      </c>
      <c r="B157" s="9" t="s">
        <v>1120</v>
      </c>
      <c r="C157" s="2">
        <v>5280</v>
      </c>
      <c r="D157" s="3" t="s">
        <v>361</v>
      </c>
      <c r="E157" s="9" t="s">
        <v>1121</v>
      </c>
      <c r="F157" s="9" t="s">
        <v>1122</v>
      </c>
      <c r="G157" s="1">
        <v>1363.6696999999999</v>
      </c>
      <c r="H157" s="2">
        <v>696</v>
      </c>
      <c r="I157" s="2">
        <v>2</v>
      </c>
      <c r="J157" s="1">
        <v>1363.7080000000001</v>
      </c>
      <c r="K157" s="1">
        <v>682.84209999999996</v>
      </c>
      <c r="L157" s="9" t="s">
        <v>456</v>
      </c>
      <c r="M157" s="2">
        <v>4.5999999999999996</v>
      </c>
      <c r="N157" s="4">
        <v>5646.58</v>
      </c>
      <c r="O157" s="1">
        <v>28.044550855900656</v>
      </c>
      <c r="P157" s="6">
        <v>28.7</v>
      </c>
      <c r="Q157" s="6">
        <v>22</v>
      </c>
      <c r="R157" s="6">
        <v>11.3</v>
      </c>
      <c r="S157" s="6">
        <v>9.1</v>
      </c>
      <c r="T157" s="5">
        <v>2.1999999999999999E-2</v>
      </c>
      <c r="U157" s="1">
        <v>3.8300000000000001E-2</v>
      </c>
      <c r="V157" s="1">
        <v>3.2410999999999999</v>
      </c>
    </row>
    <row r="158" spans="1:22" x14ac:dyDescent="0.25">
      <c r="A158" s="1">
        <v>0.98329999999999995</v>
      </c>
      <c r="B158" s="9" t="s">
        <v>1123</v>
      </c>
      <c r="C158" s="2">
        <v>5286</v>
      </c>
      <c r="D158" s="3" t="s">
        <v>1000</v>
      </c>
      <c r="E158" s="9" t="s">
        <v>1055</v>
      </c>
      <c r="F158" s="9" t="s">
        <v>290</v>
      </c>
      <c r="G158" s="1">
        <v>1331.7007000000001</v>
      </c>
      <c r="H158" s="2">
        <v>151</v>
      </c>
      <c r="I158" s="2">
        <v>2</v>
      </c>
      <c r="J158" s="1">
        <v>1331.7197000000001</v>
      </c>
      <c r="K158" s="1">
        <v>666.85760000000005</v>
      </c>
      <c r="L158" s="9" t="s">
        <v>291</v>
      </c>
      <c r="M158" s="2">
        <v>4.75</v>
      </c>
      <c r="N158" s="4">
        <v>5845.67</v>
      </c>
      <c r="O158" s="1">
        <v>14.245919968521015</v>
      </c>
      <c r="P158" s="6">
        <v>41.2</v>
      </c>
      <c r="Q158" s="6">
        <v>30.9</v>
      </c>
      <c r="R158" s="6">
        <v>10.199999999999999</v>
      </c>
      <c r="S158" s="6">
        <v>10.5</v>
      </c>
      <c r="T158" s="5">
        <v>1.7000000000000001E-2</v>
      </c>
      <c r="U158" s="1">
        <v>1.9E-2</v>
      </c>
      <c r="V158" s="1">
        <v>3.4367000000000001</v>
      </c>
    </row>
    <row r="159" spans="1:22" x14ac:dyDescent="0.25">
      <c r="A159" s="1">
        <v>0.94820000000000004</v>
      </c>
      <c r="B159" s="9" t="s">
        <v>1124</v>
      </c>
      <c r="C159" s="2">
        <v>5287</v>
      </c>
      <c r="D159" s="3" t="s">
        <v>752</v>
      </c>
      <c r="E159" s="9" t="s">
        <v>1125</v>
      </c>
      <c r="F159" s="9" t="s">
        <v>1126</v>
      </c>
      <c r="G159" s="1">
        <v>1133.6157000000001</v>
      </c>
      <c r="H159" s="2">
        <v>152</v>
      </c>
      <c r="I159" s="2">
        <v>2</v>
      </c>
      <c r="J159" s="1">
        <v>1133.6449</v>
      </c>
      <c r="K159" s="1">
        <v>567.81510000000003</v>
      </c>
      <c r="L159" s="9" t="s">
        <v>1127</v>
      </c>
      <c r="M159" s="2">
        <v>6.22</v>
      </c>
      <c r="N159" s="4">
        <v>5845.67</v>
      </c>
      <c r="O159" s="1">
        <v>25.712595526254937</v>
      </c>
      <c r="P159" s="6">
        <v>46.1</v>
      </c>
      <c r="Q159" s="6">
        <v>36.5</v>
      </c>
      <c r="R159" s="6">
        <v>11.4</v>
      </c>
      <c r="S159" s="6">
        <v>11.1</v>
      </c>
      <c r="T159" s="5">
        <v>0.11</v>
      </c>
      <c r="U159" s="1">
        <v>2.92E-2</v>
      </c>
      <c r="V159" s="1">
        <v>2.6878000000000002</v>
      </c>
    </row>
    <row r="160" spans="1:22" x14ac:dyDescent="0.25">
      <c r="A160" s="1">
        <v>0.99470000000000003</v>
      </c>
      <c r="B160" s="9" t="s">
        <v>1128</v>
      </c>
      <c r="C160" s="2">
        <v>5288</v>
      </c>
      <c r="D160" s="3" t="s">
        <v>702</v>
      </c>
      <c r="E160" s="9" t="s">
        <v>1058</v>
      </c>
      <c r="F160" s="9" t="s">
        <v>1059</v>
      </c>
      <c r="G160" s="1">
        <v>1375.6327000000001</v>
      </c>
      <c r="H160" s="2">
        <v>697</v>
      </c>
      <c r="I160" s="2">
        <v>2</v>
      </c>
      <c r="J160" s="1">
        <v>1375.6486</v>
      </c>
      <c r="K160" s="1">
        <v>688.82360000000006</v>
      </c>
      <c r="L160" s="9" t="s">
        <v>1060</v>
      </c>
      <c r="M160" s="2">
        <v>4.3099999999999996</v>
      </c>
      <c r="N160" s="4">
        <v>5883.17</v>
      </c>
      <c r="O160" s="1">
        <v>11.541416409077739</v>
      </c>
      <c r="P160" s="6">
        <v>33.4</v>
      </c>
      <c r="Q160" s="6">
        <v>22.4</v>
      </c>
      <c r="R160" s="6">
        <v>7.7</v>
      </c>
      <c r="S160" s="6">
        <v>9.9</v>
      </c>
      <c r="T160" s="5">
        <v>1.4E-3</v>
      </c>
      <c r="U160" s="1">
        <v>1.5900000000000001E-2</v>
      </c>
      <c r="V160" s="1">
        <v>5.1589</v>
      </c>
    </row>
    <row r="161" spans="1:22" x14ac:dyDescent="0.25">
      <c r="A161" s="1">
        <v>0.98780000000000001</v>
      </c>
      <c r="B161" s="9" t="s">
        <v>1129</v>
      </c>
      <c r="C161" s="2">
        <v>5294</v>
      </c>
      <c r="D161" s="3" t="s">
        <v>154</v>
      </c>
      <c r="E161" s="9" t="s">
        <v>643</v>
      </c>
      <c r="F161" s="9" t="s">
        <v>623</v>
      </c>
      <c r="G161" s="1">
        <v>1204.6777</v>
      </c>
      <c r="H161" s="2">
        <v>154</v>
      </c>
      <c r="I161" s="2">
        <v>2</v>
      </c>
      <c r="J161" s="1">
        <v>1204.7109</v>
      </c>
      <c r="K161" s="1">
        <v>603.34609999999998</v>
      </c>
      <c r="L161" s="9" t="s">
        <v>412</v>
      </c>
      <c r="M161" s="2">
        <v>6.22</v>
      </c>
      <c r="N161" s="4">
        <v>6025.07</v>
      </c>
      <c r="O161" s="1">
        <v>27.513229968669727</v>
      </c>
      <c r="P161" s="6">
        <v>36.5</v>
      </c>
      <c r="Q161" s="6">
        <v>27</v>
      </c>
      <c r="R161" s="6">
        <v>11.1</v>
      </c>
      <c r="S161" s="6">
        <v>11.6</v>
      </c>
      <c r="T161" s="5">
        <v>0.03</v>
      </c>
      <c r="U161" s="1">
        <v>3.32E-2</v>
      </c>
      <c r="V161" s="1">
        <v>3.6583000000000001</v>
      </c>
    </row>
    <row r="162" spans="1:22" x14ac:dyDescent="0.25">
      <c r="A162" s="1">
        <v>0.99880000000000002</v>
      </c>
      <c r="B162" s="9" t="s">
        <v>1130</v>
      </c>
      <c r="C162" s="2">
        <v>5306</v>
      </c>
      <c r="D162" s="3" t="s">
        <v>370</v>
      </c>
      <c r="E162" s="9" t="s">
        <v>1095</v>
      </c>
      <c r="F162" s="9" t="s">
        <v>1131</v>
      </c>
      <c r="G162" s="1">
        <v>1326.7697000000001</v>
      </c>
      <c r="H162" s="2">
        <v>1132</v>
      </c>
      <c r="I162" s="2">
        <v>2</v>
      </c>
      <c r="J162" s="1">
        <v>1326.5454999999999</v>
      </c>
      <c r="K162" s="1">
        <v>664.39210000000003</v>
      </c>
      <c r="L162" s="9" t="s">
        <v>1097</v>
      </c>
      <c r="M162" s="2">
        <v>9.75</v>
      </c>
      <c r="N162" s="4">
        <v>6382.12</v>
      </c>
      <c r="O162" s="1">
        <v>-168.72566666581375</v>
      </c>
      <c r="P162" s="6">
        <v>43.4</v>
      </c>
      <c r="Q162" s="6">
        <v>31.1</v>
      </c>
      <c r="R162" s="6">
        <v>12</v>
      </c>
      <c r="S162" s="6">
        <v>11.2</v>
      </c>
      <c r="T162" s="5">
        <v>1.2999999999999999E-2</v>
      </c>
      <c r="U162" s="1">
        <v>-0.22420000000000001</v>
      </c>
      <c r="V162" s="1">
        <v>3.8622999999999998</v>
      </c>
    </row>
    <row r="163" spans="1:22" x14ac:dyDescent="0.25">
      <c r="A163" s="1">
        <v>0.99509999999999998</v>
      </c>
      <c r="B163" s="9" t="s">
        <v>1132</v>
      </c>
      <c r="C163" s="2">
        <v>1777</v>
      </c>
      <c r="D163" s="3" t="s">
        <v>451</v>
      </c>
      <c r="E163" s="9" t="s">
        <v>1133</v>
      </c>
      <c r="F163" s="9" t="s">
        <v>247</v>
      </c>
      <c r="G163" s="1">
        <v>1594.6747</v>
      </c>
      <c r="H163" s="2">
        <v>714</v>
      </c>
      <c r="I163" s="2">
        <v>2</v>
      </c>
      <c r="J163" s="1">
        <v>1594.6737000000001</v>
      </c>
      <c r="K163" s="1">
        <v>798.34460000000001</v>
      </c>
      <c r="L163" s="9" t="s">
        <v>248</v>
      </c>
      <c r="M163" s="2">
        <v>4.51</v>
      </c>
      <c r="N163" s="4">
        <v>1864.99</v>
      </c>
      <c r="O163" s="1">
        <v>-0.62629596292127487</v>
      </c>
      <c r="P163" s="6">
        <v>30</v>
      </c>
      <c r="Q163" s="6">
        <v>20.3</v>
      </c>
      <c r="R163" s="6">
        <v>6.1</v>
      </c>
      <c r="S163" s="6">
        <v>5.7</v>
      </c>
      <c r="T163" s="5">
        <v>1E-3</v>
      </c>
      <c r="U163" s="1">
        <v>-1E-3</v>
      </c>
      <c r="V163" s="1">
        <v>4.7365000000000004</v>
      </c>
    </row>
    <row r="164" spans="1:22" x14ac:dyDescent="0.25">
      <c r="A164" s="1">
        <v>0.99690000000000001</v>
      </c>
      <c r="B164" s="9" t="s">
        <v>1134</v>
      </c>
      <c r="C164" s="2">
        <v>1805</v>
      </c>
      <c r="D164" s="3" t="s">
        <v>270</v>
      </c>
      <c r="E164" s="9" t="s">
        <v>1135</v>
      </c>
      <c r="F164" s="9" t="s">
        <v>1136</v>
      </c>
      <c r="G164" s="1">
        <v>1687.8677</v>
      </c>
      <c r="H164" s="2">
        <v>715</v>
      </c>
      <c r="I164" s="2">
        <v>2</v>
      </c>
      <c r="J164" s="1">
        <v>1687.8810000000001</v>
      </c>
      <c r="K164" s="1">
        <v>844.94110000000001</v>
      </c>
      <c r="L164" s="9" t="s">
        <v>1137</v>
      </c>
      <c r="M164" s="2">
        <v>9.99</v>
      </c>
      <c r="N164" s="4">
        <v>1896.45</v>
      </c>
      <c r="O164" s="1">
        <v>7.8703710826707329</v>
      </c>
      <c r="P164" s="6">
        <v>43.4</v>
      </c>
      <c r="Q164" s="6">
        <v>27.4</v>
      </c>
      <c r="R164" s="6">
        <v>10.1</v>
      </c>
      <c r="S164" s="6">
        <v>10.8</v>
      </c>
      <c r="T164" s="5">
        <v>1.4E-3</v>
      </c>
      <c r="U164" s="1">
        <v>1.3299999999999999E-2</v>
      </c>
      <c r="V164" s="1">
        <v>4.7865000000000002</v>
      </c>
    </row>
    <row r="165" spans="1:22" x14ac:dyDescent="0.25">
      <c r="A165" s="1">
        <v>0.99880000000000002</v>
      </c>
      <c r="B165" s="9" t="s">
        <v>1138</v>
      </c>
      <c r="C165" s="2">
        <v>1855</v>
      </c>
      <c r="D165" s="3" t="s">
        <v>311</v>
      </c>
      <c r="E165" s="9" t="s">
        <v>1139</v>
      </c>
      <c r="F165" s="9" t="s">
        <v>1140</v>
      </c>
      <c r="G165" s="1">
        <v>1432.6947</v>
      </c>
      <c r="H165" s="2">
        <v>324</v>
      </c>
      <c r="I165" s="2">
        <v>2</v>
      </c>
      <c r="J165" s="1">
        <v>1432.4828</v>
      </c>
      <c r="K165" s="1">
        <v>717.3546</v>
      </c>
      <c r="L165" s="9" t="s">
        <v>745</v>
      </c>
      <c r="M165" s="2">
        <v>5.51</v>
      </c>
      <c r="N165" s="4">
        <v>1954.1</v>
      </c>
      <c r="O165" s="1">
        <v>-147.69543542342936</v>
      </c>
      <c r="P165" s="6">
        <v>32.1</v>
      </c>
      <c r="Q165" s="6">
        <v>19.2</v>
      </c>
      <c r="R165" s="6">
        <v>4.7</v>
      </c>
      <c r="S165" s="6">
        <v>7.9</v>
      </c>
      <c r="T165" s="5">
        <v>3.2000000000000002E-3</v>
      </c>
      <c r="U165" s="1">
        <v>-0.21190000000000001</v>
      </c>
      <c r="V165" s="1">
        <v>4.9095000000000004</v>
      </c>
    </row>
    <row r="166" spans="1:22" x14ac:dyDescent="0.25">
      <c r="A166" s="1">
        <v>0.99980000000000002</v>
      </c>
      <c r="B166" s="9" t="s">
        <v>1141</v>
      </c>
      <c r="C166" s="2">
        <v>2036</v>
      </c>
      <c r="D166" s="3" t="s">
        <v>451</v>
      </c>
      <c r="E166" s="9" t="s">
        <v>1142</v>
      </c>
      <c r="F166" s="9" t="s">
        <v>1143</v>
      </c>
      <c r="G166" s="1">
        <v>1498.6324</v>
      </c>
      <c r="H166" s="2">
        <v>327</v>
      </c>
      <c r="I166" s="2">
        <v>2</v>
      </c>
      <c r="J166" s="1">
        <v>1498.624</v>
      </c>
      <c r="K166" s="1">
        <v>750.32349999999997</v>
      </c>
      <c r="L166" s="9" t="s">
        <v>64</v>
      </c>
      <c r="M166" s="2">
        <v>4.63</v>
      </c>
      <c r="N166" s="4">
        <v>2169.65</v>
      </c>
      <c r="O166" s="1">
        <v>-5.5975855747554224</v>
      </c>
      <c r="P166" s="6">
        <v>35</v>
      </c>
      <c r="Q166" s="6">
        <v>17.899999999999999</v>
      </c>
      <c r="R166" s="6">
        <v>11.1</v>
      </c>
      <c r="S166" s="6">
        <v>10</v>
      </c>
      <c r="T166" s="5">
        <v>2.7999999999999999E-6</v>
      </c>
      <c r="U166" s="1">
        <v>-8.3999999999999995E-3</v>
      </c>
      <c r="V166" s="1">
        <v>7.9566999999999997</v>
      </c>
    </row>
    <row r="167" spans="1:22" x14ac:dyDescent="0.25">
      <c r="A167" s="1">
        <v>0.99960000000000004</v>
      </c>
      <c r="B167" s="9" t="s">
        <v>1144</v>
      </c>
      <c r="C167" s="2">
        <v>2101</v>
      </c>
      <c r="D167" s="3" t="s">
        <v>1145</v>
      </c>
      <c r="E167" s="9" t="s">
        <v>62</v>
      </c>
      <c r="F167" s="9" t="s">
        <v>1146</v>
      </c>
      <c r="G167" s="1">
        <v>1674.7746999999999</v>
      </c>
      <c r="H167" s="2">
        <v>717</v>
      </c>
      <c r="I167" s="2">
        <v>2</v>
      </c>
      <c r="J167" s="1">
        <v>1674.8044</v>
      </c>
      <c r="K167" s="1">
        <v>838.39459999999997</v>
      </c>
      <c r="L167" s="9" t="s">
        <v>714</v>
      </c>
      <c r="M167" s="2">
        <v>6.76</v>
      </c>
      <c r="N167" s="4">
        <v>2267.5</v>
      </c>
      <c r="O167" s="1">
        <v>17.712423243184055</v>
      </c>
      <c r="P167" s="6">
        <v>39.9</v>
      </c>
      <c r="Q167" s="6">
        <v>21.4</v>
      </c>
      <c r="R167" s="6">
        <v>5.7</v>
      </c>
      <c r="S167" s="6">
        <v>5.0999999999999996</v>
      </c>
      <c r="T167" s="5">
        <v>3.9000000000000002E-7</v>
      </c>
      <c r="U167" s="1">
        <v>2.9700000000000001E-2</v>
      </c>
      <c r="V167" s="1">
        <v>8.4118999999999993</v>
      </c>
    </row>
    <row r="168" spans="1:22" x14ac:dyDescent="0.25">
      <c r="A168" s="1">
        <v>0.98670000000000002</v>
      </c>
      <c r="B168" s="9" t="s">
        <v>1147</v>
      </c>
      <c r="C168" s="2">
        <v>2102</v>
      </c>
      <c r="D168" s="3" t="s">
        <v>1148</v>
      </c>
      <c r="E168" s="9" t="s">
        <v>1149</v>
      </c>
      <c r="F168" s="9" t="s">
        <v>1150</v>
      </c>
      <c r="G168" s="1">
        <v>1473.6637000000001</v>
      </c>
      <c r="H168" s="2">
        <v>484</v>
      </c>
      <c r="I168" s="2">
        <v>2</v>
      </c>
      <c r="J168" s="1">
        <v>1473.6856</v>
      </c>
      <c r="K168" s="1">
        <v>737.83910000000003</v>
      </c>
      <c r="L168" s="9" t="s">
        <v>1151</v>
      </c>
      <c r="M168" s="2">
        <v>6.78</v>
      </c>
      <c r="N168" s="4">
        <v>2267.5</v>
      </c>
      <c r="O168" s="1">
        <v>14.840633953933859</v>
      </c>
      <c r="P168" s="6">
        <v>25</v>
      </c>
      <c r="Q168" s="6">
        <v>18.5</v>
      </c>
      <c r="R168" s="6">
        <v>9.9</v>
      </c>
      <c r="S168" s="6">
        <v>11.9</v>
      </c>
      <c r="T168" s="5">
        <v>6.1999999999999998E-3</v>
      </c>
      <c r="U168" s="1">
        <v>2.1899999999999999E-2</v>
      </c>
      <c r="V168" s="1">
        <v>3.6855000000000002</v>
      </c>
    </row>
    <row r="169" spans="1:22" x14ac:dyDescent="0.25">
      <c r="A169" s="1">
        <v>0.97809999999999997</v>
      </c>
      <c r="B169" s="9" t="s">
        <v>1152</v>
      </c>
      <c r="C169" s="2">
        <v>2109</v>
      </c>
      <c r="D169" s="3" t="s">
        <v>316</v>
      </c>
      <c r="E169" s="9" t="s">
        <v>1153</v>
      </c>
      <c r="F169" s="9" t="s">
        <v>672</v>
      </c>
      <c r="G169" s="1">
        <v>1661.9016999999999</v>
      </c>
      <c r="H169" s="2">
        <v>718</v>
      </c>
      <c r="I169" s="2">
        <v>2</v>
      </c>
      <c r="J169" s="1">
        <v>1661.954</v>
      </c>
      <c r="K169" s="1">
        <v>831.95809999999994</v>
      </c>
      <c r="L169" s="9" t="s">
        <v>673</v>
      </c>
      <c r="M169" s="2">
        <v>9.6999999999999993</v>
      </c>
      <c r="N169" s="4">
        <v>2284.3000000000002</v>
      </c>
      <c r="O169" s="1">
        <v>31.431871388715372</v>
      </c>
      <c r="P169" s="6">
        <v>36.5</v>
      </c>
      <c r="Q169" s="6">
        <v>36.5</v>
      </c>
      <c r="R169" s="6">
        <v>9.6</v>
      </c>
      <c r="S169" s="6">
        <v>8.3000000000000007</v>
      </c>
      <c r="T169" s="5">
        <v>2.5999999999999999E-3</v>
      </c>
      <c r="U169" s="1">
        <v>5.2299999999999999E-2</v>
      </c>
      <c r="V169" s="1">
        <v>2.9453</v>
      </c>
    </row>
    <row r="170" spans="1:22" x14ac:dyDescent="0.25">
      <c r="A170" s="1">
        <v>0.97040000000000004</v>
      </c>
      <c r="B170" s="9" t="s">
        <v>1154</v>
      </c>
      <c r="C170" s="2">
        <v>2150</v>
      </c>
      <c r="D170" s="3" t="s">
        <v>389</v>
      </c>
      <c r="E170" s="9" t="s">
        <v>1155</v>
      </c>
      <c r="F170" s="9" t="s">
        <v>1156</v>
      </c>
      <c r="G170" s="1">
        <v>1616.7427</v>
      </c>
      <c r="H170" s="2">
        <v>1025</v>
      </c>
      <c r="I170" s="2">
        <v>2</v>
      </c>
      <c r="J170" s="1">
        <v>1616.7937999999999</v>
      </c>
      <c r="K170" s="1">
        <v>809.37860000000001</v>
      </c>
      <c r="L170" s="9" t="s">
        <v>1157</v>
      </c>
      <c r="M170" s="2">
        <v>4.71</v>
      </c>
      <c r="N170" s="4">
        <v>2374.5500000000002</v>
      </c>
      <c r="O170" s="1">
        <v>31.567427159551787</v>
      </c>
      <c r="P170" s="6">
        <v>25.6</v>
      </c>
      <c r="Q170" s="6">
        <v>17.7</v>
      </c>
      <c r="R170" s="6">
        <v>8.1</v>
      </c>
      <c r="S170" s="6">
        <v>6.5</v>
      </c>
      <c r="T170" s="5">
        <v>1.4999999999999999E-2</v>
      </c>
      <c r="U170" s="1">
        <v>5.11E-2</v>
      </c>
      <c r="V170" s="1">
        <v>3.4098000000000002</v>
      </c>
    </row>
    <row r="171" spans="1:22" x14ac:dyDescent="0.25">
      <c r="A171" s="1">
        <v>0.99950000000000006</v>
      </c>
      <c r="B171" s="9" t="s">
        <v>1158</v>
      </c>
      <c r="C171" s="2">
        <v>2165</v>
      </c>
      <c r="D171" s="3" t="s">
        <v>278</v>
      </c>
      <c r="E171" s="9" t="s">
        <v>1159</v>
      </c>
      <c r="F171" s="9" t="s">
        <v>304</v>
      </c>
      <c r="G171" s="1">
        <v>1679.7427</v>
      </c>
      <c r="H171" s="2">
        <v>1015</v>
      </c>
      <c r="I171" s="2">
        <v>2</v>
      </c>
      <c r="J171" s="1">
        <v>1679.7653</v>
      </c>
      <c r="K171" s="1">
        <v>840.87860000000001</v>
      </c>
      <c r="L171" s="9" t="s">
        <v>118</v>
      </c>
      <c r="M171" s="2">
        <v>8.06</v>
      </c>
      <c r="N171" s="4">
        <v>2411.04</v>
      </c>
      <c r="O171" s="1">
        <v>13.438325104242157</v>
      </c>
      <c r="P171" s="6">
        <v>50</v>
      </c>
      <c r="Q171" s="6">
        <v>26.2</v>
      </c>
      <c r="R171" s="6">
        <v>11.8</v>
      </c>
      <c r="S171" s="6">
        <v>11.6</v>
      </c>
      <c r="T171" s="5">
        <v>5.2E-7</v>
      </c>
      <c r="U171" s="1">
        <v>2.2599999999999999E-2</v>
      </c>
      <c r="V171" s="1">
        <v>8.6228999999999996</v>
      </c>
    </row>
    <row r="172" spans="1:22" x14ac:dyDescent="0.25">
      <c r="A172" s="1">
        <v>0.99970000000000003</v>
      </c>
      <c r="B172" s="9" t="s">
        <v>1160</v>
      </c>
      <c r="C172" s="2">
        <v>2172</v>
      </c>
      <c r="D172" s="3" t="s">
        <v>146</v>
      </c>
      <c r="E172" s="9" t="s">
        <v>724</v>
      </c>
      <c r="F172" s="9" t="s">
        <v>647</v>
      </c>
      <c r="G172" s="1">
        <v>1439.85</v>
      </c>
      <c r="H172" s="2">
        <v>163</v>
      </c>
      <c r="I172" s="2">
        <v>2</v>
      </c>
      <c r="J172" s="1">
        <v>1439.8513</v>
      </c>
      <c r="K172" s="1">
        <v>720.93230000000005</v>
      </c>
      <c r="L172" s="9" t="s">
        <v>118</v>
      </c>
      <c r="M172" s="2">
        <v>8.48</v>
      </c>
      <c r="N172" s="4">
        <v>2422.5</v>
      </c>
      <c r="O172" s="1">
        <v>0.90161031764008892</v>
      </c>
      <c r="P172" s="6">
        <v>39.6</v>
      </c>
      <c r="Q172" s="6">
        <v>25.1</v>
      </c>
      <c r="R172" s="6">
        <v>5.4</v>
      </c>
      <c r="S172" s="6">
        <v>10.1</v>
      </c>
      <c r="T172" s="5">
        <v>5.3000000000000001E-5</v>
      </c>
      <c r="U172" s="1">
        <v>1.2999999999999999E-3</v>
      </c>
      <c r="V172" s="1">
        <v>6.9158999999999997</v>
      </c>
    </row>
    <row r="173" spans="1:22" x14ac:dyDescent="0.25">
      <c r="A173" s="1">
        <v>0.99990000000000001</v>
      </c>
      <c r="B173" s="9" t="s">
        <v>1161</v>
      </c>
      <c r="C173" s="2">
        <v>2177</v>
      </c>
      <c r="D173" s="3" t="s">
        <v>370</v>
      </c>
      <c r="E173" s="9" t="s">
        <v>724</v>
      </c>
      <c r="F173" s="9" t="s">
        <v>647</v>
      </c>
      <c r="G173" s="1">
        <v>1439.8497</v>
      </c>
      <c r="H173" s="2">
        <v>329</v>
      </c>
      <c r="I173" s="2">
        <v>2</v>
      </c>
      <c r="J173" s="1">
        <v>1439.6056000000001</v>
      </c>
      <c r="K173" s="1">
        <v>720.93209999999999</v>
      </c>
      <c r="L173" s="9" t="s">
        <v>118</v>
      </c>
      <c r="M173" s="2">
        <v>8.48</v>
      </c>
      <c r="N173" s="4">
        <v>2440.2399999999998</v>
      </c>
      <c r="O173" s="1">
        <v>-169.29472276237945</v>
      </c>
      <c r="P173" s="6">
        <v>42.3</v>
      </c>
      <c r="Q173" s="6">
        <v>20.6</v>
      </c>
      <c r="R173" s="6">
        <v>5</v>
      </c>
      <c r="S173" s="6">
        <v>8.6</v>
      </c>
      <c r="T173" s="5">
        <v>7.6000000000000001E-6</v>
      </c>
      <c r="U173" s="1">
        <v>-0.24410000000000001</v>
      </c>
      <c r="V173" s="1">
        <v>8.5612999999999992</v>
      </c>
    </row>
    <row r="174" spans="1:22" x14ac:dyDescent="0.25">
      <c r="A174" s="1">
        <v>0.99809999999999999</v>
      </c>
      <c r="B174" s="9" t="s">
        <v>1162</v>
      </c>
      <c r="C174" s="2">
        <v>2178</v>
      </c>
      <c r="D174" s="3" t="s">
        <v>178</v>
      </c>
      <c r="E174" s="9" t="s">
        <v>1163</v>
      </c>
      <c r="F174" s="9" t="s">
        <v>1164</v>
      </c>
      <c r="G174" s="1">
        <v>1543.6396999999999</v>
      </c>
      <c r="H174" s="2">
        <v>720</v>
      </c>
      <c r="I174" s="2">
        <v>2</v>
      </c>
      <c r="J174" s="1">
        <v>1543.6937</v>
      </c>
      <c r="K174" s="1">
        <v>772.82709999999997</v>
      </c>
      <c r="L174" s="9" t="s">
        <v>1165</v>
      </c>
      <c r="M174" s="2">
        <v>6.13</v>
      </c>
      <c r="N174" s="4">
        <v>2437.09</v>
      </c>
      <c r="O174" s="1">
        <v>34.93666306473984</v>
      </c>
      <c r="P174" s="6">
        <v>42.6</v>
      </c>
      <c r="Q174" s="6">
        <v>25.6</v>
      </c>
      <c r="R174" s="6">
        <v>9.4</v>
      </c>
      <c r="S174" s="6">
        <v>10.199999999999999</v>
      </c>
      <c r="T174" s="5">
        <v>6.9999999999999994E-5</v>
      </c>
      <c r="U174" s="1">
        <v>5.3999999999999999E-2</v>
      </c>
      <c r="V174" s="1">
        <v>6.4162999999999997</v>
      </c>
    </row>
    <row r="175" spans="1:22" x14ac:dyDescent="0.25">
      <c r="A175" s="1">
        <v>0.99829999999999997</v>
      </c>
      <c r="B175" s="9" t="s">
        <v>1166</v>
      </c>
      <c r="C175" s="2">
        <v>2197</v>
      </c>
      <c r="D175" s="3" t="s">
        <v>280</v>
      </c>
      <c r="E175" s="9" t="s">
        <v>1167</v>
      </c>
      <c r="F175" s="9" t="s">
        <v>176</v>
      </c>
      <c r="G175" s="1">
        <v>1414.6337000000001</v>
      </c>
      <c r="H175" s="2">
        <v>330</v>
      </c>
      <c r="I175" s="2">
        <v>2</v>
      </c>
      <c r="J175" s="1">
        <v>1414.6894</v>
      </c>
      <c r="K175" s="1">
        <v>708.32410000000004</v>
      </c>
      <c r="L175" s="9" t="s">
        <v>118</v>
      </c>
      <c r="M175" s="2">
        <v>6.76</v>
      </c>
      <c r="N175" s="4">
        <v>2486.2399999999998</v>
      </c>
      <c r="O175" s="1">
        <v>39.31815958259785</v>
      </c>
      <c r="P175" s="6">
        <v>39.799999999999997</v>
      </c>
      <c r="Q175" s="6">
        <v>27.2</v>
      </c>
      <c r="R175" s="6">
        <v>9</v>
      </c>
      <c r="S175" s="6">
        <v>8.4</v>
      </c>
      <c r="T175" s="5">
        <v>3.5E-4</v>
      </c>
      <c r="U175" s="1">
        <v>5.57E-2</v>
      </c>
      <c r="V175" s="1">
        <v>5.3361000000000001</v>
      </c>
    </row>
    <row r="176" spans="1:22" x14ac:dyDescent="0.25">
      <c r="A176" s="1">
        <v>0.99619999999999997</v>
      </c>
      <c r="B176" s="9" t="s">
        <v>1168</v>
      </c>
      <c r="C176" s="2">
        <v>2213</v>
      </c>
      <c r="D176" s="3" t="s">
        <v>550</v>
      </c>
      <c r="E176" s="9" t="s">
        <v>1169</v>
      </c>
      <c r="F176" s="9" t="s">
        <v>1170</v>
      </c>
      <c r="G176" s="1">
        <v>1760.8367000000001</v>
      </c>
      <c r="H176" s="2">
        <v>490</v>
      </c>
      <c r="I176" s="2">
        <v>2</v>
      </c>
      <c r="J176" s="1">
        <v>1760.8576</v>
      </c>
      <c r="K176" s="1">
        <v>881.42560000000003</v>
      </c>
      <c r="L176" s="9" t="s">
        <v>1171</v>
      </c>
      <c r="M176" s="2">
        <v>6.25</v>
      </c>
      <c r="N176" s="4">
        <v>2519.59</v>
      </c>
      <c r="O176" s="1">
        <v>11.85579361434476</v>
      </c>
      <c r="P176" s="6">
        <v>32.799999999999997</v>
      </c>
      <c r="Q176" s="6">
        <v>21.1</v>
      </c>
      <c r="R176" s="6">
        <v>10.5</v>
      </c>
      <c r="S176" s="6">
        <v>11.9</v>
      </c>
      <c r="T176" s="5">
        <v>9.1000000000000003E-5</v>
      </c>
      <c r="U176" s="1">
        <v>2.0899999999999998E-2</v>
      </c>
      <c r="V176" s="1">
        <v>5.5487000000000002</v>
      </c>
    </row>
    <row r="177" spans="1:22" x14ac:dyDescent="0.25">
      <c r="A177" s="1">
        <v>0.99450000000000005</v>
      </c>
      <c r="B177" s="9" t="s">
        <v>1172</v>
      </c>
      <c r="C177" s="2">
        <v>2221</v>
      </c>
      <c r="D177" s="3" t="s">
        <v>988</v>
      </c>
      <c r="E177" s="9" t="s">
        <v>1173</v>
      </c>
      <c r="F177" s="9" t="s">
        <v>1068</v>
      </c>
      <c r="G177" s="1">
        <v>1394.5297</v>
      </c>
      <c r="H177" s="2">
        <v>1402</v>
      </c>
      <c r="I177" s="2">
        <v>2</v>
      </c>
      <c r="J177" s="1">
        <v>1394.6768999999999</v>
      </c>
      <c r="K177" s="1">
        <v>698.27210000000002</v>
      </c>
      <c r="L177" s="9" t="s">
        <v>1069</v>
      </c>
      <c r="M177" s="2">
        <v>4.22</v>
      </c>
      <c r="N177" s="4">
        <v>2544.7399999999998</v>
      </c>
      <c r="O177" s="1">
        <v>105.40303701093026</v>
      </c>
      <c r="P177" s="6">
        <v>28.7</v>
      </c>
      <c r="Q177" s="6">
        <v>21.6</v>
      </c>
      <c r="R177" s="6">
        <v>0</v>
      </c>
      <c r="S177" s="6">
        <v>10.3</v>
      </c>
      <c r="T177" s="5">
        <v>0.1</v>
      </c>
      <c r="U177" s="1">
        <v>0.1472</v>
      </c>
      <c r="V177" s="1">
        <v>2.7042000000000002</v>
      </c>
    </row>
    <row r="178" spans="1:22" x14ac:dyDescent="0.25">
      <c r="A178" s="1">
        <v>1</v>
      </c>
      <c r="B178" s="9" t="s">
        <v>1174</v>
      </c>
      <c r="C178" s="2">
        <v>2221</v>
      </c>
      <c r="D178" s="3" t="s">
        <v>1175</v>
      </c>
      <c r="E178" s="9" t="s">
        <v>1176</v>
      </c>
      <c r="F178" s="9" t="s">
        <v>1068</v>
      </c>
      <c r="G178" s="1">
        <v>2091.9387000000002</v>
      </c>
      <c r="H178" s="2">
        <v>1491</v>
      </c>
      <c r="I178" s="2">
        <v>3</v>
      </c>
      <c r="J178" s="1">
        <v>2092.0153</v>
      </c>
      <c r="K178" s="1">
        <v>698.3202</v>
      </c>
      <c r="L178" s="9" t="s">
        <v>1069</v>
      </c>
      <c r="M178" s="2">
        <v>4.53</v>
      </c>
      <c r="N178" s="4">
        <v>2544.7399999999998</v>
      </c>
      <c r="O178" s="1">
        <v>36.563933469679576</v>
      </c>
      <c r="P178" s="6">
        <v>42.7</v>
      </c>
      <c r="Q178" s="6">
        <v>26.4</v>
      </c>
      <c r="R178" s="6">
        <v>10.199999999999999</v>
      </c>
      <c r="S178" s="6">
        <v>11</v>
      </c>
      <c r="T178" s="5">
        <v>1.0000000000000001E-5</v>
      </c>
      <c r="U178" s="1">
        <v>7.6600000000000001E-2</v>
      </c>
      <c r="V178" s="1">
        <v>7.4268000000000001</v>
      </c>
    </row>
    <row r="179" spans="1:22" x14ac:dyDescent="0.25">
      <c r="A179" s="1">
        <v>0.99009999999999998</v>
      </c>
      <c r="B179" s="9" t="s">
        <v>1177</v>
      </c>
      <c r="C179" s="2">
        <v>2225</v>
      </c>
      <c r="D179" s="3" t="s">
        <v>451</v>
      </c>
      <c r="E179" s="9" t="s">
        <v>1178</v>
      </c>
      <c r="F179" s="9" t="s">
        <v>1179</v>
      </c>
      <c r="G179" s="1">
        <v>1485.6667</v>
      </c>
      <c r="H179" s="2">
        <v>1145</v>
      </c>
      <c r="I179" s="2">
        <v>2</v>
      </c>
      <c r="J179" s="1">
        <v>1485.7014999999999</v>
      </c>
      <c r="K179" s="1">
        <v>743.84059999999999</v>
      </c>
      <c r="L179" s="9" t="s">
        <v>1180</v>
      </c>
      <c r="M179" s="2">
        <v>5.99</v>
      </c>
      <c r="N179" s="4">
        <v>2548.9</v>
      </c>
      <c r="O179" s="1">
        <v>23.392108470551349</v>
      </c>
      <c r="P179" s="6">
        <v>35.4</v>
      </c>
      <c r="Q179" s="6">
        <v>23.8</v>
      </c>
      <c r="R179" s="6">
        <v>10.6</v>
      </c>
      <c r="S179" s="6">
        <v>11.5</v>
      </c>
      <c r="T179" s="5">
        <v>3.8999999999999998E-3</v>
      </c>
      <c r="U179" s="1">
        <v>3.4799999999999998E-2</v>
      </c>
      <c r="V179" s="1">
        <v>4.1730999999999998</v>
      </c>
    </row>
    <row r="180" spans="1:22" x14ac:dyDescent="0.25">
      <c r="A180" s="1">
        <v>0.99060000000000004</v>
      </c>
      <c r="B180" s="9" t="s">
        <v>1181</v>
      </c>
      <c r="C180" s="2">
        <v>2235</v>
      </c>
      <c r="D180" s="3" t="s">
        <v>568</v>
      </c>
      <c r="E180" s="9" t="s">
        <v>1182</v>
      </c>
      <c r="F180" s="9" t="s">
        <v>1183</v>
      </c>
      <c r="G180" s="1">
        <v>1601.8487</v>
      </c>
      <c r="H180" s="2">
        <v>722</v>
      </c>
      <c r="I180" s="2">
        <v>2</v>
      </c>
      <c r="J180" s="1">
        <v>1601.8580999999999</v>
      </c>
      <c r="K180" s="1">
        <v>801.9316</v>
      </c>
      <c r="L180" s="9" t="s">
        <v>1184</v>
      </c>
      <c r="M180" s="2">
        <v>6.28</v>
      </c>
      <c r="N180" s="4">
        <v>2574.9899999999998</v>
      </c>
      <c r="O180" s="1">
        <v>5.8608489801374581</v>
      </c>
      <c r="P180" s="6">
        <v>35.1</v>
      </c>
      <c r="Q180" s="6">
        <v>22.9</v>
      </c>
      <c r="R180" s="6">
        <v>11.1</v>
      </c>
      <c r="S180" s="6">
        <v>13.1</v>
      </c>
      <c r="T180" s="5">
        <v>9.7000000000000003E-3</v>
      </c>
      <c r="U180" s="1">
        <v>9.4000000000000004E-3</v>
      </c>
      <c r="V180" s="1">
        <v>3.8685999999999998</v>
      </c>
    </row>
    <row r="181" spans="1:22" x14ac:dyDescent="0.25">
      <c r="A181" s="1">
        <v>0.99860000000000004</v>
      </c>
      <c r="B181" s="9" t="s">
        <v>1185</v>
      </c>
      <c r="C181" s="2">
        <v>2279</v>
      </c>
      <c r="D181" s="3" t="s">
        <v>370</v>
      </c>
      <c r="E181" s="9" t="s">
        <v>1186</v>
      </c>
      <c r="F181" s="9" t="s">
        <v>97</v>
      </c>
      <c r="G181" s="1">
        <v>1394.7843</v>
      </c>
      <c r="H181" s="2">
        <v>724</v>
      </c>
      <c r="I181" s="2">
        <v>2</v>
      </c>
      <c r="J181" s="1">
        <v>1394.7849000000001</v>
      </c>
      <c r="K181" s="1">
        <v>698.39940000000001</v>
      </c>
      <c r="L181" s="9" t="s">
        <v>98</v>
      </c>
      <c r="M181" s="2">
        <v>9.52</v>
      </c>
      <c r="N181" s="4">
        <v>2681.4</v>
      </c>
      <c r="O181" s="1">
        <v>0.42955363363714222</v>
      </c>
      <c r="P181" s="6">
        <v>42.2</v>
      </c>
      <c r="Q181" s="6">
        <v>26</v>
      </c>
      <c r="R181" s="6">
        <v>10</v>
      </c>
      <c r="S181" s="6">
        <v>10.7</v>
      </c>
      <c r="T181" s="5">
        <v>3.2000000000000002E-3</v>
      </c>
      <c r="U181" s="1">
        <v>5.9999999999999995E-4</v>
      </c>
      <c r="V181" s="1">
        <v>5.0232000000000001</v>
      </c>
    </row>
    <row r="182" spans="1:22" x14ac:dyDescent="0.25">
      <c r="A182" s="1">
        <v>0.999</v>
      </c>
      <c r="B182" s="9" t="s">
        <v>1187</v>
      </c>
      <c r="C182" s="2">
        <v>2289</v>
      </c>
      <c r="D182" s="3" t="s">
        <v>1188</v>
      </c>
      <c r="E182" s="9" t="s">
        <v>1189</v>
      </c>
      <c r="F182" s="9" t="s">
        <v>1190</v>
      </c>
      <c r="G182" s="1">
        <v>2294.0086999999999</v>
      </c>
      <c r="H182" s="2">
        <v>1408</v>
      </c>
      <c r="I182" s="2">
        <v>2</v>
      </c>
      <c r="J182" s="1">
        <v>2294.0237000000002</v>
      </c>
      <c r="K182" s="1">
        <v>1148.0116</v>
      </c>
      <c r="L182" s="9" t="s">
        <v>1191</v>
      </c>
      <c r="M182" s="2">
        <v>4.5</v>
      </c>
      <c r="N182" s="4">
        <v>2709.89</v>
      </c>
      <c r="O182" s="1">
        <v>6.5330350320501989</v>
      </c>
      <c r="P182" s="6">
        <v>44.8</v>
      </c>
      <c r="Q182" s="6">
        <v>26.6</v>
      </c>
      <c r="R182" s="6">
        <v>8.4</v>
      </c>
      <c r="S182" s="6">
        <v>12.9</v>
      </c>
      <c r="T182" s="5">
        <v>5.4999999999999999E-6</v>
      </c>
      <c r="U182" s="1">
        <v>1.4999999999999999E-2</v>
      </c>
      <c r="V182" s="1">
        <v>6.4992999999999999</v>
      </c>
    </row>
    <row r="183" spans="1:22" x14ac:dyDescent="0.25">
      <c r="A183" s="1">
        <v>0.99909999999999999</v>
      </c>
      <c r="B183" s="9" t="s">
        <v>1192</v>
      </c>
      <c r="C183" s="2">
        <v>2309</v>
      </c>
      <c r="D183" s="3" t="s">
        <v>630</v>
      </c>
      <c r="E183" s="9" t="s">
        <v>1193</v>
      </c>
      <c r="F183" s="9" t="s">
        <v>1194</v>
      </c>
      <c r="G183" s="1">
        <v>1615.7877000000001</v>
      </c>
      <c r="H183" s="2">
        <v>332</v>
      </c>
      <c r="I183" s="2">
        <v>2</v>
      </c>
      <c r="J183" s="1">
        <v>1615.8030000000001</v>
      </c>
      <c r="K183" s="1">
        <v>808.90110000000004</v>
      </c>
      <c r="L183" s="9" t="s">
        <v>827</v>
      </c>
      <c r="M183" s="2">
        <v>6.26</v>
      </c>
      <c r="N183" s="4">
        <v>2757.94</v>
      </c>
      <c r="O183" s="1">
        <v>9.4572748139420248</v>
      </c>
      <c r="P183" s="6">
        <v>38.9</v>
      </c>
      <c r="Q183" s="6">
        <v>23.7</v>
      </c>
      <c r="R183" s="6">
        <v>11.6</v>
      </c>
      <c r="S183" s="6">
        <v>10</v>
      </c>
      <c r="T183" s="5">
        <v>6.0000000000000002E-5</v>
      </c>
      <c r="U183" s="1">
        <v>1.5299999999999999E-2</v>
      </c>
      <c r="V183" s="1">
        <v>6.0301999999999998</v>
      </c>
    </row>
    <row r="184" spans="1:22" x14ac:dyDescent="0.25">
      <c r="A184" s="1">
        <v>0.96940000000000004</v>
      </c>
      <c r="B184" s="9" t="s">
        <v>1195</v>
      </c>
      <c r="C184" s="2">
        <v>2319</v>
      </c>
      <c r="D184" s="3" t="s">
        <v>425</v>
      </c>
      <c r="E184" s="9" t="s">
        <v>1196</v>
      </c>
      <c r="F184" s="9" t="s">
        <v>340</v>
      </c>
      <c r="G184" s="1">
        <v>1456.6406999999999</v>
      </c>
      <c r="H184" s="2">
        <v>727</v>
      </c>
      <c r="I184" s="2">
        <v>2</v>
      </c>
      <c r="J184" s="1">
        <v>1456.6701</v>
      </c>
      <c r="K184" s="1">
        <v>729.32759999999996</v>
      </c>
      <c r="L184" s="9" t="s">
        <v>341</v>
      </c>
      <c r="M184" s="2">
        <v>8.59</v>
      </c>
      <c r="N184" s="4">
        <v>2776.69</v>
      </c>
      <c r="O184" s="1">
        <v>20.155551497022739</v>
      </c>
      <c r="P184" s="6">
        <v>27.6</v>
      </c>
      <c r="Q184" s="6">
        <v>19.5</v>
      </c>
      <c r="R184" s="6">
        <v>5.2</v>
      </c>
      <c r="S184" s="6">
        <v>6.6</v>
      </c>
      <c r="T184" s="5">
        <v>0.12</v>
      </c>
      <c r="U184" s="1">
        <v>2.9399999999999999E-2</v>
      </c>
      <c r="V184" s="1">
        <v>2.7347999999999999</v>
      </c>
    </row>
    <row r="185" spans="1:22" x14ac:dyDescent="0.25">
      <c r="A185" s="1">
        <v>0.99819999999999998</v>
      </c>
      <c r="B185" s="9" t="s">
        <v>1197</v>
      </c>
      <c r="C185" s="2">
        <v>2327</v>
      </c>
      <c r="D185" s="3" t="s">
        <v>280</v>
      </c>
      <c r="E185" s="9" t="s">
        <v>1198</v>
      </c>
      <c r="F185" s="9" t="s">
        <v>1199</v>
      </c>
      <c r="G185" s="1">
        <v>1450.6337000000001</v>
      </c>
      <c r="H185" s="2">
        <v>1151</v>
      </c>
      <c r="I185" s="2">
        <v>2</v>
      </c>
      <c r="J185" s="1">
        <v>1450.6790000000001</v>
      </c>
      <c r="K185" s="1">
        <v>726.32410000000004</v>
      </c>
      <c r="L185" s="9" t="s">
        <v>1200</v>
      </c>
      <c r="M185" s="2">
        <v>5.95</v>
      </c>
      <c r="N185" s="4">
        <v>2798.59</v>
      </c>
      <c r="O185" s="1">
        <v>31.184425795591803</v>
      </c>
      <c r="P185" s="6">
        <v>42.6</v>
      </c>
      <c r="Q185" s="6">
        <v>27.7</v>
      </c>
      <c r="R185" s="6">
        <v>10.3</v>
      </c>
      <c r="S185" s="6">
        <v>12.2</v>
      </c>
      <c r="T185" s="5">
        <v>1.4999999999999999E-4</v>
      </c>
      <c r="U185" s="1">
        <v>4.53E-2</v>
      </c>
      <c r="V185" s="1">
        <v>5.8593999999999999</v>
      </c>
    </row>
    <row r="186" spans="1:22" x14ac:dyDescent="0.25">
      <c r="A186" s="1">
        <v>0.99870000000000003</v>
      </c>
      <c r="B186" s="9" t="s">
        <v>1201</v>
      </c>
      <c r="C186" s="2">
        <v>2372</v>
      </c>
      <c r="D186" s="3" t="s">
        <v>278</v>
      </c>
      <c r="E186" s="9" t="s">
        <v>1202</v>
      </c>
      <c r="F186" s="9" t="s">
        <v>363</v>
      </c>
      <c r="G186" s="1">
        <v>1545.8077000000001</v>
      </c>
      <c r="H186" s="2">
        <v>1410</v>
      </c>
      <c r="I186" s="2">
        <v>2</v>
      </c>
      <c r="J186" s="1">
        <v>1545.819</v>
      </c>
      <c r="K186" s="1">
        <v>773.91110000000003</v>
      </c>
      <c r="L186" s="9" t="s">
        <v>364</v>
      </c>
      <c r="M186" s="2">
        <v>8.59</v>
      </c>
      <c r="N186" s="4">
        <v>2911.29</v>
      </c>
      <c r="O186" s="1">
        <v>7.3005801312321266</v>
      </c>
      <c r="P186" s="6">
        <v>48.8</v>
      </c>
      <c r="Q186" s="6">
        <v>30.3</v>
      </c>
      <c r="R186" s="6">
        <v>9.3000000000000007</v>
      </c>
      <c r="S186" s="6">
        <v>11.2</v>
      </c>
      <c r="T186" s="5">
        <v>6.0999999999999999E-5</v>
      </c>
      <c r="U186" s="1">
        <v>1.1299999999999999E-2</v>
      </c>
      <c r="V186" s="1">
        <v>6.1710000000000003</v>
      </c>
    </row>
    <row r="187" spans="1:22" x14ac:dyDescent="0.25">
      <c r="A187" s="1">
        <v>0.99319999999999997</v>
      </c>
      <c r="B187" s="9" t="s">
        <v>1203</v>
      </c>
      <c r="C187" s="2">
        <v>2382</v>
      </c>
      <c r="D187" s="3" t="s">
        <v>95</v>
      </c>
      <c r="E187" s="9" t="s">
        <v>1204</v>
      </c>
      <c r="F187" s="9" t="s">
        <v>1205</v>
      </c>
      <c r="G187" s="1">
        <v>1428.7646999999999</v>
      </c>
      <c r="H187" s="2">
        <v>492</v>
      </c>
      <c r="I187" s="2">
        <v>2</v>
      </c>
      <c r="J187" s="1">
        <v>1428.7789</v>
      </c>
      <c r="K187" s="1">
        <v>715.38959999999997</v>
      </c>
      <c r="L187" s="9" t="s">
        <v>1206</v>
      </c>
      <c r="M187" s="2">
        <v>8.59</v>
      </c>
      <c r="N187" s="4">
        <v>2930.04</v>
      </c>
      <c r="O187" s="1">
        <v>9.9246620303118771</v>
      </c>
      <c r="P187" s="6">
        <v>32.799999999999997</v>
      </c>
      <c r="Q187" s="6">
        <v>23.6</v>
      </c>
      <c r="R187" s="6">
        <v>8.6999999999999993</v>
      </c>
      <c r="S187" s="6">
        <v>13</v>
      </c>
      <c r="T187" s="5">
        <v>6.1000000000000004E-3</v>
      </c>
      <c r="U187" s="1">
        <v>1.4200000000000001E-2</v>
      </c>
      <c r="V187" s="1">
        <v>4.2131999999999996</v>
      </c>
    </row>
    <row r="188" spans="1:22" x14ac:dyDescent="0.25">
      <c r="A188" s="1">
        <v>0.99670000000000003</v>
      </c>
      <c r="B188" s="9" t="s">
        <v>1207</v>
      </c>
      <c r="C188" s="2">
        <v>2388</v>
      </c>
      <c r="D188" s="3" t="s">
        <v>522</v>
      </c>
      <c r="E188" s="9" t="s">
        <v>1208</v>
      </c>
      <c r="F188" s="9" t="s">
        <v>176</v>
      </c>
      <c r="G188" s="1">
        <v>1756.8236999999999</v>
      </c>
      <c r="H188" s="2">
        <v>733</v>
      </c>
      <c r="I188" s="2">
        <v>2</v>
      </c>
      <c r="J188" s="1">
        <v>1756.8492000000001</v>
      </c>
      <c r="K188" s="1">
        <v>879.41909999999996</v>
      </c>
      <c r="L188" s="9" t="s">
        <v>118</v>
      </c>
      <c r="M188" s="2">
        <v>6.73</v>
      </c>
      <c r="N188" s="4">
        <v>2944.64</v>
      </c>
      <c r="O188" s="1">
        <v>14.498206827666126</v>
      </c>
      <c r="P188" s="6">
        <v>39.1</v>
      </c>
      <c r="Q188" s="6">
        <v>23.9</v>
      </c>
      <c r="R188" s="6">
        <v>12.1</v>
      </c>
      <c r="S188" s="6">
        <v>9.1</v>
      </c>
      <c r="T188" s="5">
        <v>1E-3</v>
      </c>
      <c r="U188" s="1">
        <v>2.5499999999999998E-2</v>
      </c>
      <c r="V188" s="1">
        <v>4.7180999999999997</v>
      </c>
    </row>
    <row r="189" spans="1:22" x14ac:dyDescent="0.25">
      <c r="A189" s="1">
        <v>0.99</v>
      </c>
      <c r="B189" s="9" t="s">
        <v>1209</v>
      </c>
      <c r="C189" s="2">
        <v>2426</v>
      </c>
      <c r="D189" s="3" t="s">
        <v>520</v>
      </c>
      <c r="E189" s="9" t="s">
        <v>1210</v>
      </c>
      <c r="F189" s="9" t="s">
        <v>1211</v>
      </c>
      <c r="G189" s="1">
        <v>1401.6777</v>
      </c>
      <c r="H189" s="2">
        <v>335</v>
      </c>
      <c r="I189" s="2">
        <v>2</v>
      </c>
      <c r="J189" s="1">
        <v>1401.7101</v>
      </c>
      <c r="K189" s="1">
        <v>701.84609999999998</v>
      </c>
      <c r="L189" s="9" t="s">
        <v>412</v>
      </c>
      <c r="M189" s="2">
        <v>4.71</v>
      </c>
      <c r="N189" s="4">
        <v>3042.79</v>
      </c>
      <c r="O189" s="1">
        <v>23.081983357889996</v>
      </c>
      <c r="P189" s="6">
        <v>32.4</v>
      </c>
      <c r="Q189" s="6">
        <v>22.1</v>
      </c>
      <c r="R189" s="6">
        <v>10.1</v>
      </c>
      <c r="S189" s="6">
        <v>11.3</v>
      </c>
      <c r="T189" s="5">
        <v>7.7999999999999996E-3</v>
      </c>
      <c r="U189" s="1">
        <v>3.2399999999999998E-2</v>
      </c>
      <c r="V189" s="1">
        <v>3.9645999999999999</v>
      </c>
    </row>
    <row r="190" spans="1:22" x14ac:dyDescent="0.25">
      <c r="A190" s="1">
        <v>0.9909</v>
      </c>
      <c r="B190" s="9" t="s">
        <v>1212</v>
      </c>
      <c r="C190" s="2">
        <v>2427</v>
      </c>
      <c r="D190" s="3" t="s">
        <v>270</v>
      </c>
      <c r="E190" s="9" t="s">
        <v>1213</v>
      </c>
      <c r="F190" s="9" t="s">
        <v>1214</v>
      </c>
      <c r="G190" s="1">
        <v>1536.7827</v>
      </c>
      <c r="H190" s="2">
        <v>1157</v>
      </c>
      <c r="I190" s="2">
        <v>2</v>
      </c>
      <c r="J190" s="1">
        <v>1536.7564</v>
      </c>
      <c r="K190" s="1">
        <v>769.39859999999999</v>
      </c>
      <c r="L190" s="9" t="s">
        <v>1215</v>
      </c>
      <c r="M190" s="2">
        <v>12</v>
      </c>
      <c r="N190" s="4">
        <v>3039.64</v>
      </c>
      <c r="O190" s="1">
        <v>-17.091271026487444</v>
      </c>
      <c r="P190" s="6">
        <v>42.9</v>
      </c>
      <c r="Q190" s="6">
        <v>36</v>
      </c>
      <c r="R190" s="6">
        <v>11.1</v>
      </c>
      <c r="S190" s="6">
        <v>12.7</v>
      </c>
      <c r="T190" s="5">
        <v>6.3000000000000003E-4</v>
      </c>
      <c r="U190" s="1">
        <v>-2.63E-2</v>
      </c>
      <c r="V190" s="1">
        <v>4.2392000000000003</v>
      </c>
    </row>
    <row r="191" spans="1:22" x14ac:dyDescent="0.25">
      <c r="A191" s="1">
        <v>0.99909999999999999</v>
      </c>
      <c r="B191" s="9" t="s">
        <v>1216</v>
      </c>
      <c r="C191" s="2">
        <v>2441</v>
      </c>
      <c r="D191" s="3" t="s">
        <v>469</v>
      </c>
      <c r="E191" s="9" t="s">
        <v>1217</v>
      </c>
      <c r="F191" s="9" t="s">
        <v>508</v>
      </c>
      <c r="G191" s="1">
        <v>2142.1397000000002</v>
      </c>
      <c r="H191" s="2">
        <v>736</v>
      </c>
      <c r="I191" s="2">
        <v>3</v>
      </c>
      <c r="J191" s="1">
        <v>2142.1923000000002</v>
      </c>
      <c r="K191" s="1">
        <v>715.05380000000002</v>
      </c>
      <c r="L191" s="9" t="s">
        <v>509</v>
      </c>
      <c r="M191" s="2">
        <v>8.43</v>
      </c>
      <c r="N191" s="4">
        <v>3076.19</v>
      </c>
      <c r="O191" s="1">
        <v>24.520299498210253</v>
      </c>
      <c r="P191" s="6">
        <v>37.700000000000003</v>
      </c>
      <c r="Q191" s="6">
        <v>24</v>
      </c>
      <c r="R191" s="6">
        <v>12</v>
      </c>
      <c r="S191" s="6">
        <v>9.8000000000000007</v>
      </c>
      <c r="T191" s="5">
        <v>1.9000000000000001E-4</v>
      </c>
      <c r="U191" s="1">
        <v>5.2600000000000001E-2</v>
      </c>
      <c r="V191" s="1">
        <v>6.1191000000000004</v>
      </c>
    </row>
    <row r="192" spans="1:22" x14ac:dyDescent="0.25">
      <c r="A192" s="1">
        <v>0.99709999999999999</v>
      </c>
      <c r="B192" s="9" t="s">
        <v>1218</v>
      </c>
      <c r="C192" s="2">
        <v>2472</v>
      </c>
      <c r="D192" s="3" t="s">
        <v>311</v>
      </c>
      <c r="E192" s="9" t="s">
        <v>1219</v>
      </c>
      <c r="F192" s="9" t="s">
        <v>1220</v>
      </c>
      <c r="G192" s="1">
        <v>1412.6968999999999</v>
      </c>
      <c r="H192" s="2">
        <v>51</v>
      </c>
      <c r="I192" s="2">
        <v>2</v>
      </c>
      <c r="J192" s="1">
        <v>1412.6965</v>
      </c>
      <c r="K192" s="1">
        <v>707.35569999999996</v>
      </c>
      <c r="L192" s="9" t="s">
        <v>1221</v>
      </c>
      <c r="M192" s="2">
        <v>5.55</v>
      </c>
      <c r="N192" s="4">
        <v>3149.39</v>
      </c>
      <c r="O192" s="1">
        <v>-0.28274317998709847</v>
      </c>
      <c r="P192" s="6">
        <v>38</v>
      </c>
      <c r="Q192" s="6">
        <v>26.4</v>
      </c>
      <c r="R192" s="6">
        <v>12.1</v>
      </c>
      <c r="S192" s="6">
        <v>10.3</v>
      </c>
      <c r="T192" s="5">
        <v>8.9999999999999998E-4</v>
      </c>
      <c r="U192" s="1">
        <v>-4.0000000000000002E-4</v>
      </c>
      <c r="V192" s="1">
        <v>5.0491999999999999</v>
      </c>
    </row>
    <row r="193" spans="1:22" x14ac:dyDescent="0.25">
      <c r="A193" s="1">
        <v>0.99909999999999999</v>
      </c>
      <c r="B193" s="9" t="s">
        <v>1222</v>
      </c>
      <c r="C193" s="2">
        <v>2501</v>
      </c>
      <c r="D193" s="2" t="s">
        <v>522</v>
      </c>
      <c r="E193" s="9" t="s">
        <v>1223</v>
      </c>
      <c r="F193" s="9" t="s">
        <v>1224</v>
      </c>
      <c r="G193" s="1">
        <v>1717.7807</v>
      </c>
      <c r="H193" s="2">
        <v>336</v>
      </c>
      <c r="I193" s="2">
        <v>2</v>
      </c>
      <c r="J193" s="1">
        <v>1717.7663</v>
      </c>
      <c r="K193" s="1">
        <v>859.89760000000001</v>
      </c>
      <c r="L193" s="9" t="s">
        <v>1225</v>
      </c>
      <c r="M193" s="2">
        <v>6.76</v>
      </c>
      <c r="N193" s="4">
        <v>3225.94</v>
      </c>
      <c r="O193" s="1">
        <v>-8.3730900051354951</v>
      </c>
      <c r="P193" s="6">
        <v>36.799999999999997</v>
      </c>
      <c r="Q193" s="6">
        <v>22.1</v>
      </c>
      <c r="R193" s="6">
        <v>9.1999999999999993</v>
      </c>
      <c r="S193" s="6">
        <v>9.6</v>
      </c>
      <c r="T193" s="5">
        <v>4.6E-5</v>
      </c>
      <c r="U193" s="1">
        <v>-1.44E-2</v>
      </c>
      <c r="V193" s="1">
        <v>5.9926000000000004</v>
      </c>
    </row>
    <row r="194" spans="1:22" x14ac:dyDescent="0.25">
      <c r="A194" s="1">
        <v>0.99539999999999995</v>
      </c>
      <c r="B194" s="9" t="s">
        <v>1226</v>
      </c>
      <c r="C194" s="2">
        <v>2508</v>
      </c>
      <c r="D194" s="2" t="s">
        <v>331</v>
      </c>
      <c r="E194" s="9" t="s">
        <v>1227</v>
      </c>
      <c r="F194" s="9" t="s">
        <v>781</v>
      </c>
      <c r="G194" s="1">
        <v>1565.6057000000001</v>
      </c>
      <c r="H194" s="2">
        <v>1165</v>
      </c>
      <c r="I194" s="2">
        <v>2</v>
      </c>
      <c r="J194" s="1">
        <v>1565.6423</v>
      </c>
      <c r="K194" s="1">
        <v>783.81010000000003</v>
      </c>
      <c r="L194" s="9" t="s">
        <v>782</v>
      </c>
      <c r="M194" s="2">
        <v>5.49</v>
      </c>
      <c r="N194" s="4">
        <v>3237.44</v>
      </c>
      <c r="O194" s="1">
        <v>23.347491949899599</v>
      </c>
      <c r="P194" s="6">
        <v>38</v>
      </c>
      <c r="Q194" s="6">
        <v>27.1</v>
      </c>
      <c r="R194" s="6">
        <v>9.4</v>
      </c>
      <c r="S194" s="6">
        <v>11.2</v>
      </c>
      <c r="T194" s="5">
        <v>1.1999999999999999E-3</v>
      </c>
      <c r="U194" s="1">
        <v>3.6600000000000001E-2</v>
      </c>
      <c r="V194" s="1">
        <v>4.8311999999999999</v>
      </c>
    </row>
    <row r="195" spans="1:22" x14ac:dyDescent="0.25">
      <c r="A195" s="1">
        <v>0.98540000000000005</v>
      </c>
      <c r="B195" s="9" t="s">
        <v>1228</v>
      </c>
      <c r="C195" s="2">
        <v>2513</v>
      </c>
      <c r="D195" s="2" t="s">
        <v>1229</v>
      </c>
      <c r="E195" s="9" t="s">
        <v>1230</v>
      </c>
      <c r="F195" s="9" t="s">
        <v>304</v>
      </c>
      <c r="G195" s="1">
        <v>1792.827</v>
      </c>
      <c r="H195" s="2">
        <v>52</v>
      </c>
      <c r="I195" s="2">
        <v>2</v>
      </c>
      <c r="J195" s="1">
        <v>1792.8202000000001</v>
      </c>
      <c r="K195" s="1">
        <v>897.42079999999999</v>
      </c>
      <c r="L195" s="9" t="s">
        <v>118</v>
      </c>
      <c r="M195" s="2">
        <v>8.06</v>
      </c>
      <c r="N195" s="4">
        <v>3252.14</v>
      </c>
      <c r="O195" s="1">
        <v>-3.7886351642395626</v>
      </c>
      <c r="P195" s="6">
        <v>25.4</v>
      </c>
      <c r="Q195" s="6">
        <v>17.7</v>
      </c>
      <c r="R195" s="6">
        <v>10.199999999999999</v>
      </c>
      <c r="S195" s="6">
        <v>10.4</v>
      </c>
      <c r="T195" s="5">
        <v>9.2999999999999992E-3</v>
      </c>
      <c r="U195" s="1">
        <v>-6.7999999999999996E-3</v>
      </c>
      <c r="V195" s="1">
        <v>3.5848</v>
      </c>
    </row>
    <row r="196" spans="1:22" x14ac:dyDescent="0.25">
      <c r="A196" s="1">
        <v>0.99199999999999999</v>
      </c>
      <c r="B196" s="9" t="s">
        <v>1231</v>
      </c>
      <c r="C196" s="2">
        <v>2516</v>
      </c>
      <c r="D196" s="2" t="s">
        <v>361</v>
      </c>
      <c r="E196" s="9" t="s">
        <v>1232</v>
      </c>
      <c r="F196" s="9" t="s">
        <v>1233</v>
      </c>
      <c r="G196" s="1">
        <v>1513.6537000000001</v>
      </c>
      <c r="H196" s="2">
        <v>497</v>
      </c>
      <c r="I196" s="2">
        <v>2</v>
      </c>
      <c r="J196" s="1">
        <v>1513.6782000000001</v>
      </c>
      <c r="K196" s="1">
        <v>757.83410000000003</v>
      </c>
      <c r="L196" s="9" t="s">
        <v>1234</v>
      </c>
      <c r="M196" s="2">
        <v>4.8499999999999996</v>
      </c>
      <c r="N196" s="4">
        <v>3259.49</v>
      </c>
      <c r="O196" s="1">
        <v>16.164487715715087</v>
      </c>
      <c r="P196" s="6">
        <v>32</v>
      </c>
      <c r="Q196" s="6">
        <v>23.6</v>
      </c>
      <c r="R196" s="6">
        <v>11</v>
      </c>
      <c r="S196" s="6">
        <v>11.3</v>
      </c>
      <c r="T196" s="5">
        <v>1.1000000000000001E-3</v>
      </c>
      <c r="U196" s="1">
        <v>2.4500000000000001E-2</v>
      </c>
      <c r="V196" s="1">
        <v>4.7590000000000003</v>
      </c>
    </row>
    <row r="197" spans="1:22" x14ac:dyDescent="0.25">
      <c r="A197" s="1">
        <v>0.99809999999999999</v>
      </c>
      <c r="B197" s="9" t="s">
        <v>1235</v>
      </c>
      <c r="C197" s="2">
        <v>2523</v>
      </c>
      <c r="D197" s="2" t="s">
        <v>1236</v>
      </c>
      <c r="E197" s="9" t="s">
        <v>169</v>
      </c>
      <c r="F197" s="9" t="s">
        <v>170</v>
      </c>
      <c r="G197" s="1">
        <v>1967.8860999999999</v>
      </c>
      <c r="H197" s="2">
        <v>989</v>
      </c>
      <c r="I197" s="2">
        <v>2</v>
      </c>
      <c r="J197" s="1">
        <v>1967.8946000000001</v>
      </c>
      <c r="K197" s="1">
        <v>984.95029999999997</v>
      </c>
      <c r="L197" s="9" t="s">
        <v>64</v>
      </c>
      <c r="M197" s="2">
        <v>4.3099999999999996</v>
      </c>
      <c r="N197" s="4">
        <v>3280.49</v>
      </c>
      <c r="O197" s="1">
        <v>4.3149385304009762</v>
      </c>
      <c r="P197" s="6">
        <v>34.5</v>
      </c>
      <c r="Q197" s="6">
        <v>17.5</v>
      </c>
      <c r="R197" s="6">
        <v>10.4</v>
      </c>
      <c r="S197" s="6">
        <v>5.5</v>
      </c>
      <c r="T197" s="5">
        <v>1.1E-4</v>
      </c>
      <c r="U197" s="1">
        <v>8.5000000000000006E-3</v>
      </c>
      <c r="V197" s="1">
        <v>5.6958000000000002</v>
      </c>
    </row>
    <row r="198" spans="1:22" x14ac:dyDescent="0.25">
      <c r="A198" s="1">
        <v>0.99709999999999999</v>
      </c>
      <c r="B198" s="9" t="s">
        <v>1237</v>
      </c>
      <c r="C198" s="2">
        <v>2556</v>
      </c>
      <c r="D198" s="2" t="s">
        <v>78</v>
      </c>
      <c r="E198" s="9" t="s">
        <v>1238</v>
      </c>
      <c r="F198" s="9" t="s">
        <v>1239</v>
      </c>
      <c r="G198" s="1">
        <v>1416.6226999999999</v>
      </c>
      <c r="H198" s="2">
        <v>1167</v>
      </c>
      <c r="I198" s="2">
        <v>2</v>
      </c>
      <c r="J198" s="1">
        <v>1416.6678999999999</v>
      </c>
      <c r="K198" s="1">
        <v>709.31859999999995</v>
      </c>
      <c r="L198" s="9" t="s">
        <v>1240</v>
      </c>
      <c r="M198" s="2">
        <v>4.54</v>
      </c>
      <c r="N198" s="4">
        <v>3355.04</v>
      </c>
      <c r="O198" s="1">
        <v>31.861564041884705</v>
      </c>
      <c r="P198" s="6">
        <v>37.200000000000003</v>
      </c>
      <c r="Q198" s="6">
        <v>24.1</v>
      </c>
      <c r="R198" s="6">
        <v>9.1999999999999993</v>
      </c>
      <c r="S198" s="6">
        <v>9.4</v>
      </c>
      <c r="T198" s="5">
        <v>2.0999999999999999E-3</v>
      </c>
      <c r="U198" s="1">
        <v>4.5199999999999997E-2</v>
      </c>
      <c r="V198" s="1">
        <v>5.3014000000000001</v>
      </c>
    </row>
    <row r="199" spans="1:22" x14ac:dyDescent="0.25">
      <c r="A199" s="1">
        <v>0.99819999999999998</v>
      </c>
      <c r="B199" s="9" t="s">
        <v>1241</v>
      </c>
      <c r="C199" s="2">
        <v>2558</v>
      </c>
      <c r="D199" s="2" t="s">
        <v>115</v>
      </c>
      <c r="E199" s="9" t="s">
        <v>1242</v>
      </c>
      <c r="F199" s="9" t="s">
        <v>1243</v>
      </c>
      <c r="G199" s="1">
        <v>1619.8228999999999</v>
      </c>
      <c r="H199" s="2">
        <v>741</v>
      </c>
      <c r="I199" s="2">
        <v>2</v>
      </c>
      <c r="J199" s="1">
        <v>1619.8262999999999</v>
      </c>
      <c r="K199" s="1">
        <v>810.91869999999994</v>
      </c>
      <c r="L199" s="9" t="s">
        <v>1244</v>
      </c>
      <c r="M199" s="2">
        <v>6.24</v>
      </c>
      <c r="N199" s="4">
        <v>3362.39</v>
      </c>
      <c r="O199" s="1">
        <v>2.0963877143294392</v>
      </c>
      <c r="P199" s="6">
        <v>51.5</v>
      </c>
      <c r="Q199" s="6">
        <v>35.9</v>
      </c>
      <c r="R199" s="6">
        <v>4.8</v>
      </c>
      <c r="S199" s="6">
        <v>13.7</v>
      </c>
      <c r="T199" s="5">
        <v>3.1E-4</v>
      </c>
      <c r="U199" s="1">
        <v>3.3999999999999998E-3</v>
      </c>
      <c r="V199" s="1">
        <v>5.3292999999999999</v>
      </c>
    </row>
    <row r="200" spans="1:22" x14ac:dyDescent="0.25">
      <c r="A200" s="1">
        <v>0.99929999999999997</v>
      </c>
      <c r="B200" s="9" t="s">
        <v>1245</v>
      </c>
      <c r="C200" s="2">
        <v>2567</v>
      </c>
      <c r="D200" s="2" t="s">
        <v>1246</v>
      </c>
      <c r="E200" s="9" t="s">
        <v>803</v>
      </c>
      <c r="F200" s="9" t="s">
        <v>804</v>
      </c>
      <c r="G200" s="1">
        <v>2087.0246999999999</v>
      </c>
      <c r="H200" s="2">
        <v>1170</v>
      </c>
      <c r="I200" s="2">
        <v>3</v>
      </c>
      <c r="J200" s="1">
        <v>2087.0938999999998</v>
      </c>
      <c r="K200" s="1">
        <v>696.68219999999997</v>
      </c>
      <c r="L200" s="9" t="s">
        <v>805</v>
      </c>
      <c r="M200" s="2">
        <v>4.93</v>
      </c>
      <c r="N200" s="4">
        <v>3384.44</v>
      </c>
      <c r="O200" s="1">
        <v>33.109309620177847</v>
      </c>
      <c r="P200" s="6">
        <v>37.700000000000003</v>
      </c>
      <c r="Q200" s="6">
        <v>26.4</v>
      </c>
      <c r="R200" s="6">
        <v>12.2</v>
      </c>
      <c r="S200" s="6">
        <v>11.5</v>
      </c>
      <c r="T200" s="5">
        <v>4.8000000000000001E-4</v>
      </c>
      <c r="U200" s="1">
        <v>6.9199999999999998E-2</v>
      </c>
      <c r="V200" s="1">
        <v>5.3606999999999996</v>
      </c>
    </row>
    <row r="201" spans="1:22" x14ac:dyDescent="0.25">
      <c r="A201" s="1">
        <v>0.98029999999999995</v>
      </c>
      <c r="B201" s="9" t="s">
        <v>1247</v>
      </c>
      <c r="C201" s="2">
        <v>2582</v>
      </c>
      <c r="D201" s="2" t="s">
        <v>550</v>
      </c>
      <c r="E201" s="9" t="s">
        <v>1248</v>
      </c>
      <c r="F201" s="9" t="s">
        <v>1249</v>
      </c>
      <c r="G201" s="1">
        <v>1793.8367000000001</v>
      </c>
      <c r="H201" s="2">
        <v>1171</v>
      </c>
      <c r="I201" s="2">
        <v>2</v>
      </c>
      <c r="J201" s="1">
        <v>1793.848</v>
      </c>
      <c r="K201" s="1">
        <v>897.92560000000003</v>
      </c>
      <c r="L201" s="9" t="s">
        <v>1250</v>
      </c>
      <c r="M201" s="2">
        <v>8.4600000000000009</v>
      </c>
      <c r="N201" s="4">
        <v>3421.19</v>
      </c>
      <c r="O201" s="1">
        <v>6.2922807858468452</v>
      </c>
      <c r="P201" s="6">
        <v>35.700000000000003</v>
      </c>
      <c r="Q201" s="6">
        <v>27.4</v>
      </c>
      <c r="R201" s="6">
        <v>9</v>
      </c>
      <c r="S201" s="6">
        <v>12</v>
      </c>
      <c r="T201" s="5">
        <v>3.0000000000000001E-3</v>
      </c>
      <c r="U201" s="1">
        <v>1.1299999999999999E-2</v>
      </c>
      <c r="V201" s="1">
        <v>3.6536</v>
      </c>
    </row>
    <row r="202" spans="1:22" x14ac:dyDescent="0.25">
      <c r="A202" s="1">
        <v>0.98070000000000002</v>
      </c>
      <c r="B202" s="9" t="s">
        <v>1251</v>
      </c>
      <c r="C202" s="2">
        <v>2583</v>
      </c>
      <c r="D202" s="2" t="s">
        <v>550</v>
      </c>
      <c r="E202" s="9" t="s">
        <v>175</v>
      </c>
      <c r="F202" s="9" t="s">
        <v>176</v>
      </c>
      <c r="G202" s="1">
        <v>1740.8287</v>
      </c>
      <c r="H202" s="2">
        <v>742</v>
      </c>
      <c r="I202" s="2">
        <v>2</v>
      </c>
      <c r="J202" s="1">
        <v>1740.8440000000001</v>
      </c>
      <c r="K202" s="1">
        <v>871.42160000000001</v>
      </c>
      <c r="L202" s="9" t="s">
        <v>118</v>
      </c>
      <c r="M202" s="2">
        <v>6.73</v>
      </c>
      <c r="N202" s="4">
        <v>3421.19</v>
      </c>
      <c r="O202" s="1">
        <v>8.7787587546602008</v>
      </c>
      <c r="P202" s="6">
        <v>31.4</v>
      </c>
      <c r="Q202" s="6">
        <v>22.1</v>
      </c>
      <c r="R202" s="6">
        <v>9.8000000000000007</v>
      </c>
      <c r="S202" s="6">
        <v>9.9</v>
      </c>
      <c r="T202" s="5">
        <v>1.2E-2</v>
      </c>
      <c r="U202" s="1">
        <v>1.5299999999999999E-2</v>
      </c>
      <c r="V202" s="1">
        <v>3.3538999999999999</v>
      </c>
    </row>
    <row r="203" spans="1:22" x14ac:dyDescent="0.25">
      <c r="A203" s="1">
        <v>0.99329999999999996</v>
      </c>
      <c r="B203" s="9" t="s">
        <v>1252</v>
      </c>
      <c r="C203" s="2">
        <v>2597</v>
      </c>
      <c r="D203" s="2" t="s">
        <v>311</v>
      </c>
      <c r="E203" s="9" t="s">
        <v>815</v>
      </c>
      <c r="F203" s="9" t="s">
        <v>484</v>
      </c>
      <c r="G203" s="1">
        <v>1482.7936999999999</v>
      </c>
      <c r="H203" s="2">
        <v>342</v>
      </c>
      <c r="I203" s="2">
        <v>2</v>
      </c>
      <c r="J203" s="1">
        <v>1482.5612000000001</v>
      </c>
      <c r="K203" s="1">
        <v>742.40409999999997</v>
      </c>
      <c r="L203" s="9" t="s">
        <v>485</v>
      </c>
      <c r="M203" s="2">
        <v>6.77</v>
      </c>
      <c r="N203" s="4">
        <v>3461.14</v>
      </c>
      <c r="O203" s="1">
        <v>-156.58588092387959</v>
      </c>
      <c r="P203" s="6">
        <v>35.9</v>
      </c>
      <c r="Q203" s="6">
        <v>23.9</v>
      </c>
      <c r="R203" s="6">
        <v>9</v>
      </c>
      <c r="S203" s="6">
        <v>9.6</v>
      </c>
      <c r="T203" s="5">
        <v>6.8999999999999999E-3</v>
      </c>
      <c r="U203" s="1">
        <v>-0.23250000000000001</v>
      </c>
      <c r="V203" s="1">
        <v>4.2423000000000002</v>
      </c>
    </row>
    <row r="204" spans="1:22" x14ac:dyDescent="0.25">
      <c r="A204" s="1">
        <v>1</v>
      </c>
      <c r="B204" s="9" t="s">
        <v>1253</v>
      </c>
      <c r="C204" s="2">
        <v>2610</v>
      </c>
      <c r="D204" s="2" t="s">
        <v>1254</v>
      </c>
      <c r="E204" s="9" t="s">
        <v>1255</v>
      </c>
      <c r="F204" s="9" t="s">
        <v>170</v>
      </c>
      <c r="G204" s="1">
        <v>2312.9967000000001</v>
      </c>
      <c r="H204" s="2">
        <v>1173</v>
      </c>
      <c r="I204" s="2">
        <v>3</v>
      </c>
      <c r="J204" s="1">
        <v>2313.0868999999998</v>
      </c>
      <c r="K204" s="1">
        <v>772.00620000000004</v>
      </c>
      <c r="L204" s="9" t="s">
        <v>64</v>
      </c>
      <c r="M204" s="2">
        <v>4.34</v>
      </c>
      <c r="N204" s="4">
        <v>3487.34</v>
      </c>
      <c r="O204" s="1">
        <v>38.946146632846563</v>
      </c>
      <c r="P204" s="6">
        <v>46.6</v>
      </c>
      <c r="Q204" s="6">
        <v>25.2</v>
      </c>
      <c r="R204" s="6">
        <v>12.3</v>
      </c>
      <c r="S204" s="6">
        <v>10.7</v>
      </c>
      <c r="T204" s="5">
        <v>2.2000000000000001E-7</v>
      </c>
      <c r="U204" s="1">
        <v>9.0200000000000002E-2</v>
      </c>
      <c r="V204" s="1">
        <v>9.1094000000000008</v>
      </c>
    </row>
    <row r="205" spans="1:22" x14ac:dyDescent="0.25">
      <c r="A205" s="1">
        <v>0.99980000000000002</v>
      </c>
      <c r="B205" s="9" t="s">
        <v>1256</v>
      </c>
      <c r="C205" s="2">
        <v>2622</v>
      </c>
      <c r="D205" s="2" t="s">
        <v>188</v>
      </c>
      <c r="E205" s="9" t="s">
        <v>189</v>
      </c>
      <c r="F205" s="9" t="s">
        <v>190</v>
      </c>
      <c r="G205" s="1">
        <v>1501.8177000000001</v>
      </c>
      <c r="H205" s="2">
        <v>343</v>
      </c>
      <c r="I205" s="2">
        <v>2</v>
      </c>
      <c r="J205" s="1">
        <v>1501.8348000000001</v>
      </c>
      <c r="K205" s="1">
        <v>751.91610000000003</v>
      </c>
      <c r="L205" s="9" t="s">
        <v>191</v>
      </c>
      <c r="M205" s="2">
        <v>8.59</v>
      </c>
      <c r="N205" s="4">
        <v>3523.04</v>
      </c>
      <c r="O205" s="1">
        <v>11.370949498221943</v>
      </c>
      <c r="P205" s="6">
        <v>60.6</v>
      </c>
      <c r="Q205" s="6">
        <v>36.799999999999997</v>
      </c>
      <c r="R205" s="6">
        <v>12</v>
      </c>
      <c r="S205" s="6">
        <v>11.8</v>
      </c>
      <c r="T205" s="5">
        <v>3.9999999999999998E-6</v>
      </c>
      <c r="U205" s="1">
        <v>1.7100000000000001E-2</v>
      </c>
      <c r="V205" s="1">
        <v>7.9547999999999996</v>
      </c>
    </row>
    <row r="206" spans="1:22" x14ac:dyDescent="0.25">
      <c r="A206" s="1">
        <v>0.99160000000000004</v>
      </c>
      <c r="B206" s="9" t="s">
        <v>1257</v>
      </c>
      <c r="C206" s="2">
        <v>2624</v>
      </c>
      <c r="D206" s="2" t="s">
        <v>110</v>
      </c>
      <c r="E206" s="9" t="s">
        <v>189</v>
      </c>
      <c r="F206" s="9" t="s">
        <v>190</v>
      </c>
      <c r="G206" s="1">
        <v>1501.8177000000001</v>
      </c>
      <c r="H206" s="2">
        <v>344</v>
      </c>
      <c r="I206" s="2">
        <v>2</v>
      </c>
      <c r="J206" s="1">
        <v>1502.59</v>
      </c>
      <c r="K206" s="1">
        <v>751.91610000000003</v>
      </c>
      <c r="L206" s="9" t="s">
        <v>191</v>
      </c>
      <c r="M206" s="2">
        <v>8.59</v>
      </c>
      <c r="N206" s="4">
        <v>3527.29</v>
      </c>
      <c r="O206" s="1">
        <v>-153.64413662641351</v>
      </c>
      <c r="P206" s="6">
        <v>57.6</v>
      </c>
      <c r="Q206" s="6">
        <v>34.200000000000003</v>
      </c>
      <c r="R206" s="6">
        <v>12</v>
      </c>
      <c r="S206" s="6">
        <v>11.5</v>
      </c>
      <c r="T206" s="5">
        <v>5.3999999999999998E-5</v>
      </c>
      <c r="U206" s="1">
        <v>0.77229999999999999</v>
      </c>
      <c r="V206" s="1">
        <v>6.8151000000000002</v>
      </c>
    </row>
    <row r="207" spans="1:22" x14ac:dyDescent="0.25">
      <c r="A207" s="1">
        <v>0.99919999999999998</v>
      </c>
      <c r="B207" s="9" t="s">
        <v>1258</v>
      </c>
      <c r="C207" s="2">
        <v>2631</v>
      </c>
      <c r="D207" s="2" t="s">
        <v>1259</v>
      </c>
      <c r="E207" s="9" t="s">
        <v>1260</v>
      </c>
      <c r="F207" s="9" t="s">
        <v>818</v>
      </c>
      <c r="G207" s="1">
        <v>1711.7766999999999</v>
      </c>
      <c r="H207" s="2">
        <v>498</v>
      </c>
      <c r="I207" s="2">
        <v>2</v>
      </c>
      <c r="J207" s="1">
        <v>1711.8044</v>
      </c>
      <c r="K207" s="1">
        <v>856.89559999999994</v>
      </c>
      <c r="L207" s="9" t="s">
        <v>819</v>
      </c>
      <c r="M207" s="2">
        <v>6.76</v>
      </c>
      <c r="N207" s="4">
        <v>3538.79</v>
      </c>
      <c r="O207" s="1">
        <v>16.162995818860548</v>
      </c>
      <c r="P207" s="6">
        <v>33.4</v>
      </c>
      <c r="Q207" s="6">
        <v>19.3</v>
      </c>
      <c r="R207" s="6">
        <v>9.4</v>
      </c>
      <c r="S207" s="6">
        <v>8.5</v>
      </c>
      <c r="T207" s="5">
        <v>1.4E-5</v>
      </c>
      <c r="U207" s="1">
        <v>2.7699999999999999E-2</v>
      </c>
      <c r="V207" s="1">
        <v>6.5591999999999997</v>
      </c>
    </row>
    <row r="208" spans="1:22" x14ac:dyDescent="0.25">
      <c r="A208" s="1">
        <v>0.99729999999999996</v>
      </c>
      <c r="B208" s="9" t="s">
        <v>1261</v>
      </c>
      <c r="C208" s="2">
        <v>2637</v>
      </c>
      <c r="D208" s="2" t="s">
        <v>270</v>
      </c>
      <c r="E208" s="9" t="s">
        <v>194</v>
      </c>
      <c r="F208" s="9" t="s">
        <v>1262</v>
      </c>
      <c r="G208" s="1">
        <v>1531.8643</v>
      </c>
      <c r="H208" s="2">
        <v>1175</v>
      </c>
      <c r="I208" s="2">
        <v>2</v>
      </c>
      <c r="J208" s="1">
        <v>1531.8715</v>
      </c>
      <c r="K208" s="1">
        <v>766.93939999999998</v>
      </c>
      <c r="L208" s="9" t="s">
        <v>1263</v>
      </c>
      <c r="M208" s="2">
        <v>10</v>
      </c>
      <c r="N208" s="4">
        <v>3553.49</v>
      </c>
      <c r="O208" s="1">
        <v>4.6939823407168806</v>
      </c>
      <c r="P208" s="6">
        <v>40.1</v>
      </c>
      <c r="Q208" s="6">
        <v>29.8</v>
      </c>
      <c r="R208" s="6">
        <v>9.6</v>
      </c>
      <c r="S208" s="6">
        <v>8.8000000000000007</v>
      </c>
      <c r="T208" s="5">
        <v>1.1E-4</v>
      </c>
      <c r="U208" s="1">
        <v>7.1999999999999998E-3</v>
      </c>
      <c r="V208" s="1">
        <v>5.3960999999999997</v>
      </c>
    </row>
    <row r="209" spans="1:22" x14ac:dyDescent="0.25">
      <c r="A209" s="1">
        <v>0.99819999999999998</v>
      </c>
      <c r="B209" s="9" t="s">
        <v>1264</v>
      </c>
      <c r="C209" s="2">
        <v>2646</v>
      </c>
      <c r="D209" s="2" t="s">
        <v>697</v>
      </c>
      <c r="E209" s="9" t="s">
        <v>1265</v>
      </c>
      <c r="F209" s="9" t="s">
        <v>97</v>
      </c>
      <c r="G209" s="1">
        <v>2501.1377000000002</v>
      </c>
      <c r="H209" s="2">
        <v>499</v>
      </c>
      <c r="I209" s="2">
        <v>2</v>
      </c>
      <c r="J209" s="1">
        <v>2501.1001000000001</v>
      </c>
      <c r="K209" s="1">
        <v>1251.5761</v>
      </c>
      <c r="L209" s="9" t="s">
        <v>98</v>
      </c>
      <c r="M209" s="2">
        <v>4.43</v>
      </c>
      <c r="N209" s="4">
        <v>3575.54</v>
      </c>
      <c r="O209" s="1">
        <v>-15.021060245557582</v>
      </c>
      <c r="P209" s="6">
        <v>38.700000000000003</v>
      </c>
      <c r="Q209" s="6">
        <v>21.9</v>
      </c>
      <c r="R209" s="6">
        <v>11.8</v>
      </c>
      <c r="S209" s="6">
        <v>10.3</v>
      </c>
      <c r="T209" s="5">
        <v>4.6999999999999997E-5</v>
      </c>
      <c r="U209" s="1">
        <v>-3.7600000000000001E-2</v>
      </c>
      <c r="V209" s="1">
        <v>5.173</v>
      </c>
    </row>
    <row r="210" spans="1:22" x14ac:dyDescent="0.25">
      <c r="A210" s="1">
        <v>0.99880000000000002</v>
      </c>
      <c r="B210" s="9" t="s">
        <v>1266</v>
      </c>
      <c r="C210" s="2">
        <v>2657</v>
      </c>
      <c r="D210" s="2" t="s">
        <v>630</v>
      </c>
      <c r="E210" s="9" t="s">
        <v>1267</v>
      </c>
      <c r="F210" s="9" t="s">
        <v>1268</v>
      </c>
      <c r="G210" s="1">
        <v>1803.9557</v>
      </c>
      <c r="H210" s="2">
        <v>345</v>
      </c>
      <c r="I210" s="2">
        <v>2</v>
      </c>
      <c r="J210" s="1">
        <v>1803.9768999999999</v>
      </c>
      <c r="K210" s="1">
        <v>902.98509999999999</v>
      </c>
      <c r="L210" s="9" t="s">
        <v>1269</v>
      </c>
      <c r="M210" s="2">
        <v>6.28</v>
      </c>
      <c r="N210" s="4">
        <v>3608.14</v>
      </c>
      <c r="O210" s="1">
        <v>11.738842645354834</v>
      </c>
      <c r="P210" s="6">
        <v>40.1</v>
      </c>
      <c r="Q210" s="6">
        <v>22.1</v>
      </c>
      <c r="R210" s="6">
        <v>11.6</v>
      </c>
      <c r="S210" s="6">
        <v>12.5</v>
      </c>
      <c r="T210" s="5">
        <v>2.5000000000000001E-4</v>
      </c>
      <c r="U210" s="1">
        <v>2.12E-2</v>
      </c>
      <c r="V210" s="1">
        <v>5.6807999999999996</v>
      </c>
    </row>
    <row r="211" spans="1:22" x14ac:dyDescent="0.25">
      <c r="A211" s="1">
        <v>0.99350000000000005</v>
      </c>
      <c r="B211" s="9" t="s">
        <v>1270</v>
      </c>
      <c r="C211" s="2">
        <v>2664</v>
      </c>
      <c r="D211" s="2" t="s">
        <v>1271</v>
      </c>
      <c r="E211" s="9" t="s">
        <v>1267</v>
      </c>
      <c r="F211" s="9" t="s">
        <v>1268</v>
      </c>
      <c r="G211" s="1">
        <v>1803.9557</v>
      </c>
      <c r="H211" s="2">
        <v>346</v>
      </c>
      <c r="I211" s="2">
        <v>2</v>
      </c>
      <c r="J211" s="1">
        <v>1803.6733999999999</v>
      </c>
      <c r="K211" s="1">
        <v>902.98509999999999</v>
      </c>
      <c r="L211" s="9" t="s">
        <v>1269</v>
      </c>
      <c r="M211" s="2">
        <v>6.28</v>
      </c>
      <c r="N211" s="4">
        <v>3625.94</v>
      </c>
      <c r="O211" s="1">
        <v>-156.31487164073914</v>
      </c>
      <c r="P211" s="6">
        <v>36</v>
      </c>
      <c r="Q211" s="6">
        <v>24.9</v>
      </c>
      <c r="R211" s="6">
        <v>11.3</v>
      </c>
      <c r="S211" s="6">
        <v>12.5</v>
      </c>
      <c r="T211" s="5">
        <v>1.9E-3</v>
      </c>
      <c r="U211" s="1">
        <v>-0.2823</v>
      </c>
      <c r="V211" s="1">
        <v>4.2622999999999998</v>
      </c>
    </row>
    <row r="212" spans="1:22" x14ac:dyDescent="0.25">
      <c r="A212" s="1">
        <v>1</v>
      </c>
      <c r="B212" s="9" t="s">
        <v>1272</v>
      </c>
      <c r="C212" s="2">
        <v>2669</v>
      </c>
      <c r="D212" s="2" t="s">
        <v>1273</v>
      </c>
      <c r="E212" s="9" t="s">
        <v>1274</v>
      </c>
      <c r="F212" s="9" t="s">
        <v>1275</v>
      </c>
      <c r="G212" s="1">
        <v>2287.1777000000002</v>
      </c>
      <c r="H212" s="2">
        <v>1177</v>
      </c>
      <c r="I212" s="2">
        <v>3</v>
      </c>
      <c r="J212" s="1">
        <v>2287.2283000000002</v>
      </c>
      <c r="K212" s="1">
        <v>763.39980000000003</v>
      </c>
      <c r="L212" s="9" t="s">
        <v>1276</v>
      </c>
      <c r="M212" s="2">
        <v>8.2200000000000006</v>
      </c>
      <c r="N212" s="4">
        <v>3634.34</v>
      </c>
      <c r="O212" s="1">
        <v>22.094146038113532</v>
      </c>
      <c r="P212" s="6">
        <v>63.8</v>
      </c>
      <c r="Q212" s="6">
        <v>31.5</v>
      </c>
      <c r="R212" s="6">
        <v>12.1</v>
      </c>
      <c r="S212" s="6">
        <v>11.3</v>
      </c>
      <c r="T212" s="5">
        <v>6.8999999999999996E-7</v>
      </c>
      <c r="U212" s="1">
        <v>5.0599999999999999E-2</v>
      </c>
      <c r="V212" s="1">
        <v>8.8085000000000004</v>
      </c>
    </row>
    <row r="213" spans="1:22" x14ac:dyDescent="0.25">
      <c r="A213" s="1">
        <v>0.98709999999999998</v>
      </c>
      <c r="B213" s="9" t="s">
        <v>1277</v>
      </c>
      <c r="C213" s="2">
        <v>2672</v>
      </c>
      <c r="D213" s="2" t="s">
        <v>178</v>
      </c>
      <c r="E213" s="9" t="s">
        <v>1278</v>
      </c>
      <c r="F213" s="9" t="s">
        <v>672</v>
      </c>
      <c r="G213" s="1">
        <v>1545.7017000000001</v>
      </c>
      <c r="H213" s="2">
        <v>347</v>
      </c>
      <c r="I213" s="2">
        <v>2</v>
      </c>
      <c r="J213" s="1">
        <v>1545.7281</v>
      </c>
      <c r="K213" s="1">
        <v>773.85810000000004</v>
      </c>
      <c r="L213" s="9" t="s">
        <v>673</v>
      </c>
      <c r="M213" s="2">
        <v>4.43</v>
      </c>
      <c r="N213" s="4">
        <v>3644.89</v>
      </c>
      <c r="O213" s="1">
        <v>17.057390754196408</v>
      </c>
      <c r="P213" s="6">
        <v>37.299999999999997</v>
      </c>
      <c r="Q213" s="6">
        <v>26.5</v>
      </c>
      <c r="R213" s="6">
        <v>9.8000000000000007</v>
      </c>
      <c r="S213" s="6">
        <v>10</v>
      </c>
      <c r="T213" s="5">
        <v>8.8000000000000005E-3</v>
      </c>
      <c r="U213" s="1">
        <v>2.64E-2</v>
      </c>
      <c r="V213" s="1">
        <v>3.7852000000000001</v>
      </c>
    </row>
    <row r="214" spans="1:22" x14ac:dyDescent="0.25">
      <c r="A214" s="1">
        <v>0.99439999999999995</v>
      </c>
      <c r="B214" s="9" t="s">
        <v>1279</v>
      </c>
      <c r="C214" s="2">
        <v>2676</v>
      </c>
      <c r="D214" s="2" t="s">
        <v>280</v>
      </c>
      <c r="E214" s="9" t="s">
        <v>1280</v>
      </c>
      <c r="F214" s="9" t="s">
        <v>1281</v>
      </c>
      <c r="G214" s="1">
        <v>1567.8027</v>
      </c>
      <c r="H214" s="2">
        <v>1002</v>
      </c>
      <c r="I214" s="2">
        <v>2</v>
      </c>
      <c r="J214" s="1">
        <v>1567.8271</v>
      </c>
      <c r="K214" s="1">
        <v>784.90859999999998</v>
      </c>
      <c r="L214" s="9" t="s">
        <v>412</v>
      </c>
      <c r="M214" s="2">
        <v>6.28</v>
      </c>
      <c r="N214" s="4">
        <v>3655.34</v>
      </c>
      <c r="O214" s="1">
        <v>15.54321101845489</v>
      </c>
      <c r="P214" s="6">
        <v>44.8</v>
      </c>
      <c r="Q214" s="6">
        <v>28.8</v>
      </c>
      <c r="R214" s="6">
        <v>11.3</v>
      </c>
      <c r="S214" s="6">
        <v>12.3</v>
      </c>
      <c r="T214" s="5">
        <v>5.0000000000000001E-4</v>
      </c>
      <c r="U214" s="1">
        <v>2.4400000000000002E-2</v>
      </c>
      <c r="V214" s="1">
        <v>5.3578000000000001</v>
      </c>
    </row>
    <row r="215" spans="1:22" x14ac:dyDescent="0.25">
      <c r="A215" s="1">
        <v>0.99960000000000004</v>
      </c>
      <c r="B215" s="9" t="s">
        <v>1282</v>
      </c>
      <c r="C215" s="2">
        <v>2678</v>
      </c>
      <c r="D215" s="2" t="s">
        <v>115</v>
      </c>
      <c r="E215" s="9" t="s">
        <v>1283</v>
      </c>
      <c r="F215" s="9" t="s">
        <v>1284</v>
      </c>
      <c r="G215" s="1">
        <v>1691.7867000000001</v>
      </c>
      <c r="H215" s="2">
        <v>1420</v>
      </c>
      <c r="I215" s="2">
        <v>2</v>
      </c>
      <c r="J215" s="1">
        <v>1691.8063</v>
      </c>
      <c r="K215" s="1">
        <v>846.90060000000005</v>
      </c>
      <c r="L215" s="9" t="s">
        <v>1285</v>
      </c>
      <c r="M215" s="2">
        <v>6.24</v>
      </c>
      <c r="N215" s="4">
        <v>3659.59</v>
      </c>
      <c r="O215" s="1">
        <v>11.571605924000998</v>
      </c>
      <c r="P215" s="6">
        <v>45.4</v>
      </c>
      <c r="Q215" s="6">
        <v>22.8</v>
      </c>
      <c r="R215" s="6">
        <v>10.9</v>
      </c>
      <c r="S215" s="6">
        <v>10.199999999999999</v>
      </c>
      <c r="T215" s="5">
        <v>9.7999999999999993E-7</v>
      </c>
      <c r="U215" s="1">
        <v>1.9599999999999999E-2</v>
      </c>
      <c r="V215" s="1">
        <v>8.7487999999999992</v>
      </c>
    </row>
    <row r="216" spans="1:22" x14ac:dyDescent="0.25">
      <c r="A216" s="1">
        <v>0.99880000000000002</v>
      </c>
      <c r="B216" s="9" t="s">
        <v>1286</v>
      </c>
      <c r="C216" s="2">
        <v>2687</v>
      </c>
      <c r="D216" s="2" t="s">
        <v>278</v>
      </c>
      <c r="E216" s="9" t="s">
        <v>1287</v>
      </c>
      <c r="F216" s="9" t="s">
        <v>1288</v>
      </c>
      <c r="G216" s="1">
        <v>1738.8447000000001</v>
      </c>
      <c r="H216" s="2">
        <v>1178</v>
      </c>
      <c r="I216" s="2">
        <v>2</v>
      </c>
      <c r="J216" s="1">
        <v>1738.8549</v>
      </c>
      <c r="K216" s="1">
        <v>870.42960000000005</v>
      </c>
      <c r="L216" s="9" t="s">
        <v>1289</v>
      </c>
      <c r="M216" s="2">
        <v>4.68</v>
      </c>
      <c r="N216" s="4">
        <v>3678.44</v>
      </c>
      <c r="O216" s="1">
        <v>5.8591757449424975</v>
      </c>
      <c r="P216" s="6">
        <v>51.9</v>
      </c>
      <c r="Q216" s="6">
        <v>28.6</v>
      </c>
      <c r="R216" s="6">
        <v>9.9</v>
      </c>
      <c r="S216" s="6">
        <v>10.9</v>
      </c>
      <c r="T216" s="5">
        <v>5.5000000000000002E-5</v>
      </c>
      <c r="U216" s="1">
        <v>1.0200000000000001E-2</v>
      </c>
      <c r="V216" s="1">
        <v>6.5138999999999996</v>
      </c>
    </row>
    <row r="217" spans="1:22" x14ac:dyDescent="0.25">
      <c r="A217" s="1">
        <v>0.99970000000000003</v>
      </c>
      <c r="B217" s="9" t="s">
        <v>1290</v>
      </c>
      <c r="C217" s="2">
        <v>2690</v>
      </c>
      <c r="D217" s="2" t="s">
        <v>93</v>
      </c>
      <c r="E217" s="9" t="s">
        <v>839</v>
      </c>
      <c r="F217" s="9" t="s">
        <v>647</v>
      </c>
      <c r="G217" s="1">
        <v>1499.817</v>
      </c>
      <c r="H217" s="2">
        <v>749</v>
      </c>
      <c r="I217" s="2">
        <v>2</v>
      </c>
      <c r="J217" s="1">
        <v>1499.8253999999999</v>
      </c>
      <c r="K217" s="1">
        <v>750.91579999999999</v>
      </c>
      <c r="L217" s="9" t="s">
        <v>118</v>
      </c>
      <c r="M217" s="2">
        <v>8.48</v>
      </c>
      <c r="N217" s="4">
        <v>3685.79</v>
      </c>
      <c r="O217" s="1">
        <v>5.5931703661049612</v>
      </c>
      <c r="P217" s="6">
        <v>50.6</v>
      </c>
      <c r="Q217" s="6">
        <v>31.6</v>
      </c>
      <c r="R217" s="6">
        <v>9.6</v>
      </c>
      <c r="S217" s="6">
        <v>11.3</v>
      </c>
      <c r="T217" s="5">
        <v>5.5000000000000002E-5</v>
      </c>
      <c r="U217" s="1">
        <v>8.3999999999999995E-3</v>
      </c>
      <c r="V217" s="1">
        <v>6.9431000000000003</v>
      </c>
    </row>
    <row r="218" spans="1:22" x14ac:dyDescent="0.25">
      <c r="A218" s="1">
        <v>0.99729999999999996</v>
      </c>
      <c r="B218" s="9" t="s">
        <v>1291</v>
      </c>
      <c r="C218" s="2">
        <v>2696</v>
      </c>
      <c r="D218" s="2" t="s">
        <v>115</v>
      </c>
      <c r="E218" s="9" t="s">
        <v>1292</v>
      </c>
      <c r="F218" s="9" t="s">
        <v>1293</v>
      </c>
      <c r="G218" s="1">
        <v>1527.8367000000001</v>
      </c>
      <c r="H218" s="2">
        <v>349</v>
      </c>
      <c r="I218" s="2">
        <v>2</v>
      </c>
      <c r="J218" s="1">
        <v>1527.8734999999999</v>
      </c>
      <c r="K218" s="1">
        <v>764.92560000000003</v>
      </c>
      <c r="L218" s="9" t="s">
        <v>1294</v>
      </c>
      <c r="M218" s="2">
        <v>8.5</v>
      </c>
      <c r="N218" s="4">
        <v>3703.69</v>
      </c>
      <c r="O218" s="1">
        <v>24.05462701209111</v>
      </c>
      <c r="P218" s="6">
        <v>48.7</v>
      </c>
      <c r="Q218" s="6">
        <v>36.9</v>
      </c>
      <c r="R218" s="6">
        <v>11.1</v>
      </c>
      <c r="S218" s="6">
        <v>11.8</v>
      </c>
      <c r="T218" s="5">
        <v>4.0000000000000002E-4</v>
      </c>
      <c r="U218" s="1">
        <v>3.6799999999999999E-2</v>
      </c>
      <c r="V218" s="1">
        <v>4.9471999999999996</v>
      </c>
    </row>
    <row r="219" spans="1:22" x14ac:dyDescent="0.25">
      <c r="A219" s="1">
        <v>0.98870000000000002</v>
      </c>
      <c r="B219" s="9" t="s">
        <v>1295</v>
      </c>
      <c r="C219" s="2">
        <v>2703</v>
      </c>
      <c r="D219" s="2" t="s">
        <v>110</v>
      </c>
      <c r="E219" s="9" t="s">
        <v>1296</v>
      </c>
      <c r="F219" s="9" t="s">
        <v>1297</v>
      </c>
      <c r="G219" s="1">
        <v>1450.6767</v>
      </c>
      <c r="H219" s="2">
        <v>1423</v>
      </c>
      <c r="I219" s="2">
        <v>2</v>
      </c>
      <c r="J219" s="1">
        <v>1450.6955</v>
      </c>
      <c r="K219" s="1">
        <v>726.34559999999999</v>
      </c>
      <c r="L219" s="9" t="s">
        <v>1298</v>
      </c>
      <c r="M219" s="2">
        <v>4.62</v>
      </c>
      <c r="N219" s="4">
        <v>3721.49</v>
      </c>
      <c r="O219" s="1">
        <v>12.94149782142275</v>
      </c>
      <c r="P219" s="6">
        <v>53.8</v>
      </c>
      <c r="Q219" s="6">
        <v>38.799999999999997</v>
      </c>
      <c r="R219" s="6">
        <v>9.9</v>
      </c>
      <c r="S219" s="6">
        <v>11.2</v>
      </c>
      <c r="T219" s="5">
        <v>5.1000000000000004E-3</v>
      </c>
      <c r="U219" s="1">
        <v>1.8800000000000001E-2</v>
      </c>
      <c r="V219" s="1">
        <v>4.1257999999999999</v>
      </c>
    </row>
    <row r="220" spans="1:22" x14ac:dyDescent="0.25">
      <c r="A220" s="1">
        <v>0.97130000000000005</v>
      </c>
      <c r="B220" s="9" t="s">
        <v>1299</v>
      </c>
      <c r="C220" s="2">
        <v>2706</v>
      </c>
      <c r="D220" s="2" t="s">
        <v>520</v>
      </c>
      <c r="E220" s="9" t="s">
        <v>1300</v>
      </c>
      <c r="F220" s="9" t="s">
        <v>1301</v>
      </c>
      <c r="G220" s="1">
        <v>1556.7507000000001</v>
      </c>
      <c r="H220" s="2">
        <v>350</v>
      </c>
      <c r="I220" s="2">
        <v>2</v>
      </c>
      <c r="J220" s="1">
        <v>1556.7772</v>
      </c>
      <c r="K220" s="1">
        <v>779.38260000000002</v>
      </c>
      <c r="L220" s="9" t="s">
        <v>1302</v>
      </c>
      <c r="M220" s="2">
        <v>4.75</v>
      </c>
      <c r="N220" s="4">
        <v>3728.84</v>
      </c>
      <c r="O220" s="1">
        <v>17.000636144558523</v>
      </c>
      <c r="P220" s="6">
        <v>35.299999999999997</v>
      </c>
      <c r="Q220" s="6">
        <v>25.8</v>
      </c>
      <c r="R220" s="6">
        <v>11.6</v>
      </c>
      <c r="S220" s="6">
        <v>8.1999999999999993</v>
      </c>
      <c r="T220" s="5">
        <v>7.0000000000000001E-3</v>
      </c>
      <c r="U220" s="1">
        <v>2.6499999999999999E-2</v>
      </c>
      <c r="V220" s="1">
        <v>3.7961</v>
      </c>
    </row>
    <row r="221" spans="1:22" x14ac:dyDescent="0.25">
      <c r="A221" s="1">
        <v>0.98119999999999996</v>
      </c>
      <c r="B221" s="9" t="s">
        <v>1303</v>
      </c>
      <c r="C221" s="2">
        <v>2717</v>
      </c>
      <c r="D221" s="2" t="s">
        <v>1304</v>
      </c>
      <c r="E221" s="9" t="s">
        <v>1305</v>
      </c>
      <c r="F221" s="9" t="s">
        <v>870</v>
      </c>
      <c r="G221" s="1">
        <v>1747.8387</v>
      </c>
      <c r="H221" s="2">
        <v>751</v>
      </c>
      <c r="I221" s="2">
        <v>2</v>
      </c>
      <c r="J221" s="1">
        <v>1747.8542</v>
      </c>
      <c r="K221" s="1">
        <v>874.92660000000001</v>
      </c>
      <c r="L221" s="9" t="s">
        <v>871</v>
      </c>
      <c r="M221" s="2">
        <v>6.76</v>
      </c>
      <c r="N221" s="4">
        <v>3751.94</v>
      </c>
      <c r="O221" s="1">
        <v>8.8578859072292477</v>
      </c>
      <c r="P221" s="6">
        <v>31.2</v>
      </c>
      <c r="Q221" s="6">
        <v>19.899999999999999</v>
      </c>
      <c r="R221" s="6">
        <v>9</v>
      </c>
      <c r="S221" s="6">
        <v>11</v>
      </c>
      <c r="T221" s="5">
        <v>2.8000000000000001E-2</v>
      </c>
      <c r="U221" s="1">
        <v>1.55E-2</v>
      </c>
      <c r="V221" s="1">
        <v>3.3734000000000002</v>
      </c>
    </row>
    <row r="222" spans="1:22" x14ac:dyDescent="0.25">
      <c r="A222" s="1">
        <v>0.98350000000000004</v>
      </c>
      <c r="B222" s="9" t="s">
        <v>1306</v>
      </c>
      <c r="C222" s="2">
        <v>2726</v>
      </c>
      <c r="D222" s="2" t="s">
        <v>1307</v>
      </c>
      <c r="E222" s="9" t="s">
        <v>1308</v>
      </c>
      <c r="F222" s="9" t="s">
        <v>1309</v>
      </c>
      <c r="G222" s="1">
        <v>2822.3067000000001</v>
      </c>
      <c r="H222" s="2">
        <v>503</v>
      </c>
      <c r="I222" s="2">
        <v>4</v>
      </c>
      <c r="J222" s="1">
        <v>2823.1264000000001</v>
      </c>
      <c r="K222" s="1">
        <v>706.58399999999995</v>
      </c>
      <c r="L222" s="9" t="s">
        <v>1310</v>
      </c>
      <c r="M222" s="2">
        <v>6.22</v>
      </c>
      <c r="N222" s="4">
        <v>3773.99</v>
      </c>
      <c r="O222" s="1">
        <v>-64.979889156844763</v>
      </c>
      <c r="P222" s="6">
        <v>23.3</v>
      </c>
      <c r="Q222" s="6">
        <v>18.399999999999999</v>
      </c>
      <c r="R222" s="6">
        <v>7.7</v>
      </c>
      <c r="S222" s="6">
        <v>10.3</v>
      </c>
      <c r="T222" s="5">
        <v>0.25</v>
      </c>
      <c r="U222" s="1">
        <v>0.81969999999999998</v>
      </c>
      <c r="V222" s="1">
        <v>1.5187999999999999</v>
      </c>
    </row>
    <row r="223" spans="1:22" x14ac:dyDescent="0.25">
      <c r="A223" s="1">
        <v>0.99580000000000002</v>
      </c>
      <c r="B223" s="9" t="s">
        <v>1311</v>
      </c>
      <c r="C223" s="2">
        <v>2751</v>
      </c>
      <c r="D223" s="2" t="s">
        <v>370</v>
      </c>
      <c r="E223" s="9" t="s">
        <v>1312</v>
      </c>
      <c r="F223" s="9" t="s">
        <v>1313</v>
      </c>
      <c r="G223" s="1">
        <v>1490.7257</v>
      </c>
      <c r="H223" s="2">
        <v>754</v>
      </c>
      <c r="I223" s="2">
        <v>2</v>
      </c>
      <c r="J223" s="1">
        <v>1490.7444</v>
      </c>
      <c r="K223" s="1">
        <v>746.37009999999998</v>
      </c>
      <c r="L223" s="9" t="s">
        <v>1314</v>
      </c>
      <c r="M223" s="2">
        <v>6.28</v>
      </c>
      <c r="N223" s="4">
        <v>3832.79</v>
      </c>
      <c r="O223" s="1">
        <v>12.527297114394054</v>
      </c>
      <c r="P223" s="6">
        <v>40.299999999999997</v>
      </c>
      <c r="Q223" s="6">
        <v>29.2</v>
      </c>
      <c r="R223" s="6">
        <v>9.4</v>
      </c>
      <c r="S223" s="6">
        <v>9</v>
      </c>
      <c r="T223" s="5">
        <v>3.2000000000000002E-3</v>
      </c>
      <c r="U223" s="1">
        <v>1.8700000000000001E-2</v>
      </c>
      <c r="V223" s="1">
        <v>4.5</v>
      </c>
    </row>
    <row r="224" spans="1:22" x14ac:dyDescent="0.25">
      <c r="A224" s="1">
        <v>0.9929</v>
      </c>
      <c r="B224" s="9" t="s">
        <v>1315</v>
      </c>
      <c r="C224" s="2">
        <v>2757</v>
      </c>
      <c r="D224" s="2" t="s">
        <v>1316</v>
      </c>
      <c r="E224" s="9" t="s">
        <v>1317</v>
      </c>
      <c r="F224" s="9" t="s">
        <v>391</v>
      </c>
      <c r="G224" s="1">
        <v>2116.0987</v>
      </c>
      <c r="H224" s="2">
        <v>756</v>
      </c>
      <c r="I224" s="2">
        <v>3</v>
      </c>
      <c r="J224" s="1">
        <v>2116.1563000000001</v>
      </c>
      <c r="K224" s="1">
        <v>706.37350000000004</v>
      </c>
      <c r="L224" s="9" t="s">
        <v>364</v>
      </c>
      <c r="M224" s="2">
        <v>8.59</v>
      </c>
      <c r="N224" s="4">
        <v>3847.49</v>
      </c>
      <c r="O224" s="1">
        <v>27.181087625739071</v>
      </c>
      <c r="P224" s="6">
        <v>34.9</v>
      </c>
      <c r="Q224" s="6">
        <v>21.8</v>
      </c>
      <c r="R224" s="6">
        <v>10</v>
      </c>
      <c r="S224" s="6">
        <v>11.5</v>
      </c>
      <c r="T224" s="5">
        <v>3.0000000000000001E-3</v>
      </c>
      <c r="U224" s="1">
        <v>5.7599999999999998E-2</v>
      </c>
      <c r="V224" s="1">
        <v>4.7079000000000004</v>
      </c>
    </row>
    <row r="225" spans="1:22" x14ac:dyDescent="0.25">
      <c r="A225" s="1">
        <v>0.98009999999999997</v>
      </c>
      <c r="B225" s="9" t="s">
        <v>1318</v>
      </c>
      <c r="C225" s="2">
        <v>2759</v>
      </c>
      <c r="D225" s="2" t="s">
        <v>458</v>
      </c>
      <c r="E225" s="9" t="s">
        <v>1319</v>
      </c>
      <c r="F225" s="9" t="s">
        <v>498</v>
      </c>
      <c r="G225" s="1">
        <v>1598.7517</v>
      </c>
      <c r="H225" s="2">
        <v>353</v>
      </c>
      <c r="I225" s="2">
        <v>2</v>
      </c>
      <c r="J225" s="1">
        <v>1598.771</v>
      </c>
      <c r="K225" s="1">
        <v>800.38310000000001</v>
      </c>
      <c r="L225" s="9" t="s">
        <v>499</v>
      </c>
      <c r="M225" s="2">
        <v>5.33</v>
      </c>
      <c r="N225" s="4">
        <v>3858.04</v>
      </c>
      <c r="O225" s="1">
        <v>12.056726335176243</v>
      </c>
      <c r="P225" s="6">
        <v>29.6</v>
      </c>
      <c r="Q225" s="6">
        <v>21.5</v>
      </c>
      <c r="R225" s="6">
        <v>8.6999999999999993</v>
      </c>
      <c r="S225" s="6">
        <v>10.7</v>
      </c>
      <c r="T225" s="5">
        <v>4.4999999999999998E-2</v>
      </c>
      <c r="U225" s="1">
        <v>1.9300000000000001E-2</v>
      </c>
      <c r="V225" s="1">
        <v>2.9904999999999999</v>
      </c>
    </row>
    <row r="226" spans="1:22" x14ac:dyDescent="0.25">
      <c r="A226" s="1">
        <v>0.99929999999999997</v>
      </c>
      <c r="B226" s="9" t="s">
        <v>1320</v>
      </c>
      <c r="C226" s="2">
        <v>2763</v>
      </c>
      <c r="D226" s="2" t="s">
        <v>1321</v>
      </c>
      <c r="E226" s="9" t="s">
        <v>859</v>
      </c>
      <c r="F226" s="9" t="s">
        <v>860</v>
      </c>
      <c r="G226" s="1">
        <v>1902.9037000000001</v>
      </c>
      <c r="H226" s="2">
        <v>1182</v>
      </c>
      <c r="I226" s="2">
        <v>2</v>
      </c>
      <c r="J226" s="1">
        <v>1902.9289000000001</v>
      </c>
      <c r="K226" s="1">
        <v>952.45910000000003</v>
      </c>
      <c r="L226" s="9" t="s">
        <v>673</v>
      </c>
      <c r="M226" s="2">
        <v>4.5</v>
      </c>
      <c r="N226" s="4">
        <v>3862.19</v>
      </c>
      <c r="O226" s="1">
        <v>13.228914501420585</v>
      </c>
      <c r="P226" s="6">
        <v>49.9</v>
      </c>
      <c r="Q226" s="6">
        <v>28.4</v>
      </c>
      <c r="R226" s="6">
        <v>11.3</v>
      </c>
      <c r="S226" s="6">
        <v>10.8</v>
      </c>
      <c r="T226" s="5">
        <v>3.7E-7</v>
      </c>
      <c r="U226" s="1">
        <v>2.52E-2</v>
      </c>
      <c r="V226" s="1">
        <v>8.2981999999999996</v>
      </c>
    </row>
    <row r="227" spans="1:22" x14ac:dyDescent="0.25">
      <c r="A227" s="1">
        <v>0.998</v>
      </c>
      <c r="B227" s="9" t="s">
        <v>1322</v>
      </c>
      <c r="C227" s="2">
        <v>2768</v>
      </c>
      <c r="D227" s="2" t="s">
        <v>451</v>
      </c>
      <c r="E227" s="9" t="s">
        <v>1323</v>
      </c>
      <c r="F227" s="9" t="s">
        <v>841</v>
      </c>
      <c r="G227" s="1">
        <v>1725.7856999999999</v>
      </c>
      <c r="H227" s="2">
        <v>757</v>
      </c>
      <c r="I227" s="2">
        <v>2</v>
      </c>
      <c r="J227" s="1">
        <v>1725.7982</v>
      </c>
      <c r="K227" s="1">
        <v>863.90009999999995</v>
      </c>
      <c r="L227" s="9" t="s">
        <v>673</v>
      </c>
      <c r="M227" s="2">
        <v>6.43</v>
      </c>
      <c r="N227" s="4">
        <v>3876.89</v>
      </c>
      <c r="O227" s="1">
        <v>7.2346328007138796</v>
      </c>
      <c r="P227" s="6">
        <v>33.799999999999997</v>
      </c>
      <c r="Q227" s="6">
        <v>22.6</v>
      </c>
      <c r="R227" s="6">
        <v>8</v>
      </c>
      <c r="S227" s="6">
        <v>10.3</v>
      </c>
      <c r="T227" s="5">
        <v>3.5E-4</v>
      </c>
      <c r="U227" s="1">
        <v>1.2500000000000001E-2</v>
      </c>
      <c r="V227" s="1">
        <v>5.2198000000000002</v>
      </c>
    </row>
    <row r="228" spans="1:22" x14ac:dyDescent="0.25">
      <c r="A228" s="1">
        <v>0.95120000000000005</v>
      </c>
      <c r="B228" s="9" t="s">
        <v>1324</v>
      </c>
      <c r="C228" s="2">
        <v>2798</v>
      </c>
      <c r="D228" s="2" t="s">
        <v>1325</v>
      </c>
      <c r="E228" s="9" t="s">
        <v>1326</v>
      </c>
      <c r="F228" s="9" t="s">
        <v>1327</v>
      </c>
      <c r="G228" s="1">
        <v>3001.6026999999999</v>
      </c>
      <c r="H228" s="2">
        <v>506</v>
      </c>
      <c r="I228" s="2">
        <v>4</v>
      </c>
      <c r="J228" s="1">
        <v>3001.5365999999999</v>
      </c>
      <c r="K228" s="1">
        <v>751.40800000000002</v>
      </c>
      <c r="L228" s="9" t="s">
        <v>1328</v>
      </c>
      <c r="M228" s="2">
        <v>6.11</v>
      </c>
      <c r="N228" s="4">
        <v>3950.44</v>
      </c>
      <c r="O228" s="1">
        <v>-21.99204693056236</v>
      </c>
      <c r="P228" s="6">
        <v>20.6</v>
      </c>
      <c r="Q228" s="6">
        <v>18.2</v>
      </c>
      <c r="R228" s="6">
        <v>11.1</v>
      </c>
      <c r="S228" s="6">
        <v>0</v>
      </c>
      <c r="T228" s="5">
        <v>0.23</v>
      </c>
      <c r="U228" s="1">
        <v>-6.6100000000000006E-2</v>
      </c>
      <c r="V228" s="1">
        <v>1.2539</v>
      </c>
    </row>
    <row r="229" spans="1:22" x14ac:dyDescent="0.25">
      <c r="A229" s="1">
        <v>0.99639999999999995</v>
      </c>
      <c r="B229" s="9" t="s">
        <v>1329</v>
      </c>
      <c r="C229" s="2">
        <v>2805</v>
      </c>
      <c r="D229" s="2" t="s">
        <v>141</v>
      </c>
      <c r="E229" s="9" t="s">
        <v>1330</v>
      </c>
      <c r="F229" s="9" t="s">
        <v>1331</v>
      </c>
      <c r="G229" s="1">
        <v>1410.6996999999999</v>
      </c>
      <c r="H229" s="2">
        <v>184</v>
      </c>
      <c r="I229" s="2">
        <v>2</v>
      </c>
      <c r="J229" s="1">
        <v>1410.7155</v>
      </c>
      <c r="K229" s="1">
        <v>706.35709999999995</v>
      </c>
      <c r="L229" s="9" t="s">
        <v>1332</v>
      </c>
      <c r="M229" s="2">
        <v>8.17</v>
      </c>
      <c r="N229" s="4">
        <v>3965.14</v>
      </c>
      <c r="O229" s="1">
        <v>11.184144676962973</v>
      </c>
      <c r="P229" s="6">
        <v>45.6</v>
      </c>
      <c r="Q229" s="6">
        <v>32.4</v>
      </c>
      <c r="R229" s="6">
        <v>9.6999999999999993</v>
      </c>
      <c r="S229" s="6">
        <v>10.1</v>
      </c>
      <c r="T229" s="5">
        <v>2.7000000000000001E-3</v>
      </c>
      <c r="U229" s="1">
        <v>1.5800000000000002E-2</v>
      </c>
      <c r="V229" s="1">
        <v>4.6497000000000002</v>
      </c>
    </row>
    <row r="230" spans="1:22" x14ac:dyDescent="0.25">
      <c r="A230" s="1">
        <v>0.99590000000000001</v>
      </c>
      <c r="B230" s="9" t="s">
        <v>1333</v>
      </c>
      <c r="C230" s="2">
        <v>2819</v>
      </c>
      <c r="D230" s="2" t="s">
        <v>141</v>
      </c>
      <c r="E230" s="9" t="s">
        <v>1334</v>
      </c>
      <c r="F230" s="9" t="s">
        <v>1335</v>
      </c>
      <c r="G230" s="1">
        <v>1395.6706999999999</v>
      </c>
      <c r="H230" s="2">
        <v>759</v>
      </c>
      <c r="I230" s="2">
        <v>2</v>
      </c>
      <c r="J230" s="1">
        <v>1395.6895999999999</v>
      </c>
      <c r="K230" s="1">
        <v>698.84259999999995</v>
      </c>
      <c r="L230" s="9" t="s">
        <v>745</v>
      </c>
      <c r="M230" s="2">
        <v>4.8499999999999996</v>
      </c>
      <c r="N230" s="4">
        <v>4001.89</v>
      </c>
      <c r="O230" s="1">
        <v>13.522358253489413</v>
      </c>
      <c r="P230" s="6">
        <v>46.7</v>
      </c>
      <c r="Q230" s="6">
        <v>31.4</v>
      </c>
      <c r="R230" s="6">
        <v>9.6999999999999993</v>
      </c>
      <c r="S230" s="6">
        <v>11.7</v>
      </c>
      <c r="T230" s="5">
        <v>7.9000000000000001E-4</v>
      </c>
      <c r="U230" s="1">
        <v>1.89E-2</v>
      </c>
      <c r="V230" s="1">
        <v>5.4267000000000003</v>
      </c>
    </row>
    <row r="231" spans="1:22" x14ac:dyDescent="0.25">
      <c r="A231" s="1">
        <v>0.99660000000000004</v>
      </c>
      <c r="B231" s="9" t="s">
        <v>1336</v>
      </c>
      <c r="C231" s="2">
        <v>2823</v>
      </c>
      <c r="D231" s="2" t="s">
        <v>1337</v>
      </c>
      <c r="E231" s="9" t="s">
        <v>1338</v>
      </c>
      <c r="F231" s="9" t="s">
        <v>1122</v>
      </c>
      <c r="G231" s="1">
        <v>2292.0877</v>
      </c>
      <c r="H231" s="2">
        <v>509</v>
      </c>
      <c r="I231" s="2">
        <v>3</v>
      </c>
      <c r="J231" s="1">
        <v>2292.1628000000001</v>
      </c>
      <c r="K231" s="1">
        <v>765.03650000000005</v>
      </c>
      <c r="L231" s="9" t="s">
        <v>456</v>
      </c>
      <c r="M231" s="2">
        <v>4.8499999999999996</v>
      </c>
      <c r="N231" s="4">
        <v>4009.24</v>
      </c>
      <c r="O231" s="1">
        <v>32.721750313002488</v>
      </c>
      <c r="P231" s="6">
        <v>37.4</v>
      </c>
      <c r="Q231" s="6">
        <v>32</v>
      </c>
      <c r="R231" s="6">
        <v>12.2</v>
      </c>
      <c r="S231" s="6">
        <v>13.1</v>
      </c>
      <c r="T231" s="5">
        <v>5.1999999999999995E-4</v>
      </c>
      <c r="U231" s="1">
        <v>7.51E-2</v>
      </c>
      <c r="V231" s="1">
        <v>4.2274000000000003</v>
      </c>
    </row>
    <row r="232" spans="1:22" x14ac:dyDescent="0.25">
      <c r="A232" s="1">
        <v>0.99529999999999996</v>
      </c>
      <c r="B232" s="9" t="s">
        <v>1339</v>
      </c>
      <c r="C232" s="2">
        <v>2831</v>
      </c>
      <c r="D232" s="2" t="s">
        <v>1340</v>
      </c>
      <c r="E232" s="9" t="s">
        <v>1341</v>
      </c>
      <c r="F232" s="9" t="s">
        <v>282</v>
      </c>
      <c r="G232" s="1">
        <v>1806.9337</v>
      </c>
      <c r="H232" s="2">
        <v>510</v>
      </c>
      <c r="I232" s="2">
        <v>2</v>
      </c>
      <c r="J232" s="1">
        <v>1806.9440999999999</v>
      </c>
      <c r="K232" s="1">
        <v>904.47410000000002</v>
      </c>
      <c r="L232" s="9" t="s">
        <v>283</v>
      </c>
      <c r="M232" s="2">
        <v>6.8</v>
      </c>
      <c r="N232" s="4">
        <v>4031.29</v>
      </c>
      <c r="O232" s="1">
        <v>5.7491972406948966</v>
      </c>
      <c r="P232" s="6">
        <v>26.7</v>
      </c>
      <c r="Q232" s="6">
        <v>19</v>
      </c>
      <c r="R232" s="6">
        <v>9.1</v>
      </c>
      <c r="S232" s="6">
        <v>9.9</v>
      </c>
      <c r="T232" s="5">
        <v>5.9000000000000003E-4</v>
      </c>
      <c r="U232" s="1">
        <v>1.04E-2</v>
      </c>
      <c r="V232" s="1">
        <v>4.5277000000000003</v>
      </c>
    </row>
    <row r="233" spans="1:22" x14ac:dyDescent="0.25">
      <c r="A233" s="1">
        <v>0.99770000000000003</v>
      </c>
      <c r="B233" s="9" t="s">
        <v>1342</v>
      </c>
      <c r="C233" s="2">
        <v>2832</v>
      </c>
      <c r="D233" s="2" t="s">
        <v>280</v>
      </c>
      <c r="E233" s="9" t="s">
        <v>1343</v>
      </c>
      <c r="F233" s="9" t="s">
        <v>1344</v>
      </c>
      <c r="G233" s="1">
        <v>1554.7347</v>
      </c>
      <c r="H233" s="2">
        <v>1186</v>
      </c>
      <c r="I233" s="2">
        <v>2</v>
      </c>
      <c r="J233" s="1">
        <v>1554.7538</v>
      </c>
      <c r="K233" s="1">
        <v>778.37459999999999</v>
      </c>
      <c r="L233" s="9" t="s">
        <v>309</v>
      </c>
      <c r="M233" s="2">
        <v>4.53</v>
      </c>
      <c r="N233" s="4">
        <v>4031.29</v>
      </c>
      <c r="O233" s="1">
        <v>12.269156778754084</v>
      </c>
      <c r="P233" s="6">
        <v>44.4</v>
      </c>
      <c r="Q233" s="6">
        <v>29.2</v>
      </c>
      <c r="R233" s="6">
        <v>11.6</v>
      </c>
      <c r="S233" s="6">
        <v>11.2</v>
      </c>
      <c r="T233" s="5">
        <v>2.5999999999999998E-4</v>
      </c>
      <c r="U233" s="1">
        <v>1.9099999999999999E-2</v>
      </c>
      <c r="V233" s="1">
        <v>5.5823</v>
      </c>
    </row>
    <row r="234" spans="1:22" x14ac:dyDescent="0.25">
      <c r="A234" s="1">
        <v>0.99839999999999995</v>
      </c>
      <c r="B234" s="9" t="s">
        <v>1345</v>
      </c>
      <c r="C234" s="2">
        <v>2837</v>
      </c>
      <c r="D234" s="2" t="s">
        <v>178</v>
      </c>
      <c r="E234" s="9" t="s">
        <v>1346</v>
      </c>
      <c r="F234" s="9" t="s">
        <v>363</v>
      </c>
      <c r="G234" s="1">
        <v>1545.7897</v>
      </c>
      <c r="H234" s="2">
        <v>1188</v>
      </c>
      <c r="I234" s="2">
        <v>2</v>
      </c>
      <c r="J234" s="1">
        <v>1545.819</v>
      </c>
      <c r="K234" s="1">
        <v>773.90210000000002</v>
      </c>
      <c r="L234" s="9" t="s">
        <v>364</v>
      </c>
      <c r="M234" s="2">
        <v>8.76</v>
      </c>
      <c r="N234" s="4">
        <v>4045.99</v>
      </c>
      <c r="O234" s="1">
        <v>18.930042960214216</v>
      </c>
      <c r="P234" s="6">
        <v>40.700000000000003</v>
      </c>
      <c r="Q234" s="6">
        <v>24.2</v>
      </c>
      <c r="R234" s="6">
        <v>8.6999999999999993</v>
      </c>
      <c r="S234" s="6">
        <v>11</v>
      </c>
      <c r="T234" s="5">
        <v>1.8000000000000001E-4</v>
      </c>
      <c r="U234" s="1">
        <v>2.93E-2</v>
      </c>
      <c r="V234" s="1">
        <v>6.0254000000000003</v>
      </c>
    </row>
    <row r="235" spans="1:22" x14ac:dyDescent="0.25">
      <c r="A235" s="1">
        <v>0.99960000000000004</v>
      </c>
      <c r="B235" s="9" t="s">
        <v>1347</v>
      </c>
      <c r="C235" s="2">
        <v>2844</v>
      </c>
      <c r="D235" s="2" t="s">
        <v>493</v>
      </c>
      <c r="E235" s="9" t="s">
        <v>1346</v>
      </c>
      <c r="F235" s="9" t="s">
        <v>363</v>
      </c>
      <c r="G235" s="1">
        <v>1545.7897</v>
      </c>
      <c r="H235" s="2">
        <v>1428</v>
      </c>
      <c r="I235" s="2">
        <v>2</v>
      </c>
      <c r="J235" s="1">
        <v>1545.5587</v>
      </c>
      <c r="K235" s="1">
        <v>773.90210000000002</v>
      </c>
      <c r="L235" s="9" t="s">
        <v>364</v>
      </c>
      <c r="M235" s="2">
        <v>8.76</v>
      </c>
      <c r="N235" s="4">
        <v>4066.99</v>
      </c>
      <c r="O235" s="1">
        <v>-149.24368340646706</v>
      </c>
      <c r="P235" s="6">
        <v>54.9</v>
      </c>
      <c r="Q235" s="6">
        <v>28.7</v>
      </c>
      <c r="R235" s="6">
        <v>10.3</v>
      </c>
      <c r="S235" s="6">
        <v>12.1</v>
      </c>
      <c r="T235" s="5">
        <v>4.4999999999999998E-7</v>
      </c>
      <c r="U235" s="1">
        <v>-0.23100000000000001</v>
      </c>
      <c r="V235" s="1">
        <v>9.0029000000000003</v>
      </c>
    </row>
    <row r="236" spans="1:22" x14ac:dyDescent="0.25">
      <c r="A236" s="1">
        <v>0.96379999999999999</v>
      </c>
      <c r="B236" s="9" t="s">
        <v>1348</v>
      </c>
      <c r="C236" s="2">
        <v>2844</v>
      </c>
      <c r="D236" s="2" t="s">
        <v>1349</v>
      </c>
      <c r="E236" s="9" t="s">
        <v>1350</v>
      </c>
      <c r="F236" s="9" t="s">
        <v>363</v>
      </c>
      <c r="G236" s="1">
        <v>2317.1986999999999</v>
      </c>
      <c r="H236" s="2">
        <v>1495</v>
      </c>
      <c r="I236" s="2">
        <v>3</v>
      </c>
      <c r="J236" s="1">
        <v>2318.3380999999999</v>
      </c>
      <c r="K236" s="1">
        <v>773.40679999999998</v>
      </c>
      <c r="L236" s="9" t="s">
        <v>364</v>
      </c>
      <c r="M236" s="2">
        <v>5.32</v>
      </c>
      <c r="N236" s="4">
        <v>4066.99</v>
      </c>
      <c r="O236" s="1">
        <v>58.634515927883392</v>
      </c>
      <c r="P236" s="6">
        <v>43.1</v>
      </c>
      <c r="Q236" s="6">
        <v>31.2</v>
      </c>
      <c r="R236" s="6">
        <v>6.9</v>
      </c>
      <c r="S236" s="6">
        <v>12.4</v>
      </c>
      <c r="T236" s="5">
        <v>3.2000000000000003E-4</v>
      </c>
      <c r="U236" s="1">
        <v>1.1394</v>
      </c>
      <c r="V236" s="1">
        <v>4.9170999999999996</v>
      </c>
    </row>
    <row r="237" spans="1:22" x14ac:dyDescent="0.25">
      <c r="A237" s="1">
        <v>0.98670000000000002</v>
      </c>
      <c r="B237" s="9" t="s">
        <v>1351</v>
      </c>
      <c r="C237" s="2">
        <v>2849</v>
      </c>
      <c r="D237" s="2" t="s">
        <v>1352</v>
      </c>
      <c r="E237" s="9" t="s">
        <v>1353</v>
      </c>
      <c r="F237" s="9" t="s">
        <v>672</v>
      </c>
      <c r="G237" s="1">
        <v>1844.9091000000001</v>
      </c>
      <c r="H237" s="2">
        <v>513</v>
      </c>
      <c r="I237" s="2">
        <v>2</v>
      </c>
      <c r="J237" s="1">
        <v>1844.9159999999999</v>
      </c>
      <c r="K237" s="1">
        <v>923.46180000000004</v>
      </c>
      <c r="L237" s="9" t="s">
        <v>673</v>
      </c>
      <c r="M237" s="2">
        <v>6.13</v>
      </c>
      <c r="N237" s="4">
        <v>4075.39</v>
      </c>
      <c r="O237" s="1">
        <v>3.7359422988584909</v>
      </c>
      <c r="P237" s="6">
        <v>27.6</v>
      </c>
      <c r="Q237" s="6">
        <v>20.7</v>
      </c>
      <c r="R237" s="6">
        <v>12.7</v>
      </c>
      <c r="S237" s="6">
        <v>8</v>
      </c>
      <c r="T237" s="5">
        <v>2.1000000000000001E-2</v>
      </c>
      <c r="U237" s="1">
        <v>6.8999999999999999E-3</v>
      </c>
      <c r="V237" s="1">
        <v>2.9453</v>
      </c>
    </row>
    <row r="238" spans="1:22" x14ac:dyDescent="0.25">
      <c r="A238" s="1">
        <v>0.99129999999999996</v>
      </c>
      <c r="B238" s="9" t="s">
        <v>1354</v>
      </c>
      <c r="C238" s="2">
        <v>2855</v>
      </c>
      <c r="D238" s="2" t="s">
        <v>451</v>
      </c>
      <c r="E238" s="9" t="s">
        <v>1355</v>
      </c>
      <c r="F238" s="9" t="s">
        <v>1083</v>
      </c>
      <c r="G238" s="1">
        <v>1670.8087</v>
      </c>
      <c r="H238" s="2">
        <v>357</v>
      </c>
      <c r="I238" s="2">
        <v>2</v>
      </c>
      <c r="J238" s="1">
        <v>1670.8252</v>
      </c>
      <c r="K238" s="1">
        <v>836.41160000000002</v>
      </c>
      <c r="L238" s="9" t="s">
        <v>1084</v>
      </c>
      <c r="M238" s="2">
        <v>5.51</v>
      </c>
      <c r="N238" s="4">
        <v>4093.34</v>
      </c>
      <c r="O238" s="1">
        <v>9.863564780784964</v>
      </c>
      <c r="P238" s="6">
        <v>35.299999999999997</v>
      </c>
      <c r="Q238" s="6">
        <v>20.9</v>
      </c>
      <c r="R238" s="6">
        <v>10.7</v>
      </c>
      <c r="S238" s="6">
        <v>9.4</v>
      </c>
      <c r="T238" s="5">
        <v>2.7000000000000001E-3</v>
      </c>
      <c r="U238" s="1">
        <v>1.6500000000000001E-2</v>
      </c>
      <c r="V238" s="1">
        <v>4.6734999999999998</v>
      </c>
    </row>
    <row r="239" spans="1:22" x14ac:dyDescent="0.25">
      <c r="A239" s="1">
        <v>0.99719999999999998</v>
      </c>
      <c r="B239" s="9" t="s">
        <v>1356</v>
      </c>
      <c r="C239" s="2">
        <v>2861</v>
      </c>
      <c r="D239" s="2" t="s">
        <v>451</v>
      </c>
      <c r="E239" s="9" t="s">
        <v>1357</v>
      </c>
      <c r="F239" s="9" t="s">
        <v>1358</v>
      </c>
      <c r="G239" s="1">
        <v>1735.9117000000001</v>
      </c>
      <c r="H239" s="2">
        <v>358</v>
      </c>
      <c r="I239" s="2">
        <v>2</v>
      </c>
      <c r="J239" s="1">
        <v>1735.9250999999999</v>
      </c>
      <c r="K239" s="1">
        <v>868.96310000000005</v>
      </c>
      <c r="L239" s="9" t="s">
        <v>1359</v>
      </c>
      <c r="M239" s="2">
        <v>8.7200000000000006</v>
      </c>
      <c r="N239" s="4">
        <v>4108.04</v>
      </c>
      <c r="O239" s="1">
        <v>7.7103389085221217</v>
      </c>
      <c r="P239" s="6">
        <v>36.299999999999997</v>
      </c>
      <c r="Q239" s="6">
        <v>22</v>
      </c>
      <c r="R239" s="6">
        <v>12.1</v>
      </c>
      <c r="S239" s="6">
        <v>11.9</v>
      </c>
      <c r="T239" s="5">
        <v>1.2999999999999999E-3</v>
      </c>
      <c r="U239" s="1">
        <v>1.34E-2</v>
      </c>
      <c r="V239" s="1">
        <v>4.9261999999999997</v>
      </c>
    </row>
    <row r="240" spans="1:22" x14ac:dyDescent="0.25">
      <c r="A240" s="1">
        <v>0.99539999999999995</v>
      </c>
      <c r="B240" s="9" t="s">
        <v>1360</v>
      </c>
      <c r="C240" s="2">
        <v>2862</v>
      </c>
      <c r="D240" s="2" t="s">
        <v>316</v>
      </c>
      <c r="E240" s="9" t="s">
        <v>271</v>
      </c>
      <c r="F240" s="9" t="s">
        <v>272</v>
      </c>
      <c r="G240" s="1">
        <v>1682.8077000000001</v>
      </c>
      <c r="H240" s="2">
        <v>1190</v>
      </c>
      <c r="I240" s="2">
        <v>2</v>
      </c>
      <c r="J240" s="1">
        <v>1682.8398</v>
      </c>
      <c r="K240" s="1">
        <v>842.41110000000003</v>
      </c>
      <c r="L240" s="9" t="s">
        <v>273</v>
      </c>
      <c r="M240" s="2">
        <v>4.46</v>
      </c>
      <c r="N240" s="4">
        <v>4104.84</v>
      </c>
      <c r="O240" s="1">
        <v>19.052455505393979</v>
      </c>
      <c r="P240" s="6">
        <v>38.9</v>
      </c>
      <c r="Q240" s="6">
        <v>26.2</v>
      </c>
      <c r="R240" s="6">
        <v>11</v>
      </c>
      <c r="S240" s="6">
        <v>11.8</v>
      </c>
      <c r="T240" s="5">
        <v>8.0999999999999996E-4</v>
      </c>
      <c r="U240" s="1">
        <v>3.2099999999999997E-2</v>
      </c>
      <c r="V240" s="1">
        <v>4.8400999999999996</v>
      </c>
    </row>
    <row r="241" spans="1:22" x14ac:dyDescent="0.25">
      <c r="A241" s="1">
        <v>0.99819999999999998</v>
      </c>
      <c r="B241" s="9" t="s">
        <v>1361</v>
      </c>
      <c r="C241" s="2">
        <v>2876</v>
      </c>
      <c r="D241" s="2" t="s">
        <v>451</v>
      </c>
      <c r="E241" s="9" t="s">
        <v>1357</v>
      </c>
      <c r="F241" s="9" t="s">
        <v>1358</v>
      </c>
      <c r="G241" s="1">
        <v>1735.9117000000001</v>
      </c>
      <c r="H241" s="2">
        <v>763</v>
      </c>
      <c r="I241" s="2">
        <v>2</v>
      </c>
      <c r="J241" s="1">
        <v>1735.9347</v>
      </c>
      <c r="K241" s="1">
        <v>868.96310000000005</v>
      </c>
      <c r="L241" s="9" t="s">
        <v>1359</v>
      </c>
      <c r="M241" s="2">
        <v>8.7200000000000006</v>
      </c>
      <c r="N241" s="4">
        <v>4141.59</v>
      </c>
      <c r="O241" s="1">
        <v>13.234163798209613</v>
      </c>
      <c r="P241" s="6">
        <v>38.700000000000003</v>
      </c>
      <c r="Q241" s="6">
        <v>25</v>
      </c>
      <c r="R241" s="6">
        <v>12</v>
      </c>
      <c r="S241" s="6">
        <v>12.2</v>
      </c>
      <c r="T241" s="5">
        <v>3.5E-4</v>
      </c>
      <c r="U241" s="1">
        <v>2.3E-2</v>
      </c>
      <c r="V241" s="1">
        <v>5.3166000000000002</v>
      </c>
    </row>
    <row r="242" spans="1:22" x14ac:dyDescent="0.25">
      <c r="A242" s="1">
        <v>0.99960000000000004</v>
      </c>
      <c r="B242" s="9" t="s">
        <v>1362</v>
      </c>
      <c r="C242" s="2">
        <v>2882</v>
      </c>
      <c r="D242" s="2" t="s">
        <v>1363</v>
      </c>
      <c r="E242" s="9" t="s">
        <v>1364</v>
      </c>
      <c r="F242" s="9" t="s">
        <v>1365</v>
      </c>
      <c r="G242" s="1">
        <v>1679.9167</v>
      </c>
      <c r="H242" s="2">
        <v>765</v>
      </c>
      <c r="I242" s="2">
        <v>2</v>
      </c>
      <c r="J242" s="1">
        <v>1679.9290000000001</v>
      </c>
      <c r="K242" s="1">
        <v>840.96559999999999</v>
      </c>
      <c r="L242" s="9" t="s">
        <v>1366</v>
      </c>
      <c r="M242" s="2">
        <v>8.5</v>
      </c>
      <c r="N242" s="4">
        <v>4156.29</v>
      </c>
      <c r="O242" s="1">
        <v>7.3130220784298432</v>
      </c>
      <c r="P242" s="6">
        <v>55.6</v>
      </c>
      <c r="Q242" s="6">
        <v>30.1</v>
      </c>
      <c r="R242" s="6">
        <v>11.9</v>
      </c>
      <c r="S242" s="6">
        <v>10.4</v>
      </c>
      <c r="T242" s="5">
        <v>1.9E-6</v>
      </c>
      <c r="U242" s="1">
        <v>1.23E-2</v>
      </c>
      <c r="V242" s="1">
        <v>7.9945000000000004</v>
      </c>
    </row>
    <row r="243" spans="1:22" x14ac:dyDescent="0.25">
      <c r="A243" s="1">
        <v>0.99539999999999995</v>
      </c>
      <c r="B243" s="9" t="s">
        <v>1367</v>
      </c>
      <c r="C243" s="2">
        <v>2883</v>
      </c>
      <c r="D243" s="2" t="s">
        <v>425</v>
      </c>
      <c r="E243" s="9" t="s">
        <v>1368</v>
      </c>
      <c r="F243" s="9" t="s">
        <v>1369</v>
      </c>
      <c r="G243" s="1">
        <v>1457.7186999999999</v>
      </c>
      <c r="H243" s="2">
        <v>359</v>
      </c>
      <c r="I243" s="2">
        <v>2</v>
      </c>
      <c r="J243" s="1">
        <v>1457.7313999999999</v>
      </c>
      <c r="K243" s="1">
        <v>729.86659999999995</v>
      </c>
      <c r="L243" s="9" t="s">
        <v>1370</v>
      </c>
      <c r="M243" s="2">
        <v>4.8600000000000003</v>
      </c>
      <c r="N243" s="4">
        <v>4162.59</v>
      </c>
      <c r="O243" s="1">
        <v>8.7002200128078204</v>
      </c>
      <c r="P243" s="6">
        <v>35.6</v>
      </c>
      <c r="Q243" s="6">
        <v>24.1</v>
      </c>
      <c r="R243" s="6">
        <v>12.4</v>
      </c>
      <c r="S243" s="6">
        <v>13.2</v>
      </c>
      <c r="T243" s="5">
        <v>3.3999999999999998E-3</v>
      </c>
      <c r="U243" s="1">
        <v>1.2699999999999999E-2</v>
      </c>
      <c r="V243" s="1">
        <v>4.5172999999999996</v>
      </c>
    </row>
    <row r="244" spans="1:22" x14ac:dyDescent="0.25">
      <c r="A244" s="1">
        <v>0.99980000000000002</v>
      </c>
      <c r="B244" s="9" t="s">
        <v>1371</v>
      </c>
      <c r="C244" s="2">
        <v>2906</v>
      </c>
      <c r="D244" s="2" t="s">
        <v>1372</v>
      </c>
      <c r="E244" s="9" t="s">
        <v>1373</v>
      </c>
      <c r="F244" s="9" t="s">
        <v>1374</v>
      </c>
      <c r="G244" s="1">
        <v>2161.0596999999998</v>
      </c>
      <c r="H244" s="2">
        <v>188</v>
      </c>
      <c r="I244" s="2">
        <v>3</v>
      </c>
      <c r="J244" s="1">
        <v>2161.1345000000001</v>
      </c>
      <c r="K244" s="1">
        <v>721.3605</v>
      </c>
      <c r="L244" s="9" t="s">
        <v>1375</v>
      </c>
      <c r="M244" s="2">
        <v>5.48</v>
      </c>
      <c r="N244" s="4">
        <v>4215.09</v>
      </c>
      <c r="O244" s="1">
        <v>34.56431747140762</v>
      </c>
      <c r="P244" s="6">
        <v>43.7</v>
      </c>
      <c r="Q244" s="6">
        <v>26.7</v>
      </c>
      <c r="R244" s="6">
        <v>11.3</v>
      </c>
      <c r="S244" s="6">
        <v>11.3</v>
      </c>
      <c r="T244" s="5">
        <v>1E-4</v>
      </c>
      <c r="U244" s="1">
        <v>7.4800000000000005E-2</v>
      </c>
      <c r="V244" s="1">
        <v>6.2108999999999996</v>
      </c>
    </row>
    <row r="245" spans="1:22" x14ac:dyDescent="0.25">
      <c r="A245" s="1">
        <v>0.99929999999999997</v>
      </c>
      <c r="B245" s="9" t="s">
        <v>1376</v>
      </c>
      <c r="C245" s="2">
        <v>2915</v>
      </c>
      <c r="D245" s="2" t="s">
        <v>1377</v>
      </c>
      <c r="E245" s="9" t="s">
        <v>1378</v>
      </c>
      <c r="F245" s="9" t="s">
        <v>860</v>
      </c>
      <c r="G245" s="1">
        <v>1830.8726999999999</v>
      </c>
      <c r="H245" s="2">
        <v>1435</v>
      </c>
      <c r="I245" s="2">
        <v>2</v>
      </c>
      <c r="J245" s="1">
        <v>1830.8894</v>
      </c>
      <c r="K245" s="1">
        <v>916.44359999999995</v>
      </c>
      <c r="L245" s="9" t="s">
        <v>673</v>
      </c>
      <c r="M245" s="2">
        <v>8.59</v>
      </c>
      <c r="N245" s="4">
        <v>4240.4399999999996</v>
      </c>
      <c r="O245" s="1">
        <v>9.1113081045031041</v>
      </c>
      <c r="P245" s="6">
        <v>60</v>
      </c>
      <c r="Q245" s="6">
        <v>27.6</v>
      </c>
      <c r="R245" s="6">
        <v>8.1999999999999993</v>
      </c>
      <c r="S245" s="6">
        <v>10.199999999999999</v>
      </c>
      <c r="T245" s="5">
        <v>7.1999999999999997E-11</v>
      </c>
      <c r="U245" s="1">
        <v>1.67E-2</v>
      </c>
      <c r="V245" s="1">
        <v>10.954700000000001</v>
      </c>
    </row>
    <row r="246" spans="1:22" x14ac:dyDescent="0.25">
      <c r="A246" s="1">
        <v>0.99060000000000004</v>
      </c>
      <c r="B246" s="9" t="s">
        <v>1379</v>
      </c>
      <c r="C246" s="2">
        <v>2933</v>
      </c>
      <c r="D246" s="2" t="s">
        <v>316</v>
      </c>
      <c r="E246" s="9" t="s">
        <v>289</v>
      </c>
      <c r="F246" s="9" t="s">
        <v>290</v>
      </c>
      <c r="G246" s="1">
        <v>1831.9757</v>
      </c>
      <c r="H246" s="2">
        <v>768</v>
      </c>
      <c r="I246" s="2">
        <v>2</v>
      </c>
      <c r="J246" s="1">
        <v>1831.9938</v>
      </c>
      <c r="K246" s="1">
        <v>916.99509999999998</v>
      </c>
      <c r="L246" s="9" t="s">
        <v>291</v>
      </c>
      <c r="M246" s="2">
        <v>6.17</v>
      </c>
      <c r="N246" s="4">
        <v>4281.3900000000003</v>
      </c>
      <c r="O246" s="1">
        <v>9.8691912312290455</v>
      </c>
      <c r="P246" s="6">
        <v>39.4</v>
      </c>
      <c r="Q246" s="6">
        <v>24.5</v>
      </c>
      <c r="R246" s="6">
        <v>10.9</v>
      </c>
      <c r="S246" s="6">
        <v>11.8</v>
      </c>
      <c r="T246" s="5">
        <v>2.3E-3</v>
      </c>
      <c r="U246" s="1">
        <v>1.8100000000000002E-2</v>
      </c>
      <c r="V246" s="1">
        <v>4.6147999999999998</v>
      </c>
    </row>
    <row r="247" spans="1:22" x14ac:dyDescent="0.25">
      <c r="A247" s="1">
        <v>0.99980000000000002</v>
      </c>
      <c r="B247" s="9" t="s">
        <v>1380</v>
      </c>
      <c r="C247" s="2">
        <v>2934</v>
      </c>
      <c r="D247" s="2" t="s">
        <v>1372</v>
      </c>
      <c r="E247" s="9" t="s">
        <v>1381</v>
      </c>
      <c r="F247" s="9" t="s">
        <v>97</v>
      </c>
      <c r="G247" s="1">
        <v>2239.1307000000002</v>
      </c>
      <c r="H247" s="2">
        <v>1195</v>
      </c>
      <c r="I247" s="2">
        <v>3</v>
      </c>
      <c r="J247" s="1">
        <v>2239.1891999999998</v>
      </c>
      <c r="K247" s="1">
        <v>747.38419999999996</v>
      </c>
      <c r="L247" s="9" t="s">
        <v>98</v>
      </c>
      <c r="M247" s="2">
        <v>5.58</v>
      </c>
      <c r="N247" s="4">
        <v>4281.3900000000003</v>
      </c>
      <c r="O247" s="1">
        <v>26.090998444976492</v>
      </c>
      <c r="P247" s="6">
        <v>43.6</v>
      </c>
      <c r="Q247" s="6">
        <v>26.3</v>
      </c>
      <c r="R247" s="6">
        <v>11.2</v>
      </c>
      <c r="S247" s="6">
        <v>10</v>
      </c>
      <c r="T247" s="5">
        <v>9.1000000000000003E-5</v>
      </c>
      <c r="U247" s="1">
        <v>5.8500000000000003E-2</v>
      </c>
      <c r="V247" s="1">
        <v>6.2899000000000003</v>
      </c>
    </row>
    <row r="248" spans="1:22" x14ac:dyDescent="0.25">
      <c r="A248" s="1">
        <v>0.99590000000000001</v>
      </c>
      <c r="B248" s="9" t="s">
        <v>1382</v>
      </c>
      <c r="C248" s="2">
        <v>2942</v>
      </c>
      <c r="D248" s="2" t="s">
        <v>1337</v>
      </c>
      <c r="E248" s="9" t="s">
        <v>1383</v>
      </c>
      <c r="F248" s="9" t="s">
        <v>552</v>
      </c>
      <c r="G248" s="1">
        <v>2276.0927000000001</v>
      </c>
      <c r="H248" s="2">
        <v>1196</v>
      </c>
      <c r="I248" s="2">
        <v>3</v>
      </c>
      <c r="J248" s="1">
        <v>2276.1469000000002</v>
      </c>
      <c r="K248" s="1">
        <v>759.70479999999998</v>
      </c>
      <c r="L248" s="9" t="s">
        <v>456</v>
      </c>
      <c r="M248" s="2">
        <v>4.8499999999999996</v>
      </c>
      <c r="N248" s="4">
        <v>4303.54</v>
      </c>
      <c r="O248" s="1">
        <v>23.781166930453335</v>
      </c>
      <c r="P248" s="6">
        <v>39.1</v>
      </c>
      <c r="Q248" s="6">
        <v>32.799999999999997</v>
      </c>
      <c r="R248" s="6">
        <v>10</v>
      </c>
      <c r="S248" s="6">
        <v>12.8</v>
      </c>
      <c r="T248" s="5">
        <v>5.9999999999999995E-4</v>
      </c>
      <c r="U248" s="1">
        <v>5.4199999999999998E-2</v>
      </c>
      <c r="V248" s="1">
        <v>4.2382999999999997</v>
      </c>
    </row>
    <row r="249" spans="1:22" x14ac:dyDescent="0.25">
      <c r="A249" s="1">
        <v>0.99770000000000003</v>
      </c>
      <c r="B249" s="9" t="s">
        <v>1384</v>
      </c>
      <c r="C249" s="2">
        <v>2970</v>
      </c>
      <c r="D249" s="2" t="s">
        <v>1385</v>
      </c>
      <c r="E249" s="9" t="s">
        <v>1386</v>
      </c>
      <c r="F249" s="9" t="s">
        <v>1387</v>
      </c>
      <c r="G249" s="1">
        <v>2424.2377000000001</v>
      </c>
      <c r="H249" s="2">
        <v>1198</v>
      </c>
      <c r="I249" s="2">
        <v>3</v>
      </c>
      <c r="J249" s="1">
        <v>2424.3141999999998</v>
      </c>
      <c r="K249" s="1">
        <v>809.0865</v>
      </c>
      <c r="L249" s="9" t="s">
        <v>1388</v>
      </c>
      <c r="M249" s="2">
        <v>8.8000000000000007</v>
      </c>
      <c r="N249" s="4">
        <v>4369.9399999999996</v>
      </c>
      <c r="O249" s="1">
        <v>31.517025682668045</v>
      </c>
      <c r="P249" s="6">
        <v>36</v>
      </c>
      <c r="Q249" s="6">
        <v>23.3</v>
      </c>
      <c r="R249" s="6">
        <v>11.4</v>
      </c>
      <c r="S249" s="6">
        <v>9.6999999999999993</v>
      </c>
      <c r="T249" s="5">
        <v>1.5E-3</v>
      </c>
      <c r="U249" s="1">
        <v>7.6499999999999999E-2</v>
      </c>
      <c r="V249" s="1">
        <v>4.5774999999999997</v>
      </c>
    </row>
    <row r="250" spans="1:22" x14ac:dyDescent="0.25">
      <c r="A250" s="1">
        <v>0.9788</v>
      </c>
      <c r="B250" s="9" t="s">
        <v>1389</v>
      </c>
      <c r="C250" s="2">
        <v>2994</v>
      </c>
      <c r="D250" s="2" t="s">
        <v>1390</v>
      </c>
      <c r="E250" s="9" t="s">
        <v>1391</v>
      </c>
      <c r="F250" s="9" t="s">
        <v>97</v>
      </c>
      <c r="G250" s="1">
        <v>2182.1097</v>
      </c>
      <c r="H250" s="2">
        <v>1200</v>
      </c>
      <c r="I250" s="2">
        <v>3</v>
      </c>
      <c r="J250" s="1">
        <v>2182.1628000000001</v>
      </c>
      <c r="K250" s="1">
        <v>728.37720000000002</v>
      </c>
      <c r="L250" s="9" t="s">
        <v>98</v>
      </c>
      <c r="M250" s="2">
        <v>5.58</v>
      </c>
      <c r="N250" s="4">
        <v>4428.9399999999996</v>
      </c>
      <c r="O250" s="1">
        <v>24.300595900036409</v>
      </c>
      <c r="P250" s="6">
        <v>38</v>
      </c>
      <c r="Q250" s="6">
        <v>28.9</v>
      </c>
      <c r="R250" s="6">
        <v>11</v>
      </c>
      <c r="S250" s="6">
        <v>9.4</v>
      </c>
      <c r="T250" s="5">
        <v>1.4999999999999999E-2</v>
      </c>
      <c r="U250" s="1">
        <v>5.3100000000000001E-2</v>
      </c>
      <c r="V250" s="1">
        <v>3.3086000000000002</v>
      </c>
    </row>
    <row r="251" spans="1:22" x14ac:dyDescent="0.25">
      <c r="A251" s="1">
        <v>0.98199999999999998</v>
      </c>
      <c r="B251" s="9" t="s">
        <v>1392</v>
      </c>
      <c r="C251" s="2">
        <v>3005</v>
      </c>
      <c r="D251" s="2" t="s">
        <v>520</v>
      </c>
      <c r="E251" s="9" t="s">
        <v>1393</v>
      </c>
      <c r="F251" s="9" t="s">
        <v>870</v>
      </c>
      <c r="G251" s="1">
        <v>1635.7637</v>
      </c>
      <c r="H251" s="2">
        <v>773</v>
      </c>
      <c r="I251" s="2">
        <v>2</v>
      </c>
      <c r="J251" s="1">
        <v>1635.7911999999999</v>
      </c>
      <c r="K251" s="1">
        <v>818.88909999999998</v>
      </c>
      <c r="L251" s="9" t="s">
        <v>871</v>
      </c>
      <c r="M251" s="2">
        <v>4.75</v>
      </c>
      <c r="N251" s="4">
        <v>4458.4399999999996</v>
      </c>
      <c r="O251" s="1">
        <v>16.791040447357283</v>
      </c>
      <c r="P251" s="6">
        <v>32.299999999999997</v>
      </c>
      <c r="Q251" s="6">
        <v>24</v>
      </c>
      <c r="R251" s="6">
        <v>9.6</v>
      </c>
      <c r="S251" s="6">
        <v>11.5</v>
      </c>
      <c r="T251" s="5">
        <v>1.4999999999999999E-2</v>
      </c>
      <c r="U251" s="1">
        <v>2.75E-2</v>
      </c>
      <c r="V251" s="1">
        <v>3.4039999999999999</v>
      </c>
    </row>
    <row r="252" spans="1:22" x14ac:dyDescent="0.25">
      <c r="A252" s="1">
        <v>0.996</v>
      </c>
      <c r="B252" s="9" t="s">
        <v>1394</v>
      </c>
      <c r="C252" s="2">
        <v>3026</v>
      </c>
      <c r="D252" s="2" t="s">
        <v>93</v>
      </c>
      <c r="E252" s="9" t="s">
        <v>1395</v>
      </c>
      <c r="F252" s="9" t="s">
        <v>1396</v>
      </c>
      <c r="G252" s="1">
        <v>1432.7387000000001</v>
      </c>
      <c r="H252" s="2">
        <v>778</v>
      </c>
      <c r="I252" s="2">
        <v>2</v>
      </c>
      <c r="J252" s="1">
        <v>1432.7584999999999</v>
      </c>
      <c r="K252" s="1">
        <v>717.37660000000005</v>
      </c>
      <c r="L252" s="9" t="s">
        <v>1397</v>
      </c>
      <c r="M252" s="2">
        <v>6.25</v>
      </c>
      <c r="N252" s="4">
        <v>4510.09</v>
      </c>
      <c r="O252" s="1">
        <v>13.800282863979673</v>
      </c>
      <c r="P252" s="6">
        <v>49.8</v>
      </c>
      <c r="Q252" s="6">
        <v>34.1</v>
      </c>
      <c r="R252" s="6">
        <v>9.5</v>
      </c>
      <c r="S252" s="6">
        <v>12.5</v>
      </c>
      <c r="T252" s="5">
        <v>6.4000000000000005E-4</v>
      </c>
      <c r="U252" s="1">
        <v>1.9800000000000002E-2</v>
      </c>
      <c r="V252" s="1">
        <v>5.4686000000000003</v>
      </c>
    </row>
    <row r="253" spans="1:22" x14ac:dyDescent="0.25">
      <c r="A253" s="1">
        <v>1</v>
      </c>
      <c r="B253" s="9" t="s">
        <v>1398</v>
      </c>
      <c r="C253" s="2">
        <v>3033</v>
      </c>
      <c r="D253" s="2" t="s">
        <v>1399</v>
      </c>
      <c r="E253" s="9" t="s">
        <v>941</v>
      </c>
      <c r="F253" s="9" t="s">
        <v>1400</v>
      </c>
      <c r="G253" s="1">
        <v>2085.1136999999999</v>
      </c>
      <c r="H253" s="2">
        <v>1551</v>
      </c>
      <c r="I253" s="2">
        <v>3</v>
      </c>
      <c r="J253" s="1">
        <v>2085.1718999999998</v>
      </c>
      <c r="K253" s="1">
        <v>696.04520000000002</v>
      </c>
      <c r="L253" s="9" t="s">
        <v>399</v>
      </c>
      <c r="M253" s="2">
        <v>6.25</v>
      </c>
      <c r="N253" s="4">
        <v>4524.79</v>
      </c>
      <c r="O253" s="1">
        <v>27.871753156260542</v>
      </c>
      <c r="P253" s="6">
        <v>49.5</v>
      </c>
      <c r="Q253" s="6">
        <v>26.7</v>
      </c>
      <c r="R253" s="6">
        <v>11.9</v>
      </c>
      <c r="S253" s="6">
        <v>12</v>
      </c>
      <c r="T253" s="5">
        <v>1.4000000000000001E-7</v>
      </c>
      <c r="U253" s="1">
        <v>5.8200000000000002E-2</v>
      </c>
      <c r="V253" s="1">
        <v>9.8108000000000004</v>
      </c>
    </row>
    <row r="254" spans="1:22" x14ac:dyDescent="0.25">
      <c r="A254" s="1">
        <v>0.96350000000000002</v>
      </c>
      <c r="B254" s="9" t="s">
        <v>1401</v>
      </c>
      <c r="C254" s="2">
        <v>3038</v>
      </c>
      <c r="D254" s="2" t="s">
        <v>1402</v>
      </c>
      <c r="E254" s="9" t="s">
        <v>1403</v>
      </c>
      <c r="F254" s="9" t="s">
        <v>391</v>
      </c>
      <c r="G254" s="1">
        <v>2926.4506999999999</v>
      </c>
      <c r="H254" s="2">
        <v>408</v>
      </c>
      <c r="I254" s="2">
        <v>3</v>
      </c>
      <c r="J254" s="1">
        <v>2927.0729999999999</v>
      </c>
      <c r="K254" s="1">
        <v>976.49080000000004</v>
      </c>
      <c r="L254" s="9" t="s">
        <v>364</v>
      </c>
      <c r="M254" s="2">
        <v>6.77</v>
      </c>
      <c r="N254" s="4">
        <v>4542.6899999999996</v>
      </c>
      <c r="O254" s="1">
        <v>-130.07632364107613</v>
      </c>
      <c r="P254" s="6">
        <v>43.8</v>
      </c>
      <c r="Q254" s="6">
        <v>42.8</v>
      </c>
      <c r="R254" s="6">
        <v>12.3</v>
      </c>
      <c r="S254" s="6">
        <v>10.8</v>
      </c>
      <c r="T254" s="5">
        <v>1.5999999999999999E-6</v>
      </c>
      <c r="U254" s="1">
        <v>0.62229999999999996</v>
      </c>
      <c r="V254" s="1">
        <v>5.4245999999999999</v>
      </c>
    </row>
    <row r="255" spans="1:22" x14ac:dyDescent="0.25">
      <c r="A255" s="1">
        <v>1</v>
      </c>
      <c r="B255" s="9" t="s">
        <v>1404</v>
      </c>
      <c r="C255" s="2">
        <v>3051</v>
      </c>
      <c r="D255" s="2" t="s">
        <v>1405</v>
      </c>
      <c r="E255" s="9" t="s">
        <v>1406</v>
      </c>
      <c r="F255" s="9" t="s">
        <v>1407</v>
      </c>
      <c r="G255" s="1">
        <v>2287.2833999999998</v>
      </c>
      <c r="H255" s="2">
        <v>1205</v>
      </c>
      <c r="I255" s="2">
        <v>3</v>
      </c>
      <c r="J255" s="1">
        <v>2287.2782999999999</v>
      </c>
      <c r="K255" s="1">
        <v>763.43510000000003</v>
      </c>
      <c r="L255" s="9" t="s">
        <v>1408</v>
      </c>
      <c r="M255" s="2">
        <v>10.84</v>
      </c>
      <c r="N255" s="4">
        <v>4568.9399999999996</v>
      </c>
      <c r="O255" s="1">
        <v>-2.2267773645723126</v>
      </c>
      <c r="P255" s="6">
        <v>47.1</v>
      </c>
      <c r="Q255" s="6">
        <v>24.2</v>
      </c>
      <c r="R255" s="6">
        <v>9.1</v>
      </c>
      <c r="S255" s="6">
        <v>9.1999999999999993</v>
      </c>
      <c r="T255" s="5">
        <v>6.2999999999999998E-6</v>
      </c>
      <c r="U255" s="1">
        <v>-5.1000000000000004E-3</v>
      </c>
      <c r="V255" s="1">
        <v>7.3792999999999997</v>
      </c>
    </row>
    <row r="256" spans="1:22" x14ac:dyDescent="0.25">
      <c r="A256" s="1">
        <v>0.99929999999999997</v>
      </c>
      <c r="B256" s="9" t="s">
        <v>1409</v>
      </c>
      <c r="C256" s="2">
        <v>3059</v>
      </c>
      <c r="D256" s="2" t="s">
        <v>105</v>
      </c>
      <c r="E256" s="9" t="s">
        <v>1410</v>
      </c>
      <c r="F256" s="9" t="s">
        <v>1411</v>
      </c>
      <c r="G256" s="1">
        <v>1684.8857</v>
      </c>
      <c r="H256" s="2">
        <v>362</v>
      </c>
      <c r="I256" s="2">
        <v>2</v>
      </c>
      <c r="J256" s="1">
        <v>1684.9138</v>
      </c>
      <c r="K256" s="1">
        <v>843.45010000000002</v>
      </c>
      <c r="L256" s="9" t="s">
        <v>499</v>
      </c>
      <c r="M256" s="2">
        <v>6.75</v>
      </c>
      <c r="N256" s="4">
        <v>4594.24</v>
      </c>
      <c r="O256" s="1">
        <v>16.657772641203078</v>
      </c>
      <c r="P256" s="6">
        <v>45.5</v>
      </c>
      <c r="Q256" s="6">
        <v>29.2</v>
      </c>
      <c r="R256" s="6">
        <v>10.9</v>
      </c>
      <c r="S256" s="6">
        <v>11.2</v>
      </c>
      <c r="T256" s="5">
        <v>3.3E-4</v>
      </c>
      <c r="U256" s="1">
        <v>2.81E-2</v>
      </c>
      <c r="V256" s="1">
        <v>5.3598999999999997</v>
      </c>
    </row>
    <row r="257" spans="1:22" x14ac:dyDescent="0.25">
      <c r="A257" s="1">
        <v>0.99590000000000001</v>
      </c>
      <c r="B257" s="9" t="s">
        <v>1412</v>
      </c>
      <c r="C257" s="2">
        <v>3066</v>
      </c>
      <c r="D257" s="2" t="s">
        <v>1413</v>
      </c>
      <c r="E257" s="9" t="s">
        <v>1414</v>
      </c>
      <c r="F257" s="9" t="s">
        <v>1122</v>
      </c>
      <c r="G257" s="1">
        <v>2276.0927000000001</v>
      </c>
      <c r="H257" s="2">
        <v>363</v>
      </c>
      <c r="I257" s="2">
        <v>2</v>
      </c>
      <c r="J257" s="1">
        <v>2276.0807</v>
      </c>
      <c r="K257" s="1">
        <v>1139.0536</v>
      </c>
      <c r="L257" s="9" t="s">
        <v>456</v>
      </c>
      <c r="M257" s="2">
        <v>4.8499999999999996</v>
      </c>
      <c r="N257" s="4">
        <v>4612.09</v>
      </c>
      <c r="O257" s="1">
        <v>-5.2675308694867393</v>
      </c>
      <c r="P257" s="6">
        <v>44.6</v>
      </c>
      <c r="Q257" s="6">
        <v>35.6</v>
      </c>
      <c r="R257" s="6">
        <v>12.1</v>
      </c>
      <c r="S257" s="6">
        <v>10.9</v>
      </c>
      <c r="T257" s="5">
        <v>7.9000000000000006E-6</v>
      </c>
      <c r="U257" s="1">
        <v>-1.2E-2</v>
      </c>
      <c r="V257" s="1">
        <v>5.3253000000000004</v>
      </c>
    </row>
    <row r="258" spans="1:22" x14ac:dyDescent="0.25">
      <c r="A258" s="1">
        <v>0.99080000000000001</v>
      </c>
      <c r="B258" s="9" t="s">
        <v>1415</v>
      </c>
      <c r="C258" s="2">
        <v>3074</v>
      </c>
      <c r="D258" s="2" t="s">
        <v>389</v>
      </c>
      <c r="E258" s="9" t="s">
        <v>390</v>
      </c>
      <c r="F258" s="9" t="s">
        <v>391</v>
      </c>
      <c r="G258" s="1">
        <v>1827.8677</v>
      </c>
      <c r="H258" s="2">
        <v>781</v>
      </c>
      <c r="I258" s="2">
        <v>2</v>
      </c>
      <c r="J258" s="1">
        <v>1827.8853999999999</v>
      </c>
      <c r="K258" s="1">
        <v>914.94110000000001</v>
      </c>
      <c r="L258" s="9" t="s">
        <v>364</v>
      </c>
      <c r="M258" s="2">
        <v>6.74</v>
      </c>
      <c r="N258" s="4">
        <v>4627.8900000000003</v>
      </c>
      <c r="O258" s="1">
        <v>9.6727537980313709</v>
      </c>
      <c r="P258" s="6">
        <v>29.9</v>
      </c>
      <c r="Q258" s="6">
        <v>21.6</v>
      </c>
      <c r="R258" s="6">
        <v>8.3000000000000007</v>
      </c>
      <c r="S258" s="6">
        <v>11.8</v>
      </c>
      <c r="T258" s="5">
        <v>3.5000000000000001E-3</v>
      </c>
      <c r="U258" s="1">
        <v>1.77E-2</v>
      </c>
      <c r="V258" s="1">
        <v>3.883</v>
      </c>
    </row>
    <row r="259" spans="1:22" x14ac:dyDescent="0.25">
      <c r="A259" s="1">
        <v>1</v>
      </c>
      <c r="B259" s="9" t="s">
        <v>1416</v>
      </c>
      <c r="C259" s="2">
        <v>3095</v>
      </c>
      <c r="D259" s="2" t="s">
        <v>740</v>
      </c>
      <c r="E259" s="9" t="s">
        <v>1417</v>
      </c>
      <c r="F259" s="9" t="s">
        <v>464</v>
      </c>
      <c r="G259" s="1">
        <v>2185.1387</v>
      </c>
      <c r="H259" s="2">
        <v>1448</v>
      </c>
      <c r="I259" s="2">
        <v>2</v>
      </c>
      <c r="J259" s="1">
        <v>2185.1030999999998</v>
      </c>
      <c r="K259" s="1">
        <v>1093.5766000000001</v>
      </c>
      <c r="L259" s="9" t="s">
        <v>465</v>
      </c>
      <c r="M259" s="2">
        <v>11</v>
      </c>
      <c r="N259" s="4">
        <v>4682.9399999999996</v>
      </c>
      <c r="O259" s="1">
        <v>-16.276866202148067</v>
      </c>
      <c r="P259" s="6">
        <v>48.4</v>
      </c>
      <c r="Q259" s="6">
        <v>24.3</v>
      </c>
      <c r="R259" s="6">
        <v>11.8</v>
      </c>
      <c r="S259" s="6">
        <v>10.3</v>
      </c>
      <c r="T259" s="5">
        <v>2.9000000000000002E-8</v>
      </c>
      <c r="U259" s="1">
        <v>-3.56E-2</v>
      </c>
      <c r="V259" s="1">
        <v>8.5984999999999996</v>
      </c>
    </row>
    <row r="260" spans="1:22" x14ac:dyDescent="0.25">
      <c r="A260" s="1">
        <v>0.99990000000000001</v>
      </c>
      <c r="B260" s="9" t="s">
        <v>1418</v>
      </c>
      <c r="C260" s="2">
        <v>3101</v>
      </c>
      <c r="D260" s="2" t="s">
        <v>1419</v>
      </c>
      <c r="E260" s="9" t="s">
        <v>1420</v>
      </c>
      <c r="F260" s="9" t="s">
        <v>455</v>
      </c>
      <c r="G260" s="1">
        <v>1758.9702</v>
      </c>
      <c r="H260" s="2">
        <v>364</v>
      </c>
      <c r="I260" s="2">
        <v>2</v>
      </c>
      <c r="J260" s="1">
        <v>1758.9751000000001</v>
      </c>
      <c r="K260" s="1">
        <v>880.49239999999998</v>
      </c>
      <c r="L260" s="9" t="s">
        <v>456</v>
      </c>
      <c r="M260" s="2">
        <v>8.56</v>
      </c>
      <c r="N260" s="4">
        <v>4697.6899999999996</v>
      </c>
      <c r="O260" s="1">
        <v>2.7825339548643466</v>
      </c>
      <c r="P260" s="6">
        <v>52.8</v>
      </c>
      <c r="Q260" s="6">
        <v>27.1</v>
      </c>
      <c r="R260" s="6">
        <v>10.5</v>
      </c>
      <c r="S260" s="6">
        <v>11.3</v>
      </c>
      <c r="T260" s="5">
        <v>5.6000000000000004E-7</v>
      </c>
      <c r="U260" s="1">
        <v>4.8999999999999998E-3</v>
      </c>
      <c r="V260" s="1">
        <v>8.1051000000000002</v>
      </c>
    </row>
    <row r="261" spans="1:22" x14ac:dyDescent="0.25">
      <c r="A261" s="1">
        <v>0.99390000000000001</v>
      </c>
      <c r="B261" s="9" t="s">
        <v>1421</v>
      </c>
      <c r="C261" s="2">
        <v>3102</v>
      </c>
      <c r="D261" s="2" t="s">
        <v>316</v>
      </c>
      <c r="E261" s="9" t="s">
        <v>1422</v>
      </c>
      <c r="F261" s="9" t="s">
        <v>340</v>
      </c>
      <c r="G261" s="1">
        <v>1774.9537</v>
      </c>
      <c r="H261" s="2">
        <v>192</v>
      </c>
      <c r="I261" s="2">
        <v>2</v>
      </c>
      <c r="J261" s="1">
        <v>1774.6763000000001</v>
      </c>
      <c r="K261" s="1">
        <v>888.48410000000001</v>
      </c>
      <c r="L261" s="9" t="s">
        <v>341</v>
      </c>
      <c r="M261" s="2">
        <v>6.24</v>
      </c>
      <c r="N261" s="4">
        <v>4694.49</v>
      </c>
      <c r="O261" s="1">
        <v>-156.10858990048331</v>
      </c>
      <c r="P261" s="6">
        <v>40.1</v>
      </c>
      <c r="Q261" s="6">
        <v>29.3</v>
      </c>
      <c r="R261" s="6">
        <v>12.8</v>
      </c>
      <c r="S261" s="6">
        <v>12.4</v>
      </c>
      <c r="T261" s="5">
        <v>2.0999999999999999E-3</v>
      </c>
      <c r="U261" s="1">
        <v>-0.27739999999999998</v>
      </c>
      <c r="V261" s="1">
        <v>4.1882999999999999</v>
      </c>
    </row>
    <row r="262" spans="1:22" x14ac:dyDescent="0.25">
      <c r="A262" s="1">
        <v>0.99890000000000001</v>
      </c>
      <c r="B262" s="9" t="s">
        <v>1423</v>
      </c>
      <c r="C262" s="2">
        <v>3105</v>
      </c>
      <c r="D262" s="2" t="s">
        <v>645</v>
      </c>
      <c r="E262" s="9" t="s">
        <v>1424</v>
      </c>
      <c r="F262" s="9" t="s">
        <v>1194</v>
      </c>
      <c r="G262" s="1">
        <v>1786.8387</v>
      </c>
      <c r="H262" s="2">
        <v>783</v>
      </c>
      <c r="I262" s="2">
        <v>2</v>
      </c>
      <c r="J262" s="1">
        <v>1786.857</v>
      </c>
      <c r="K262" s="1">
        <v>894.42660000000001</v>
      </c>
      <c r="L262" s="9" t="s">
        <v>827</v>
      </c>
      <c r="M262" s="2">
        <v>5.51</v>
      </c>
      <c r="N262" s="4">
        <v>4701.84</v>
      </c>
      <c r="O262" s="1">
        <v>10.230017756627541</v>
      </c>
      <c r="P262" s="6">
        <v>41.8</v>
      </c>
      <c r="Q262" s="6">
        <v>21.7</v>
      </c>
      <c r="R262" s="6">
        <v>10.6</v>
      </c>
      <c r="S262" s="6">
        <v>9.3000000000000007</v>
      </c>
      <c r="T262" s="5">
        <v>2.2000000000000001E-6</v>
      </c>
      <c r="U262" s="1">
        <v>1.83E-2</v>
      </c>
      <c r="V262" s="1">
        <v>7.7682000000000002</v>
      </c>
    </row>
    <row r="263" spans="1:22" x14ac:dyDescent="0.25">
      <c r="A263" s="1">
        <v>0.998</v>
      </c>
      <c r="B263" s="9" t="s">
        <v>1425</v>
      </c>
      <c r="C263" s="2">
        <v>3107</v>
      </c>
      <c r="D263" s="2" t="s">
        <v>1426</v>
      </c>
      <c r="E263" s="9" t="s">
        <v>410</v>
      </c>
      <c r="F263" s="9" t="s">
        <v>1199</v>
      </c>
      <c r="G263" s="1">
        <v>2150.0288999999998</v>
      </c>
      <c r="H263" s="2">
        <v>1449</v>
      </c>
      <c r="I263" s="2">
        <v>2</v>
      </c>
      <c r="J263" s="1">
        <v>2150.0322999999999</v>
      </c>
      <c r="K263" s="1">
        <v>1076.0217</v>
      </c>
      <c r="L263" s="9" t="s">
        <v>1200</v>
      </c>
      <c r="M263" s="2">
        <v>5.95</v>
      </c>
      <c r="N263" s="4">
        <v>4712.3900000000003</v>
      </c>
      <c r="O263" s="1">
        <v>1.5798937883873532</v>
      </c>
      <c r="P263" s="6">
        <v>46.5</v>
      </c>
      <c r="Q263" s="6">
        <v>28.4</v>
      </c>
      <c r="R263" s="6">
        <v>12</v>
      </c>
      <c r="S263" s="6">
        <v>11.1</v>
      </c>
      <c r="T263" s="5">
        <v>2.0000000000000002E-5</v>
      </c>
      <c r="U263" s="1">
        <v>3.3999999999999998E-3</v>
      </c>
      <c r="V263" s="1">
        <v>5.6635999999999997</v>
      </c>
    </row>
    <row r="264" spans="1:22" x14ac:dyDescent="0.25">
      <c r="A264" s="1">
        <v>0.99990000000000001</v>
      </c>
      <c r="B264" s="9" t="s">
        <v>1427</v>
      </c>
      <c r="C264" s="2">
        <v>3108</v>
      </c>
      <c r="D264" s="2" t="s">
        <v>1428</v>
      </c>
      <c r="E264" s="9" t="s">
        <v>1429</v>
      </c>
      <c r="F264" s="9" t="s">
        <v>1430</v>
      </c>
      <c r="G264" s="1">
        <v>2707.4477000000002</v>
      </c>
      <c r="H264" s="2">
        <v>521</v>
      </c>
      <c r="I264" s="2">
        <v>3</v>
      </c>
      <c r="J264" s="1">
        <v>2707.5028000000002</v>
      </c>
      <c r="K264" s="1">
        <v>903.48979999999995</v>
      </c>
      <c r="L264" s="9" t="s">
        <v>1431</v>
      </c>
      <c r="M264" s="2">
        <v>8.07</v>
      </c>
      <c r="N264" s="4">
        <v>4709.1899999999996</v>
      </c>
      <c r="O264" s="1">
        <v>20.328582200559062</v>
      </c>
      <c r="P264" s="6">
        <v>37.5</v>
      </c>
      <c r="Q264" s="6">
        <v>20.2</v>
      </c>
      <c r="R264" s="6">
        <v>11.9</v>
      </c>
      <c r="S264" s="6">
        <v>9.1</v>
      </c>
      <c r="T264" s="5">
        <v>3.1000000000000001E-5</v>
      </c>
      <c r="U264" s="1">
        <v>5.5100000000000003E-2</v>
      </c>
      <c r="V264" s="1">
        <v>6.4532999999999996</v>
      </c>
    </row>
    <row r="265" spans="1:22" x14ac:dyDescent="0.25">
      <c r="A265" s="1">
        <v>0.99009999999999998</v>
      </c>
      <c r="B265" s="9" t="s">
        <v>1432</v>
      </c>
      <c r="C265" s="2">
        <v>3113</v>
      </c>
      <c r="D265" s="2" t="s">
        <v>280</v>
      </c>
      <c r="E265" s="9" t="s">
        <v>407</v>
      </c>
      <c r="F265" s="9" t="s">
        <v>290</v>
      </c>
      <c r="G265" s="1">
        <v>1645.8597</v>
      </c>
      <c r="H265" s="2">
        <v>195</v>
      </c>
      <c r="I265" s="2">
        <v>2</v>
      </c>
      <c r="J265" s="1">
        <v>1645.8797</v>
      </c>
      <c r="K265" s="1">
        <v>823.93709999999999</v>
      </c>
      <c r="L265" s="9" t="s">
        <v>291</v>
      </c>
      <c r="M265" s="2">
        <v>4.8499999999999996</v>
      </c>
      <c r="N265" s="4">
        <v>4723.9399999999996</v>
      </c>
      <c r="O265" s="1">
        <v>12.136848795860752</v>
      </c>
      <c r="P265" s="6">
        <v>41.6</v>
      </c>
      <c r="Q265" s="6">
        <v>30.1</v>
      </c>
      <c r="R265" s="6">
        <v>9.1</v>
      </c>
      <c r="S265" s="6">
        <v>10.4</v>
      </c>
      <c r="T265" s="5">
        <v>1.1999999999999999E-3</v>
      </c>
      <c r="U265" s="1">
        <v>0.02</v>
      </c>
      <c r="V265" s="1">
        <v>4.6112000000000002</v>
      </c>
    </row>
    <row r="266" spans="1:22" x14ac:dyDescent="0.25">
      <c r="A266" s="1">
        <v>0.99819999999999998</v>
      </c>
      <c r="B266" s="9" t="s">
        <v>1433</v>
      </c>
      <c r="C266" s="2">
        <v>3116</v>
      </c>
      <c r="D266" s="2" t="s">
        <v>316</v>
      </c>
      <c r="E266" s="9" t="s">
        <v>1422</v>
      </c>
      <c r="F266" s="9" t="s">
        <v>340</v>
      </c>
      <c r="G266" s="1">
        <v>1774.9539</v>
      </c>
      <c r="H266" s="2">
        <v>57</v>
      </c>
      <c r="I266" s="2">
        <v>2</v>
      </c>
      <c r="J266" s="1">
        <v>1774.951</v>
      </c>
      <c r="K266" s="1">
        <v>888.48419999999999</v>
      </c>
      <c r="L266" s="9" t="s">
        <v>341</v>
      </c>
      <c r="M266" s="2">
        <v>6.24</v>
      </c>
      <c r="N266" s="4">
        <v>4731.34</v>
      </c>
      <c r="O266" s="1">
        <v>-1.6319930056156315</v>
      </c>
      <c r="P266" s="6">
        <v>40.299999999999997</v>
      </c>
      <c r="Q266" s="6">
        <v>27.9</v>
      </c>
      <c r="R266" s="6">
        <v>13.1</v>
      </c>
      <c r="S266" s="6">
        <v>12.6</v>
      </c>
      <c r="T266" s="5">
        <v>1.1E-4</v>
      </c>
      <c r="U266" s="1">
        <v>-2.8999999999999998E-3</v>
      </c>
      <c r="V266" s="1">
        <v>5.6135000000000002</v>
      </c>
    </row>
    <row r="267" spans="1:22" x14ac:dyDescent="0.25">
      <c r="A267" s="1">
        <v>0.99860000000000004</v>
      </c>
      <c r="B267" s="9" t="s">
        <v>1434</v>
      </c>
      <c r="C267" s="2">
        <v>3122</v>
      </c>
      <c r="D267" s="2" t="s">
        <v>1426</v>
      </c>
      <c r="E267" s="9" t="s">
        <v>410</v>
      </c>
      <c r="F267" s="9" t="s">
        <v>1199</v>
      </c>
      <c r="G267" s="1">
        <v>2150.0288999999998</v>
      </c>
      <c r="H267" s="2">
        <v>1451</v>
      </c>
      <c r="I267" s="2">
        <v>2</v>
      </c>
      <c r="J267" s="1">
        <v>2150.0376999999999</v>
      </c>
      <c r="K267" s="1">
        <v>1076.0217</v>
      </c>
      <c r="L267" s="9" t="s">
        <v>1200</v>
      </c>
      <c r="M267" s="2">
        <v>5.95</v>
      </c>
      <c r="N267" s="4">
        <v>4749.3900000000003</v>
      </c>
      <c r="O267" s="1">
        <v>4.089136864061385</v>
      </c>
      <c r="P267" s="6">
        <v>46.1</v>
      </c>
      <c r="Q267" s="6">
        <v>26.7</v>
      </c>
      <c r="R267" s="6">
        <v>11.6</v>
      </c>
      <c r="S267" s="6">
        <v>10.8</v>
      </c>
      <c r="T267" s="5">
        <v>8.8999999999999995E-6</v>
      </c>
      <c r="U267" s="1">
        <v>8.8000000000000005E-3</v>
      </c>
      <c r="V267" s="1">
        <v>6.0663</v>
      </c>
    </row>
    <row r="268" spans="1:22" x14ac:dyDescent="0.25">
      <c r="A268" s="1">
        <v>0.99919999999999998</v>
      </c>
      <c r="B268" s="9" t="s">
        <v>1435</v>
      </c>
      <c r="C268" s="2">
        <v>3128</v>
      </c>
      <c r="D268" s="2" t="s">
        <v>1000</v>
      </c>
      <c r="E268" s="9" t="s">
        <v>1436</v>
      </c>
      <c r="F268" s="9" t="s">
        <v>1437</v>
      </c>
      <c r="G268" s="1">
        <v>1451.7807</v>
      </c>
      <c r="H268" s="2">
        <v>365</v>
      </c>
      <c r="I268" s="2">
        <v>2</v>
      </c>
      <c r="J268" s="1">
        <v>1451.8031000000001</v>
      </c>
      <c r="K268" s="1">
        <v>726.89760000000001</v>
      </c>
      <c r="L268" s="9" t="s">
        <v>912</v>
      </c>
      <c r="M268" s="2">
        <v>6.76</v>
      </c>
      <c r="N268" s="4">
        <v>4764.1899999999996</v>
      </c>
      <c r="O268" s="1">
        <v>15.407947419278862</v>
      </c>
      <c r="P268" s="6">
        <v>41.7</v>
      </c>
      <c r="Q268" s="6">
        <v>25.4</v>
      </c>
      <c r="R268" s="6">
        <v>9.3000000000000007</v>
      </c>
      <c r="S268" s="6">
        <v>10.3</v>
      </c>
      <c r="T268" s="5">
        <v>2.1000000000000001E-4</v>
      </c>
      <c r="U268" s="1">
        <v>2.24E-2</v>
      </c>
      <c r="V268" s="1">
        <v>6.1167999999999996</v>
      </c>
    </row>
    <row r="269" spans="1:22" x14ac:dyDescent="0.25">
      <c r="A269" s="1">
        <v>0.99480000000000002</v>
      </c>
      <c r="B269" s="9" t="s">
        <v>1438</v>
      </c>
      <c r="C269" s="2">
        <v>3129</v>
      </c>
      <c r="D269" s="2" t="s">
        <v>1439</v>
      </c>
      <c r="E269" s="9" t="s">
        <v>1440</v>
      </c>
      <c r="F269" s="9" t="s">
        <v>97</v>
      </c>
      <c r="G269" s="1">
        <v>1920.904</v>
      </c>
      <c r="H269" s="2">
        <v>1208</v>
      </c>
      <c r="I269" s="2">
        <v>2</v>
      </c>
      <c r="J269" s="1">
        <v>1920.9101000000001</v>
      </c>
      <c r="K269" s="1">
        <v>961.45929999999998</v>
      </c>
      <c r="L269" s="9" t="s">
        <v>98</v>
      </c>
      <c r="M269" s="2">
        <v>5.83</v>
      </c>
      <c r="N269" s="4">
        <v>4760.9399999999996</v>
      </c>
      <c r="O269" s="1">
        <v>3.1722611659172677</v>
      </c>
      <c r="P269" s="6">
        <v>37.5</v>
      </c>
      <c r="Q269" s="6">
        <v>27.2</v>
      </c>
      <c r="R269" s="6">
        <v>10.9</v>
      </c>
      <c r="S269" s="6">
        <v>10.9</v>
      </c>
      <c r="T269" s="5">
        <v>2.3000000000000001E-4</v>
      </c>
      <c r="U269" s="1">
        <v>6.1000000000000004E-3</v>
      </c>
      <c r="V269" s="1">
        <v>4.7168000000000001</v>
      </c>
    </row>
    <row r="270" spans="1:22" x14ac:dyDescent="0.25">
      <c r="A270" s="1">
        <v>0.99709999999999999</v>
      </c>
      <c r="B270" s="9" t="s">
        <v>1441</v>
      </c>
      <c r="C270" s="2">
        <v>3137</v>
      </c>
      <c r="D270" s="2" t="s">
        <v>389</v>
      </c>
      <c r="E270" s="9" t="s">
        <v>1442</v>
      </c>
      <c r="F270" s="9" t="s">
        <v>727</v>
      </c>
      <c r="G270" s="1">
        <v>1898.8616999999999</v>
      </c>
      <c r="H270" s="2">
        <v>366</v>
      </c>
      <c r="I270" s="2">
        <v>2</v>
      </c>
      <c r="J270" s="1">
        <v>1898.8875</v>
      </c>
      <c r="K270" s="1">
        <v>950.43809999999996</v>
      </c>
      <c r="L270" s="9" t="s">
        <v>728</v>
      </c>
      <c r="M270" s="2">
        <v>5.51</v>
      </c>
      <c r="N270" s="4">
        <v>4786.3900000000003</v>
      </c>
      <c r="O270" s="1">
        <v>13.572688216097399</v>
      </c>
      <c r="P270" s="6">
        <v>26.9</v>
      </c>
      <c r="Q270" s="6">
        <v>17.100000000000001</v>
      </c>
      <c r="R270" s="6">
        <v>8.8000000000000007</v>
      </c>
      <c r="S270" s="6">
        <v>5</v>
      </c>
      <c r="T270" s="5">
        <v>1.2E-4</v>
      </c>
      <c r="U270" s="1">
        <v>2.58E-2</v>
      </c>
      <c r="V270" s="1">
        <v>5.6346999999999996</v>
      </c>
    </row>
    <row r="271" spans="1:22" x14ac:dyDescent="0.25">
      <c r="A271" s="1">
        <v>0.99529999999999996</v>
      </c>
      <c r="B271" s="9" t="s">
        <v>1443</v>
      </c>
      <c r="C271" s="2">
        <v>3140</v>
      </c>
      <c r="D271" s="2" t="s">
        <v>568</v>
      </c>
      <c r="E271" s="9" t="s">
        <v>452</v>
      </c>
      <c r="F271" s="9" t="s">
        <v>222</v>
      </c>
      <c r="G271" s="1">
        <v>1715.7936999999999</v>
      </c>
      <c r="H271" s="2">
        <v>522</v>
      </c>
      <c r="I271" s="2">
        <v>2</v>
      </c>
      <c r="J271" s="1">
        <v>1715.8019999999999</v>
      </c>
      <c r="K271" s="1">
        <v>858.90409999999997</v>
      </c>
      <c r="L271" s="9" t="s">
        <v>223</v>
      </c>
      <c r="M271" s="2">
        <v>4.54</v>
      </c>
      <c r="N271" s="4">
        <v>4790.54</v>
      </c>
      <c r="O271" s="1">
        <v>4.8317384909444492</v>
      </c>
      <c r="P271" s="6">
        <v>33.5</v>
      </c>
      <c r="Q271" s="6">
        <v>22.1</v>
      </c>
      <c r="R271" s="6">
        <v>13.3</v>
      </c>
      <c r="S271" s="6">
        <v>11.3</v>
      </c>
      <c r="T271" s="5">
        <v>1.9E-3</v>
      </c>
      <c r="U271" s="1">
        <v>8.3000000000000001E-3</v>
      </c>
      <c r="V271" s="1">
        <v>4.5346000000000002</v>
      </c>
    </row>
    <row r="272" spans="1:22" x14ac:dyDescent="0.25">
      <c r="A272" s="1">
        <v>0.95020000000000004</v>
      </c>
      <c r="B272" s="9" t="s">
        <v>1444</v>
      </c>
      <c r="C272" s="2">
        <v>3143</v>
      </c>
      <c r="D272" s="2" t="s">
        <v>479</v>
      </c>
      <c r="E272" s="9" t="s">
        <v>1445</v>
      </c>
      <c r="F272" s="9" t="s">
        <v>1446</v>
      </c>
      <c r="G272" s="1">
        <v>1418.6496999999999</v>
      </c>
      <c r="H272" s="2">
        <v>367</v>
      </c>
      <c r="I272" s="2">
        <v>2</v>
      </c>
      <c r="J272" s="1">
        <v>1418.6809000000001</v>
      </c>
      <c r="K272" s="1">
        <v>710.33209999999997</v>
      </c>
      <c r="L272" s="9" t="s">
        <v>1447</v>
      </c>
      <c r="M272" s="2">
        <v>5.47</v>
      </c>
      <c r="N272" s="4">
        <v>4801.1899999999996</v>
      </c>
      <c r="O272" s="1">
        <v>21.96155854423586</v>
      </c>
      <c r="P272" s="6">
        <v>28.7</v>
      </c>
      <c r="Q272" s="6">
        <v>21.7</v>
      </c>
      <c r="R272" s="6">
        <v>9.6</v>
      </c>
      <c r="S272" s="6">
        <v>9.5</v>
      </c>
      <c r="T272" s="5">
        <v>3.9E-2</v>
      </c>
      <c r="U272" s="1">
        <v>3.1199999999999999E-2</v>
      </c>
      <c r="V272" s="1">
        <v>2.9220000000000002</v>
      </c>
    </row>
    <row r="273" spans="1:22" x14ac:dyDescent="0.25">
      <c r="A273" s="1">
        <v>0.99919999999999998</v>
      </c>
      <c r="B273" s="9" t="s">
        <v>1448</v>
      </c>
      <c r="C273" s="2">
        <v>3144</v>
      </c>
      <c r="D273" s="2" t="s">
        <v>493</v>
      </c>
      <c r="E273" s="9" t="s">
        <v>1449</v>
      </c>
      <c r="F273" s="9" t="s">
        <v>363</v>
      </c>
      <c r="G273" s="1">
        <v>1529.7946999999999</v>
      </c>
      <c r="H273" s="2">
        <v>1209</v>
      </c>
      <c r="I273" s="2">
        <v>2</v>
      </c>
      <c r="J273" s="1">
        <v>1529.8072999999999</v>
      </c>
      <c r="K273" s="1">
        <v>765.90459999999996</v>
      </c>
      <c r="L273" s="9" t="s">
        <v>364</v>
      </c>
      <c r="M273" s="2">
        <v>8.76</v>
      </c>
      <c r="N273" s="4">
        <v>4797.9399999999996</v>
      </c>
      <c r="O273" s="1">
        <v>8.2255675184611778</v>
      </c>
      <c r="P273" s="6">
        <v>50.3</v>
      </c>
      <c r="Q273" s="6">
        <v>27.3</v>
      </c>
      <c r="R273" s="6">
        <v>8.4</v>
      </c>
      <c r="S273" s="6">
        <v>11.3</v>
      </c>
      <c r="T273" s="5">
        <v>1.4E-5</v>
      </c>
      <c r="U273" s="1">
        <v>1.26E-2</v>
      </c>
      <c r="V273" s="1">
        <v>7.3887999999999998</v>
      </c>
    </row>
    <row r="274" spans="1:22" x14ac:dyDescent="0.25">
      <c r="A274" s="1">
        <v>0.99909999999999999</v>
      </c>
      <c r="B274" s="9" t="s">
        <v>1450</v>
      </c>
      <c r="C274" s="2">
        <v>3146</v>
      </c>
      <c r="D274" s="2" t="s">
        <v>280</v>
      </c>
      <c r="E274" s="9" t="s">
        <v>463</v>
      </c>
      <c r="F274" s="9" t="s">
        <v>464</v>
      </c>
      <c r="G274" s="1">
        <v>1577.7946999999999</v>
      </c>
      <c r="H274" s="2">
        <v>1452</v>
      </c>
      <c r="I274" s="2">
        <v>2</v>
      </c>
      <c r="J274" s="1">
        <v>1577.8155999999999</v>
      </c>
      <c r="K274" s="1">
        <v>789.90459999999996</v>
      </c>
      <c r="L274" s="9" t="s">
        <v>465</v>
      </c>
      <c r="M274" s="2">
        <v>8.75</v>
      </c>
      <c r="N274" s="4">
        <v>4808.59</v>
      </c>
      <c r="O274" s="1">
        <v>13.229445682427979</v>
      </c>
      <c r="P274" s="6">
        <v>44.5</v>
      </c>
      <c r="Q274" s="6">
        <v>25.6</v>
      </c>
      <c r="R274" s="6">
        <v>11.7</v>
      </c>
      <c r="S274" s="6">
        <v>11.2</v>
      </c>
      <c r="T274" s="5">
        <v>5.8999999999999998E-5</v>
      </c>
      <c r="U274" s="1">
        <v>2.0899999999999998E-2</v>
      </c>
      <c r="V274" s="1">
        <v>6.6060999999999996</v>
      </c>
    </row>
    <row r="275" spans="1:22" x14ac:dyDescent="0.25">
      <c r="A275" s="1">
        <v>0.98829999999999996</v>
      </c>
      <c r="B275" s="9" t="s">
        <v>1451</v>
      </c>
      <c r="C275" s="2">
        <v>3147</v>
      </c>
      <c r="D275" s="2" t="s">
        <v>1452</v>
      </c>
      <c r="E275" s="9" t="s">
        <v>1453</v>
      </c>
      <c r="F275" s="9" t="s">
        <v>1454</v>
      </c>
      <c r="G275" s="1">
        <v>2789.4416999999999</v>
      </c>
      <c r="H275" s="2">
        <v>411</v>
      </c>
      <c r="I275" s="2">
        <v>3</v>
      </c>
      <c r="J275" s="1">
        <v>2790.0068999999999</v>
      </c>
      <c r="K275" s="1">
        <v>930.82119999999998</v>
      </c>
      <c r="L275" s="9" t="s">
        <v>91</v>
      </c>
      <c r="M275" s="2">
        <v>6.49</v>
      </c>
      <c r="N275" s="4">
        <v>4811.6899999999996</v>
      </c>
      <c r="O275" s="1">
        <v>-156.90625295885684</v>
      </c>
      <c r="P275" s="6">
        <v>47.9</v>
      </c>
      <c r="Q275" s="6">
        <v>29.8</v>
      </c>
      <c r="R275" s="6">
        <v>11.9</v>
      </c>
      <c r="S275" s="6">
        <v>10.5</v>
      </c>
      <c r="T275" s="5">
        <v>2.9999999999999997E-4</v>
      </c>
      <c r="U275" s="1">
        <v>0.56520000000000004</v>
      </c>
      <c r="V275" s="1">
        <v>4.8638000000000003</v>
      </c>
    </row>
    <row r="276" spans="1:22" x14ac:dyDescent="0.25">
      <c r="A276" s="1">
        <v>0.99760000000000004</v>
      </c>
      <c r="B276" s="9" t="s">
        <v>1455</v>
      </c>
      <c r="C276" s="2">
        <v>3150</v>
      </c>
      <c r="D276" s="2" t="s">
        <v>1456</v>
      </c>
      <c r="E276" s="9" t="s">
        <v>1457</v>
      </c>
      <c r="F276" s="9" t="s">
        <v>1458</v>
      </c>
      <c r="G276" s="1">
        <v>1908.9404</v>
      </c>
      <c r="H276" s="2">
        <v>196</v>
      </c>
      <c r="I276" s="2">
        <v>2</v>
      </c>
      <c r="J276" s="1">
        <v>1908.9359999999999</v>
      </c>
      <c r="K276" s="1">
        <v>955.47749999999996</v>
      </c>
      <c r="L276" s="9" t="s">
        <v>1459</v>
      </c>
      <c r="M276" s="2">
        <v>6.02</v>
      </c>
      <c r="N276" s="4">
        <v>4812.74</v>
      </c>
      <c r="O276" s="1">
        <v>-2.3025136646336519</v>
      </c>
      <c r="P276" s="6">
        <v>39.4</v>
      </c>
      <c r="Q276" s="6">
        <v>23.6</v>
      </c>
      <c r="R276" s="6">
        <v>8.1999999999999993</v>
      </c>
      <c r="S276" s="6">
        <v>8.8000000000000007</v>
      </c>
      <c r="T276" s="5">
        <v>3.8999999999999999E-4</v>
      </c>
      <c r="U276" s="1">
        <v>-4.4000000000000003E-3</v>
      </c>
      <c r="V276" s="1">
        <v>5.0022000000000002</v>
      </c>
    </row>
    <row r="277" spans="1:22" x14ac:dyDescent="0.25">
      <c r="A277" s="1">
        <v>0.99970000000000003</v>
      </c>
      <c r="B277" s="9" t="s">
        <v>1460</v>
      </c>
      <c r="C277" s="2">
        <v>3155</v>
      </c>
      <c r="D277" s="2" t="s">
        <v>280</v>
      </c>
      <c r="E277" s="9" t="s">
        <v>1461</v>
      </c>
      <c r="F277" s="9" t="s">
        <v>1462</v>
      </c>
      <c r="G277" s="1">
        <v>1432.6657</v>
      </c>
      <c r="H277" s="2">
        <v>368</v>
      </c>
      <c r="I277" s="2">
        <v>2</v>
      </c>
      <c r="J277" s="1">
        <v>1432.6922999999999</v>
      </c>
      <c r="K277" s="1">
        <v>717.34010000000001</v>
      </c>
      <c r="L277" s="9" t="s">
        <v>1463</v>
      </c>
      <c r="M277" s="2">
        <v>5.47</v>
      </c>
      <c r="N277" s="4">
        <v>4830.79</v>
      </c>
      <c r="O277" s="1">
        <v>18.540717297137022</v>
      </c>
      <c r="P277" s="6">
        <v>42.4</v>
      </c>
      <c r="Q277" s="6">
        <v>24.8</v>
      </c>
      <c r="R277" s="6">
        <v>11.2</v>
      </c>
      <c r="S277" s="6">
        <v>9.6999999999999993</v>
      </c>
      <c r="T277" s="5">
        <v>3.8E-6</v>
      </c>
      <c r="U277" s="1">
        <v>2.6599999999999999E-2</v>
      </c>
      <c r="V277" s="1">
        <v>7.7804000000000002</v>
      </c>
    </row>
    <row r="278" spans="1:22" x14ac:dyDescent="0.25">
      <c r="A278" s="1">
        <v>0.99709999999999999</v>
      </c>
      <c r="B278" s="9" t="s">
        <v>1464</v>
      </c>
      <c r="C278" s="2">
        <v>3159</v>
      </c>
      <c r="D278" s="2" t="s">
        <v>280</v>
      </c>
      <c r="E278" s="9" t="s">
        <v>1465</v>
      </c>
      <c r="F278" s="9" t="s">
        <v>1284</v>
      </c>
      <c r="G278" s="1">
        <v>1566.8806999999999</v>
      </c>
      <c r="H278" s="2">
        <v>369</v>
      </c>
      <c r="I278" s="2">
        <v>2</v>
      </c>
      <c r="J278" s="1">
        <v>1566.8677</v>
      </c>
      <c r="K278" s="1">
        <v>784.44759999999997</v>
      </c>
      <c r="L278" s="9" t="s">
        <v>1285</v>
      </c>
      <c r="M278" s="2">
        <v>6.25</v>
      </c>
      <c r="N278" s="4">
        <v>4841.29</v>
      </c>
      <c r="O278" s="1">
        <v>-8.2860856480407357</v>
      </c>
      <c r="P278" s="6">
        <v>43.7</v>
      </c>
      <c r="Q278" s="6">
        <v>26.7</v>
      </c>
      <c r="R278" s="6">
        <v>12.3</v>
      </c>
      <c r="S278" s="6">
        <v>12.9</v>
      </c>
      <c r="T278" s="5">
        <v>3.5E-4</v>
      </c>
      <c r="U278" s="1">
        <v>-1.2999999999999999E-2</v>
      </c>
      <c r="V278" s="1">
        <v>5.6576000000000004</v>
      </c>
    </row>
    <row r="279" spans="1:22" x14ac:dyDescent="0.25">
      <c r="A279" s="1">
        <v>0.9909</v>
      </c>
      <c r="B279" s="9" t="s">
        <v>1466</v>
      </c>
      <c r="C279" s="2">
        <v>3161</v>
      </c>
      <c r="D279" s="2" t="s">
        <v>451</v>
      </c>
      <c r="E279" s="9" t="s">
        <v>1467</v>
      </c>
      <c r="F279" s="9" t="s">
        <v>391</v>
      </c>
      <c r="G279" s="1">
        <v>1526.8487</v>
      </c>
      <c r="H279" s="2">
        <v>199</v>
      </c>
      <c r="I279" s="2">
        <v>2</v>
      </c>
      <c r="J279" s="1">
        <v>1528.7987000000001</v>
      </c>
      <c r="K279" s="1">
        <v>764.4316</v>
      </c>
      <c r="L279" s="9" t="s">
        <v>364</v>
      </c>
      <c r="M279" s="2">
        <v>8.76</v>
      </c>
      <c r="N279" s="4">
        <v>4842.34</v>
      </c>
      <c r="O279" s="1">
        <v>-37.092919758942486</v>
      </c>
      <c r="P279" s="6">
        <v>45.7</v>
      </c>
      <c r="Q279" s="6">
        <v>25.4</v>
      </c>
      <c r="R279" s="6">
        <v>0</v>
      </c>
      <c r="S279" s="6">
        <v>10.9</v>
      </c>
      <c r="T279" s="5">
        <v>2.9E-5</v>
      </c>
      <c r="U279" s="1">
        <v>1.95</v>
      </c>
      <c r="V279" s="1">
        <v>6.7672999999999996</v>
      </c>
    </row>
    <row r="280" spans="1:22" x14ac:dyDescent="0.25">
      <c r="A280" s="1">
        <v>0.99919999999999998</v>
      </c>
      <c r="B280" s="9" t="s">
        <v>1468</v>
      </c>
      <c r="C280" s="2">
        <v>3162</v>
      </c>
      <c r="D280" s="2" t="s">
        <v>630</v>
      </c>
      <c r="E280" s="9" t="s">
        <v>1469</v>
      </c>
      <c r="F280" s="9" t="s">
        <v>897</v>
      </c>
      <c r="G280" s="1">
        <v>1723.8525</v>
      </c>
      <c r="H280" s="2">
        <v>785</v>
      </c>
      <c r="I280" s="2">
        <v>2</v>
      </c>
      <c r="J280" s="1">
        <v>1723.8603000000001</v>
      </c>
      <c r="K280" s="1">
        <v>862.93349999999998</v>
      </c>
      <c r="L280" s="9" t="s">
        <v>898</v>
      </c>
      <c r="M280" s="2">
        <v>6.22</v>
      </c>
      <c r="N280" s="4">
        <v>4842.34</v>
      </c>
      <c r="O280" s="1">
        <v>4.5194676067159287</v>
      </c>
      <c r="P280" s="6">
        <v>38.5</v>
      </c>
      <c r="Q280" s="6">
        <v>22.4</v>
      </c>
      <c r="R280" s="6">
        <v>11.9</v>
      </c>
      <c r="S280" s="6">
        <v>9.3000000000000007</v>
      </c>
      <c r="T280" s="5">
        <v>4.3000000000000002E-5</v>
      </c>
      <c r="U280" s="1">
        <v>7.7999999999999996E-3</v>
      </c>
      <c r="V280" s="1">
        <v>6.2812000000000001</v>
      </c>
    </row>
    <row r="281" spans="1:22" x14ac:dyDescent="0.25">
      <c r="A281" s="1">
        <v>0.95930000000000004</v>
      </c>
      <c r="B281" s="9" t="s">
        <v>1470</v>
      </c>
      <c r="C281" s="2">
        <v>3164</v>
      </c>
      <c r="D281" s="2" t="s">
        <v>331</v>
      </c>
      <c r="E281" s="9" t="s">
        <v>438</v>
      </c>
      <c r="F281" s="9" t="s">
        <v>439</v>
      </c>
      <c r="G281" s="1">
        <v>1462.7677000000001</v>
      </c>
      <c r="H281" s="2">
        <v>1454</v>
      </c>
      <c r="I281" s="2">
        <v>2</v>
      </c>
      <c r="J281" s="1">
        <v>1462.7827</v>
      </c>
      <c r="K281" s="1">
        <v>732.39110000000005</v>
      </c>
      <c r="L281" s="9" t="s">
        <v>440</v>
      </c>
      <c r="M281" s="2">
        <v>9.99</v>
      </c>
      <c r="N281" s="4">
        <v>4852.99</v>
      </c>
      <c r="O281" s="1">
        <v>10.240430283765052</v>
      </c>
      <c r="P281" s="6">
        <v>39.9</v>
      </c>
      <c r="Q281" s="6">
        <v>30</v>
      </c>
      <c r="R281" s="6">
        <v>12.4</v>
      </c>
      <c r="S281" s="6">
        <v>12.4</v>
      </c>
      <c r="T281" s="5">
        <v>2.5999999999999999E-2</v>
      </c>
      <c r="U281" s="1">
        <v>1.4999999999999999E-2</v>
      </c>
      <c r="V281" s="1">
        <v>3.2317</v>
      </c>
    </row>
    <row r="282" spans="1:22" x14ac:dyDescent="0.25">
      <c r="A282" s="1">
        <v>0.99250000000000005</v>
      </c>
      <c r="B282" s="9" t="s">
        <v>1471</v>
      </c>
      <c r="C282" s="2">
        <v>3171</v>
      </c>
      <c r="D282" s="2" t="s">
        <v>331</v>
      </c>
      <c r="E282" s="9" t="s">
        <v>438</v>
      </c>
      <c r="F282" s="9" t="s">
        <v>439</v>
      </c>
      <c r="G282" s="1">
        <v>1462.7677000000001</v>
      </c>
      <c r="H282" s="2">
        <v>1210</v>
      </c>
      <c r="I282" s="2">
        <v>2</v>
      </c>
      <c r="J282" s="1">
        <v>1462.5510999999999</v>
      </c>
      <c r="K282" s="1">
        <v>732.39110000000005</v>
      </c>
      <c r="L282" s="9" t="s">
        <v>440</v>
      </c>
      <c r="M282" s="2">
        <v>9.99</v>
      </c>
      <c r="N282" s="4">
        <v>4864.54</v>
      </c>
      <c r="O282" s="1">
        <v>-147.87181329756737</v>
      </c>
      <c r="P282" s="6">
        <v>38.6</v>
      </c>
      <c r="Q282" s="6">
        <v>25.2</v>
      </c>
      <c r="R282" s="6">
        <v>10.9</v>
      </c>
      <c r="S282" s="6">
        <v>11.4</v>
      </c>
      <c r="T282" s="5">
        <v>5.5999999999999999E-3</v>
      </c>
      <c r="U282" s="1">
        <v>-0.21659999999999999</v>
      </c>
      <c r="V282" s="1">
        <v>4.3982999999999999</v>
      </c>
    </row>
    <row r="283" spans="1:22" x14ac:dyDescent="0.25">
      <c r="A283" s="1">
        <v>0.97489999999999999</v>
      </c>
      <c r="B283" s="9" t="s">
        <v>1472</v>
      </c>
      <c r="C283" s="2">
        <v>3191</v>
      </c>
      <c r="D283" s="2" t="s">
        <v>1473</v>
      </c>
      <c r="E283" s="9" t="s">
        <v>1474</v>
      </c>
      <c r="F283" s="9" t="s">
        <v>391</v>
      </c>
      <c r="G283" s="1">
        <v>2910.4557</v>
      </c>
      <c r="H283" s="2">
        <v>413</v>
      </c>
      <c r="I283" s="2">
        <v>3</v>
      </c>
      <c r="J283" s="1">
        <v>2910.5958000000001</v>
      </c>
      <c r="K283" s="1">
        <v>971.15920000000006</v>
      </c>
      <c r="L283" s="9" t="s">
        <v>364</v>
      </c>
      <c r="M283" s="2">
        <v>6.77</v>
      </c>
      <c r="N283" s="4">
        <v>4919.59</v>
      </c>
      <c r="O283" s="1">
        <v>48.086863616181567</v>
      </c>
      <c r="P283" s="6">
        <v>35.1</v>
      </c>
      <c r="Q283" s="6">
        <v>25.2</v>
      </c>
      <c r="R283" s="6">
        <v>10.5</v>
      </c>
      <c r="S283" s="6">
        <v>11</v>
      </c>
      <c r="T283" s="5">
        <v>5.2999999999999998E-4</v>
      </c>
      <c r="U283" s="1">
        <v>0.1401</v>
      </c>
      <c r="V283" s="1">
        <v>4.1887999999999996</v>
      </c>
    </row>
    <row r="284" spans="1:22" x14ac:dyDescent="0.25">
      <c r="A284" s="1">
        <v>0.98819999999999997</v>
      </c>
      <c r="B284" s="9" t="s">
        <v>1475</v>
      </c>
      <c r="C284" s="2">
        <v>3192</v>
      </c>
      <c r="D284" s="2" t="s">
        <v>1476</v>
      </c>
      <c r="E284" s="9" t="s">
        <v>1477</v>
      </c>
      <c r="F284" s="9" t="s">
        <v>1478</v>
      </c>
      <c r="G284" s="1">
        <v>1883.8297</v>
      </c>
      <c r="H284" s="2">
        <v>201</v>
      </c>
      <c r="I284" s="2">
        <v>2</v>
      </c>
      <c r="J284" s="1">
        <v>1883.8571999999999</v>
      </c>
      <c r="K284" s="1">
        <v>942.9221</v>
      </c>
      <c r="L284" s="9" t="s">
        <v>1479</v>
      </c>
      <c r="M284" s="2">
        <v>6.08</v>
      </c>
      <c r="N284" s="4">
        <v>4916.34</v>
      </c>
      <c r="O284" s="1">
        <v>14.582328699263703</v>
      </c>
      <c r="P284" s="6">
        <v>29.4</v>
      </c>
      <c r="Q284" s="6">
        <v>21.7</v>
      </c>
      <c r="R284" s="6">
        <v>11.1</v>
      </c>
      <c r="S284" s="6">
        <v>8.5</v>
      </c>
      <c r="T284" s="5">
        <v>1.2999999999999999E-2</v>
      </c>
      <c r="U284" s="1">
        <v>2.75E-2</v>
      </c>
      <c r="V284" s="1">
        <v>3.1846999999999999</v>
      </c>
    </row>
    <row r="285" spans="1:22" x14ac:dyDescent="0.25">
      <c r="A285" s="1">
        <v>0.99419999999999997</v>
      </c>
      <c r="B285" s="9" t="s">
        <v>1480</v>
      </c>
      <c r="C285" s="2">
        <v>3197</v>
      </c>
      <c r="D285" s="2" t="s">
        <v>1413</v>
      </c>
      <c r="E285" s="9" t="s">
        <v>1481</v>
      </c>
      <c r="F285" s="9" t="s">
        <v>1482</v>
      </c>
      <c r="G285" s="1">
        <v>2109.0886999999998</v>
      </c>
      <c r="H285" s="2">
        <v>1213</v>
      </c>
      <c r="I285" s="2">
        <v>2</v>
      </c>
      <c r="J285" s="1">
        <v>2109.0587</v>
      </c>
      <c r="K285" s="1">
        <v>1055.5516</v>
      </c>
      <c r="L285" s="9" t="s">
        <v>1483</v>
      </c>
      <c r="M285" s="2">
        <v>5.49</v>
      </c>
      <c r="N285" s="4">
        <v>4931.1400000000003</v>
      </c>
      <c r="O285" s="1">
        <v>-14.210579568066592</v>
      </c>
      <c r="P285" s="6">
        <v>42.8</v>
      </c>
      <c r="Q285" s="6">
        <v>30</v>
      </c>
      <c r="R285" s="6">
        <v>10.9</v>
      </c>
      <c r="S285" s="6">
        <v>12.7</v>
      </c>
      <c r="T285" s="5">
        <v>1.4999999999999999E-4</v>
      </c>
      <c r="U285" s="1">
        <v>-0.03</v>
      </c>
      <c r="V285" s="1">
        <v>4.6200999999999999</v>
      </c>
    </row>
    <row r="286" spans="1:22" x14ac:dyDescent="0.25">
      <c r="A286" s="1">
        <v>0.99960000000000004</v>
      </c>
      <c r="B286" s="9" t="s">
        <v>1484</v>
      </c>
      <c r="C286" s="2">
        <v>3204</v>
      </c>
      <c r="D286" s="2" t="s">
        <v>88</v>
      </c>
      <c r="E286" s="9" t="s">
        <v>1485</v>
      </c>
      <c r="F286" s="9" t="s">
        <v>1486</v>
      </c>
      <c r="G286" s="1">
        <v>1409.7331999999999</v>
      </c>
      <c r="H286" s="2">
        <v>791</v>
      </c>
      <c r="I286" s="2">
        <v>2</v>
      </c>
      <c r="J286" s="1">
        <v>1409.7402</v>
      </c>
      <c r="K286" s="1">
        <v>705.87390000000005</v>
      </c>
      <c r="L286" s="9" t="s">
        <v>673</v>
      </c>
      <c r="M286" s="2">
        <v>8.59</v>
      </c>
      <c r="N286" s="4">
        <v>4945.9399999999996</v>
      </c>
      <c r="O286" s="1">
        <v>4.9583927100860361</v>
      </c>
      <c r="P286" s="6">
        <v>61.2</v>
      </c>
      <c r="Q286" s="6">
        <v>49.2</v>
      </c>
      <c r="R286" s="6">
        <v>8.9</v>
      </c>
      <c r="S286" s="6">
        <v>9.8000000000000007</v>
      </c>
      <c r="T286" s="5">
        <v>1.5999999999999999E-5</v>
      </c>
      <c r="U286" s="1">
        <v>7.0000000000000001E-3</v>
      </c>
      <c r="V286" s="1">
        <v>6.6731999999999996</v>
      </c>
    </row>
    <row r="287" spans="1:22" x14ac:dyDescent="0.25">
      <c r="A287" s="1">
        <v>0.99950000000000006</v>
      </c>
      <c r="B287" s="9" t="s">
        <v>1487</v>
      </c>
      <c r="C287" s="2">
        <v>3210</v>
      </c>
      <c r="D287" s="2" t="s">
        <v>1488</v>
      </c>
      <c r="E287" s="9" t="s">
        <v>1489</v>
      </c>
      <c r="F287" s="9" t="s">
        <v>1490</v>
      </c>
      <c r="G287" s="1">
        <v>1911.8706999999999</v>
      </c>
      <c r="H287" s="2">
        <v>1456</v>
      </c>
      <c r="I287" s="2">
        <v>2</v>
      </c>
      <c r="J287" s="1">
        <v>1911.896</v>
      </c>
      <c r="K287" s="1">
        <v>956.94259999999997</v>
      </c>
      <c r="L287" s="9" t="s">
        <v>1491</v>
      </c>
      <c r="M287" s="2">
        <v>4.46</v>
      </c>
      <c r="N287" s="4">
        <v>4967.09</v>
      </c>
      <c r="O287" s="1">
        <v>13.219183679355481</v>
      </c>
      <c r="P287" s="6">
        <v>52.7</v>
      </c>
      <c r="Q287" s="6">
        <v>27.6</v>
      </c>
      <c r="R287" s="6">
        <v>10.8</v>
      </c>
      <c r="S287" s="6">
        <v>10.8</v>
      </c>
      <c r="T287" s="5">
        <v>1.1999999999999999E-6</v>
      </c>
      <c r="U287" s="1">
        <v>2.53E-2</v>
      </c>
      <c r="V287" s="1">
        <v>7.9996999999999998</v>
      </c>
    </row>
    <row r="288" spans="1:22" x14ac:dyDescent="0.25">
      <c r="A288" s="1">
        <v>0.9919</v>
      </c>
      <c r="B288" s="9" t="s">
        <v>1492</v>
      </c>
      <c r="C288" s="2">
        <v>3212</v>
      </c>
      <c r="D288" s="2" t="s">
        <v>146</v>
      </c>
      <c r="E288" s="9" t="s">
        <v>1493</v>
      </c>
      <c r="F288" s="9" t="s">
        <v>659</v>
      </c>
      <c r="G288" s="1">
        <v>1400.7697000000001</v>
      </c>
      <c r="H288" s="2">
        <v>1215</v>
      </c>
      <c r="I288" s="2">
        <v>2</v>
      </c>
      <c r="J288" s="1">
        <v>1400.7599</v>
      </c>
      <c r="K288" s="1">
        <v>701.39210000000003</v>
      </c>
      <c r="L288" s="9" t="s">
        <v>660</v>
      </c>
      <c r="M288" s="2">
        <v>5.96</v>
      </c>
      <c r="N288" s="4">
        <v>4968.1400000000003</v>
      </c>
      <c r="O288" s="1">
        <v>-6.9861066299435075</v>
      </c>
      <c r="P288" s="6">
        <v>36.9</v>
      </c>
      <c r="Q288" s="6">
        <v>31.7</v>
      </c>
      <c r="R288" s="6">
        <v>9.4</v>
      </c>
      <c r="S288" s="6">
        <v>9.5</v>
      </c>
      <c r="T288" s="5">
        <v>4.1000000000000002E-2</v>
      </c>
      <c r="U288" s="1">
        <v>-9.7999999999999997E-3</v>
      </c>
      <c r="V288" s="1">
        <v>2.6208</v>
      </c>
    </row>
    <row r="289" spans="1:22" x14ac:dyDescent="0.25">
      <c r="A289" s="1">
        <v>0.99929999999999997</v>
      </c>
      <c r="B289" s="9" t="s">
        <v>1494</v>
      </c>
      <c r="C289" s="2">
        <v>3219</v>
      </c>
      <c r="D289" s="2" t="s">
        <v>270</v>
      </c>
      <c r="E289" s="9" t="s">
        <v>1495</v>
      </c>
      <c r="F289" s="9" t="s">
        <v>1496</v>
      </c>
      <c r="G289" s="1">
        <v>1792.8566000000001</v>
      </c>
      <c r="H289" s="2">
        <v>203</v>
      </c>
      <c r="I289" s="2">
        <v>2</v>
      </c>
      <c r="J289" s="1">
        <v>1792.8542</v>
      </c>
      <c r="K289" s="1">
        <v>897.43560000000002</v>
      </c>
      <c r="L289" s="9" t="s">
        <v>1497</v>
      </c>
      <c r="M289" s="2">
        <v>6.75</v>
      </c>
      <c r="N289" s="4">
        <v>4982.9399999999996</v>
      </c>
      <c r="O289" s="1">
        <v>-1.3371433003103508</v>
      </c>
      <c r="P289" s="6">
        <v>42.1</v>
      </c>
      <c r="Q289" s="6">
        <v>23.7</v>
      </c>
      <c r="R289" s="6">
        <v>11.7</v>
      </c>
      <c r="S289" s="6">
        <v>10.7</v>
      </c>
      <c r="T289" s="5">
        <v>4.8999999999999998E-5</v>
      </c>
      <c r="U289" s="1">
        <v>-2.3999999999999998E-3</v>
      </c>
      <c r="V289" s="1">
        <v>6.5125000000000002</v>
      </c>
    </row>
    <row r="290" spans="1:22" x14ac:dyDescent="0.25">
      <c r="A290" s="1">
        <v>0.99760000000000004</v>
      </c>
      <c r="B290" s="9" t="s">
        <v>1498</v>
      </c>
      <c r="C290" s="2">
        <v>3227</v>
      </c>
      <c r="D290" s="2" t="s">
        <v>550</v>
      </c>
      <c r="E290" s="9" t="s">
        <v>1477</v>
      </c>
      <c r="F290" s="9" t="s">
        <v>1478</v>
      </c>
      <c r="G290" s="1">
        <v>1883.8297</v>
      </c>
      <c r="H290" s="2">
        <v>794</v>
      </c>
      <c r="I290" s="2">
        <v>2</v>
      </c>
      <c r="J290" s="1">
        <v>1883.8770999999999</v>
      </c>
      <c r="K290" s="1">
        <v>942.9221</v>
      </c>
      <c r="L290" s="9" t="s">
        <v>1479</v>
      </c>
      <c r="M290" s="2">
        <v>6.08</v>
      </c>
      <c r="N290" s="4">
        <v>5005.1400000000003</v>
      </c>
      <c r="O290" s="1">
        <v>25.134632012549073</v>
      </c>
      <c r="P290" s="6">
        <v>30.7</v>
      </c>
      <c r="Q290" s="6">
        <v>19.100000000000001</v>
      </c>
      <c r="R290" s="6">
        <v>9.9</v>
      </c>
      <c r="S290" s="6">
        <v>8</v>
      </c>
      <c r="T290" s="5">
        <v>1.4E-3</v>
      </c>
      <c r="U290" s="1">
        <v>4.7399999999999998E-2</v>
      </c>
      <c r="V290" s="1">
        <v>4.5399000000000003</v>
      </c>
    </row>
    <row r="291" spans="1:22" x14ac:dyDescent="0.25">
      <c r="A291" s="1">
        <v>0.98970000000000002</v>
      </c>
      <c r="B291" s="9" t="s">
        <v>1499</v>
      </c>
      <c r="C291" s="2">
        <v>3243</v>
      </c>
      <c r="D291" s="2" t="s">
        <v>1259</v>
      </c>
      <c r="E291" s="9" t="s">
        <v>981</v>
      </c>
      <c r="F291" s="9" t="s">
        <v>982</v>
      </c>
      <c r="G291" s="1">
        <v>1940.0672</v>
      </c>
      <c r="H291" s="2">
        <v>371</v>
      </c>
      <c r="I291" s="2">
        <v>2</v>
      </c>
      <c r="J291" s="1">
        <v>1940.0597</v>
      </c>
      <c r="K291" s="1">
        <v>971.04089999999997</v>
      </c>
      <c r="L291" s="9" t="s">
        <v>983</v>
      </c>
      <c r="M291" s="2">
        <v>8.75</v>
      </c>
      <c r="N291" s="4">
        <v>5048.49</v>
      </c>
      <c r="O291" s="1">
        <v>-3.8618352738798127</v>
      </c>
      <c r="P291" s="6">
        <v>31.9</v>
      </c>
      <c r="Q291" s="6">
        <v>23.2</v>
      </c>
      <c r="R291" s="6">
        <v>7.7</v>
      </c>
      <c r="S291" s="6">
        <v>7.3</v>
      </c>
      <c r="T291" s="5">
        <v>2.2000000000000001E-3</v>
      </c>
      <c r="U291" s="1">
        <v>-7.4999999999999997E-3</v>
      </c>
      <c r="V291" s="1">
        <v>3.9386000000000001</v>
      </c>
    </row>
    <row r="292" spans="1:22" x14ac:dyDescent="0.25">
      <c r="A292" s="1">
        <v>0.99890000000000001</v>
      </c>
      <c r="B292" s="9" t="s">
        <v>1500</v>
      </c>
      <c r="C292" s="2">
        <v>3257</v>
      </c>
      <c r="D292" s="2" t="s">
        <v>105</v>
      </c>
      <c r="E292" s="9" t="s">
        <v>1501</v>
      </c>
      <c r="F292" s="9" t="s">
        <v>1284</v>
      </c>
      <c r="G292" s="1">
        <v>1729.9437</v>
      </c>
      <c r="H292" s="2">
        <v>1216</v>
      </c>
      <c r="I292" s="2">
        <v>2</v>
      </c>
      <c r="J292" s="1">
        <v>1729.9419</v>
      </c>
      <c r="K292" s="1">
        <v>865.97910000000002</v>
      </c>
      <c r="L292" s="9" t="s">
        <v>1285</v>
      </c>
      <c r="M292" s="2">
        <v>6.25</v>
      </c>
      <c r="N292" s="4">
        <v>5079.1400000000003</v>
      </c>
      <c r="O292" s="1">
        <v>-1.0392860520536811</v>
      </c>
      <c r="P292" s="6">
        <v>48</v>
      </c>
      <c r="Q292" s="6">
        <v>29.5</v>
      </c>
      <c r="R292" s="6">
        <v>12</v>
      </c>
      <c r="S292" s="6">
        <v>12.5</v>
      </c>
      <c r="T292" s="5">
        <v>2.4000000000000001E-5</v>
      </c>
      <c r="U292" s="1">
        <v>-1.8E-3</v>
      </c>
      <c r="V292" s="1">
        <v>6.5968999999999998</v>
      </c>
    </row>
    <row r="293" spans="1:22" x14ac:dyDescent="0.25">
      <c r="A293" s="1">
        <v>0.99390000000000001</v>
      </c>
      <c r="B293" s="9" t="s">
        <v>1502</v>
      </c>
      <c r="C293" s="2">
        <v>3261</v>
      </c>
      <c r="D293" s="2" t="s">
        <v>178</v>
      </c>
      <c r="E293" s="9" t="s">
        <v>1503</v>
      </c>
      <c r="F293" s="9" t="s">
        <v>1504</v>
      </c>
      <c r="G293" s="1">
        <v>1540.7707</v>
      </c>
      <c r="H293" s="2">
        <v>1217</v>
      </c>
      <c r="I293" s="2">
        <v>2</v>
      </c>
      <c r="J293" s="1">
        <v>1540.7909999999999</v>
      </c>
      <c r="K293" s="1">
        <v>771.39260000000002</v>
      </c>
      <c r="L293" s="9" t="s">
        <v>1505</v>
      </c>
      <c r="M293" s="2">
        <v>6.74</v>
      </c>
      <c r="N293" s="4">
        <v>5086.54</v>
      </c>
      <c r="O293" s="1">
        <v>13.158020961051479</v>
      </c>
      <c r="P293" s="6">
        <v>39.1</v>
      </c>
      <c r="Q293" s="6">
        <v>29.4</v>
      </c>
      <c r="R293" s="6">
        <v>10.6</v>
      </c>
      <c r="S293" s="6">
        <v>11.6</v>
      </c>
      <c r="T293" s="5">
        <v>9.7999999999999997E-4</v>
      </c>
      <c r="U293" s="1">
        <v>2.0299999999999999E-2</v>
      </c>
      <c r="V293" s="1">
        <v>4.5751999999999997</v>
      </c>
    </row>
    <row r="294" spans="1:22" x14ac:dyDescent="0.25">
      <c r="A294" s="1">
        <v>0.99050000000000005</v>
      </c>
      <c r="B294" s="9" t="s">
        <v>1506</v>
      </c>
      <c r="C294" s="2">
        <v>3263</v>
      </c>
      <c r="D294" s="2" t="s">
        <v>520</v>
      </c>
      <c r="E294" s="9" t="s">
        <v>1507</v>
      </c>
      <c r="F294" s="9" t="s">
        <v>1508</v>
      </c>
      <c r="G294" s="1">
        <v>1598.8697</v>
      </c>
      <c r="H294" s="2">
        <v>1555</v>
      </c>
      <c r="I294" s="2">
        <v>2</v>
      </c>
      <c r="J294" s="1">
        <v>1598.886</v>
      </c>
      <c r="K294" s="1">
        <v>800.44209999999998</v>
      </c>
      <c r="L294" s="9" t="s">
        <v>577</v>
      </c>
      <c r="M294" s="2">
        <v>6.07</v>
      </c>
      <c r="N294" s="4">
        <v>5093.9399999999996</v>
      </c>
      <c r="O294" s="1">
        <v>10.181873242299472</v>
      </c>
      <c r="P294" s="6">
        <v>34.5</v>
      </c>
      <c r="Q294" s="6">
        <v>22.2</v>
      </c>
      <c r="R294" s="6">
        <v>12.1</v>
      </c>
      <c r="S294" s="6">
        <v>11.3</v>
      </c>
      <c r="T294" s="5">
        <v>1.8E-3</v>
      </c>
      <c r="U294" s="1">
        <v>1.6299999999999999E-2</v>
      </c>
      <c r="V294" s="1">
        <v>4.7866999999999997</v>
      </c>
    </row>
    <row r="295" spans="1:22" x14ac:dyDescent="0.25">
      <c r="A295" s="1">
        <v>0.99790000000000001</v>
      </c>
      <c r="B295" s="9" t="s">
        <v>1509</v>
      </c>
      <c r="C295" s="2">
        <v>3264</v>
      </c>
      <c r="D295" s="2" t="s">
        <v>270</v>
      </c>
      <c r="E295" s="9" t="s">
        <v>1510</v>
      </c>
      <c r="F295" s="9" t="s">
        <v>1511</v>
      </c>
      <c r="G295" s="1">
        <v>1689.8067000000001</v>
      </c>
      <c r="H295" s="2">
        <v>1218</v>
      </c>
      <c r="I295" s="2">
        <v>2</v>
      </c>
      <c r="J295" s="1">
        <v>1689.5288</v>
      </c>
      <c r="K295" s="1">
        <v>845.91060000000004</v>
      </c>
      <c r="L295" s="9" t="s">
        <v>1512</v>
      </c>
      <c r="M295" s="2">
        <v>4.75</v>
      </c>
      <c r="N295" s="4">
        <v>5093.9399999999996</v>
      </c>
      <c r="O295" s="1">
        <v>-164.26085688014783</v>
      </c>
      <c r="P295" s="6">
        <v>45.6</v>
      </c>
      <c r="Q295" s="6">
        <v>31.2</v>
      </c>
      <c r="R295" s="6">
        <v>11.8</v>
      </c>
      <c r="S295" s="6">
        <v>9.1999999999999993</v>
      </c>
      <c r="T295" s="5">
        <v>1E-4</v>
      </c>
      <c r="U295" s="1">
        <v>-0.27789999999999998</v>
      </c>
      <c r="V295" s="1">
        <v>5.6889000000000003</v>
      </c>
    </row>
    <row r="296" spans="1:22" x14ac:dyDescent="0.25">
      <c r="A296" s="1">
        <v>0.97589999999999999</v>
      </c>
      <c r="B296" s="9" t="s">
        <v>1513</v>
      </c>
      <c r="C296" s="2">
        <v>3269</v>
      </c>
      <c r="D296" s="2" t="s">
        <v>630</v>
      </c>
      <c r="E296" s="9" t="s">
        <v>1514</v>
      </c>
      <c r="F296" s="9" t="s">
        <v>1515</v>
      </c>
      <c r="G296" s="1">
        <v>1744.8087</v>
      </c>
      <c r="H296" s="2">
        <v>1219</v>
      </c>
      <c r="I296" s="2">
        <v>2</v>
      </c>
      <c r="J296" s="1">
        <v>1744.8453999999999</v>
      </c>
      <c r="K296" s="1">
        <v>873.41160000000002</v>
      </c>
      <c r="L296" s="9" t="s">
        <v>1516</v>
      </c>
      <c r="M296" s="2">
        <v>4.1399999999999997</v>
      </c>
      <c r="N296" s="4">
        <v>5108.74</v>
      </c>
      <c r="O296" s="1">
        <v>21.009567539519743</v>
      </c>
      <c r="P296" s="6">
        <v>36.9</v>
      </c>
      <c r="Q296" s="6">
        <v>29.7</v>
      </c>
      <c r="R296" s="6">
        <v>8.8000000000000007</v>
      </c>
      <c r="S296" s="6">
        <v>10</v>
      </c>
      <c r="T296" s="5">
        <v>3.8E-3</v>
      </c>
      <c r="U296" s="1">
        <v>3.6700000000000003E-2</v>
      </c>
      <c r="V296" s="1">
        <v>3.5083000000000002</v>
      </c>
    </row>
    <row r="297" spans="1:22" x14ac:dyDescent="0.25">
      <c r="A297" s="1">
        <v>0.98929999999999996</v>
      </c>
      <c r="B297" s="9" t="s">
        <v>1517</v>
      </c>
      <c r="C297" s="2">
        <v>3284</v>
      </c>
      <c r="D297" s="2" t="s">
        <v>331</v>
      </c>
      <c r="E297" s="9" t="s">
        <v>1518</v>
      </c>
      <c r="F297" s="9" t="s">
        <v>1519</v>
      </c>
      <c r="G297" s="1">
        <v>1527.7197000000001</v>
      </c>
      <c r="H297" s="2">
        <v>205</v>
      </c>
      <c r="I297" s="2">
        <v>2</v>
      </c>
      <c r="J297" s="1">
        <v>1527.7409</v>
      </c>
      <c r="K297" s="1">
        <v>764.86710000000005</v>
      </c>
      <c r="L297" s="9" t="s">
        <v>1520</v>
      </c>
      <c r="M297" s="2">
        <v>4.5199999999999996</v>
      </c>
      <c r="N297" s="4">
        <v>5145.74</v>
      </c>
      <c r="O297" s="1">
        <v>13.858616745314317</v>
      </c>
      <c r="P297" s="6">
        <v>37.6</v>
      </c>
      <c r="Q297" s="6">
        <v>26.9</v>
      </c>
      <c r="R297" s="6">
        <v>8.9</v>
      </c>
      <c r="S297" s="6">
        <v>8.4</v>
      </c>
      <c r="T297" s="5">
        <v>2.2000000000000001E-3</v>
      </c>
      <c r="U297" s="1">
        <v>2.12E-2</v>
      </c>
      <c r="V297" s="1">
        <v>4.5407999999999999</v>
      </c>
    </row>
    <row r="298" spans="1:22" x14ac:dyDescent="0.25">
      <c r="A298" s="1">
        <v>0.99939999999999996</v>
      </c>
      <c r="B298" s="9" t="s">
        <v>1521</v>
      </c>
      <c r="C298" s="2">
        <v>3285</v>
      </c>
      <c r="D298" s="2" t="s">
        <v>1145</v>
      </c>
      <c r="E298" s="9" t="s">
        <v>998</v>
      </c>
      <c r="F298" s="9" t="s">
        <v>1522</v>
      </c>
      <c r="G298" s="1">
        <v>1773.9947</v>
      </c>
      <c r="H298" s="2">
        <v>372</v>
      </c>
      <c r="I298" s="2">
        <v>2</v>
      </c>
      <c r="J298" s="1">
        <v>1774.008</v>
      </c>
      <c r="K298" s="1">
        <v>888.00459999999998</v>
      </c>
      <c r="L298" s="9" t="s">
        <v>603</v>
      </c>
      <c r="M298" s="2">
        <v>4.8499999999999996</v>
      </c>
      <c r="N298" s="4">
        <v>5152.09</v>
      </c>
      <c r="O298" s="1">
        <v>7.4886999459237034</v>
      </c>
      <c r="P298" s="6">
        <v>47.7</v>
      </c>
      <c r="Q298" s="6">
        <v>27.9</v>
      </c>
      <c r="R298" s="6">
        <v>12.1</v>
      </c>
      <c r="S298" s="6">
        <v>14</v>
      </c>
      <c r="T298" s="5">
        <v>9.1999999999999998E-7</v>
      </c>
      <c r="U298" s="1">
        <v>1.3299999999999999E-2</v>
      </c>
      <c r="V298" s="1">
        <v>7.8567</v>
      </c>
    </row>
    <row r="299" spans="1:22" x14ac:dyDescent="0.25">
      <c r="A299" s="1">
        <v>0.99939999999999996</v>
      </c>
      <c r="B299" s="9" t="s">
        <v>1523</v>
      </c>
      <c r="C299" s="2">
        <v>3296</v>
      </c>
      <c r="D299" s="2" t="s">
        <v>270</v>
      </c>
      <c r="E299" s="9" t="s">
        <v>1524</v>
      </c>
      <c r="F299" s="9" t="s">
        <v>1525</v>
      </c>
      <c r="G299" s="1">
        <v>1608.8797</v>
      </c>
      <c r="H299" s="2">
        <v>798</v>
      </c>
      <c r="I299" s="2">
        <v>2</v>
      </c>
      <c r="J299" s="1">
        <v>1608.8824</v>
      </c>
      <c r="K299" s="1">
        <v>805.44709999999998</v>
      </c>
      <c r="L299" s="9" t="s">
        <v>1526</v>
      </c>
      <c r="M299" s="2">
        <v>8.64</v>
      </c>
      <c r="N299" s="4">
        <v>5175.34</v>
      </c>
      <c r="O299" s="1">
        <v>1.6760877281698574</v>
      </c>
      <c r="P299" s="6">
        <v>46.9</v>
      </c>
      <c r="Q299" s="6">
        <v>26.2</v>
      </c>
      <c r="R299" s="6">
        <v>9.5</v>
      </c>
      <c r="S299" s="6">
        <v>10</v>
      </c>
      <c r="T299" s="5">
        <v>2.0000000000000002E-5</v>
      </c>
      <c r="U299" s="1">
        <v>2.7000000000000001E-3</v>
      </c>
      <c r="V299" s="1">
        <v>6.9141000000000004</v>
      </c>
    </row>
    <row r="300" spans="1:22" x14ac:dyDescent="0.25">
      <c r="A300" s="1">
        <v>0.99950000000000006</v>
      </c>
      <c r="B300" s="9" t="s">
        <v>1527</v>
      </c>
      <c r="C300" s="2">
        <v>3297</v>
      </c>
      <c r="D300" s="2" t="s">
        <v>115</v>
      </c>
      <c r="E300" s="9" t="s">
        <v>1528</v>
      </c>
      <c r="F300" s="9" t="s">
        <v>1525</v>
      </c>
      <c r="G300" s="1">
        <v>1537.8426999999999</v>
      </c>
      <c r="H300" s="2">
        <v>373</v>
      </c>
      <c r="I300" s="2">
        <v>2</v>
      </c>
      <c r="J300" s="1">
        <v>1537.8571999999999</v>
      </c>
      <c r="K300" s="1">
        <v>769.92859999999996</v>
      </c>
      <c r="L300" s="9" t="s">
        <v>1526</v>
      </c>
      <c r="M300" s="2">
        <v>8.59</v>
      </c>
      <c r="N300" s="4">
        <v>5181.6899999999996</v>
      </c>
      <c r="O300" s="1">
        <v>9.4164575780143771</v>
      </c>
      <c r="P300" s="6">
        <v>47.4</v>
      </c>
      <c r="Q300" s="6">
        <v>32</v>
      </c>
      <c r="R300" s="6">
        <v>9.6</v>
      </c>
      <c r="S300" s="6">
        <v>10.8</v>
      </c>
      <c r="T300" s="5">
        <v>1.5999999999999999E-5</v>
      </c>
      <c r="U300" s="1">
        <v>1.4500000000000001E-2</v>
      </c>
      <c r="V300" s="1">
        <v>6.7422000000000004</v>
      </c>
    </row>
    <row r="301" spans="1:22" x14ac:dyDescent="0.25">
      <c r="A301" s="1">
        <v>0.99950000000000006</v>
      </c>
      <c r="B301" s="9" t="s">
        <v>1529</v>
      </c>
      <c r="C301" s="2">
        <v>3299</v>
      </c>
      <c r="D301" s="2" t="s">
        <v>1145</v>
      </c>
      <c r="E301" s="9" t="s">
        <v>998</v>
      </c>
      <c r="F301" s="9" t="s">
        <v>1522</v>
      </c>
      <c r="G301" s="1">
        <v>1773.9947</v>
      </c>
      <c r="H301" s="2">
        <v>374</v>
      </c>
      <c r="I301" s="2">
        <v>2</v>
      </c>
      <c r="J301" s="1">
        <v>1774.0160000000001</v>
      </c>
      <c r="K301" s="1">
        <v>888.00459999999998</v>
      </c>
      <c r="L301" s="9" t="s">
        <v>603</v>
      </c>
      <c r="M301" s="2">
        <v>4.8499999999999996</v>
      </c>
      <c r="N301" s="4">
        <v>5185.99</v>
      </c>
      <c r="O301" s="1">
        <v>11.993181116404127</v>
      </c>
      <c r="P301" s="6">
        <v>47.5</v>
      </c>
      <c r="Q301" s="6">
        <v>25.3</v>
      </c>
      <c r="R301" s="6">
        <v>11.6</v>
      </c>
      <c r="S301" s="6">
        <v>13.9</v>
      </c>
      <c r="T301" s="5">
        <v>3.2000000000000001E-7</v>
      </c>
      <c r="U301" s="1">
        <v>2.1299999999999999E-2</v>
      </c>
      <c r="V301" s="1">
        <v>8.5089000000000006</v>
      </c>
    </row>
    <row r="302" spans="1:22" x14ac:dyDescent="0.25">
      <c r="A302" s="1">
        <v>0.99739999999999995</v>
      </c>
      <c r="B302" s="9" t="s">
        <v>1530</v>
      </c>
      <c r="C302" s="2">
        <v>3300</v>
      </c>
      <c r="D302" s="2" t="s">
        <v>1531</v>
      </c>
      <c r="E302" s="9" t="s">
        <v>1532</v>
      </c>
      <c r="F302" s="9" t="s">
        <v>1533</v>
      </c>
      <c r="G302" s="1">
        <v>2109.9454000000001</v>
      </c>
      <c r="H302" s="2">
        <v>1220</v>
      </c>
      <c r="I302" s="2">
        <v>2</v>
      </c>
      <c r="J302" s="1">
        <v>2109.9522999999999</v>
      </c>
      <c r="K302" s="1">
        <v>1055.98</v>
      </c>
      <c r="L302" s="9" t="s">
        <v>1534</v>
      </c>
      <c r="M302" s="2">
        <v>4.32</v>
      </c>
      <c r="N302" s="4">
        <v>5182.74</v>
      </c>
      <c r="O302" s="1">
        <v>3.2671073315782495</v>
      </c>
      <c r="P302" s="6">
        <v>42.3</v>
      </c>
      <c r="Q302" s="6">
        <v>26</v>
      </c>
      <c r="R302" s="6">
        <v>12.9</v>
      </c>
      <c r="S302" s="6">
        <v>8.5</v>
      </c>
      <c r="T302" s="5">
        <v>7.8999999999999996E-5</v>
      </c>
      <c r="U302" s="1">
        <v>6.8999999999999999E-3</v>
      </c>
      <c r="V302" s="1">
        <v>5.4156000000000004</v>
      </c>
    </row>
    <row r="303" spans="1:22" x14ac:dyDescent="0.25">
      <c r="A303" s="1">
        <v>0.99619999999999997</v>
      </c>
      <c r="B303" s="9" t="s">
        <v>1535</v>
      </c>
      <c r="C303" s="2">
        <v>3308</v>
      </c>
      <c r="D303" s="2" t="s">
        <v>280</v>
      </c>
      <c r="E303" s="9" t="s">
        <v>1536</v>
      </c>
      <c r="F303" s="9" t="s">
        <v>1537</v>
      </c>
      <c r="G303" s="1">
        <v>1543.7707</v>
      </c>
      <c r="H303" s="2">
        <v>1221</v>
      </c>
      <c r="I303" s="2">
        <v>2</v>
      </c>
      <c r="J303" s="1">
        <v>1543.7860000000001</v>
      </c>
      <c r="K303" s="1">
        <v>772.89260000000002</v>
      </c>
      <c r="L303" s="9" t="s">
        <v>1538</v>
      </c>
      <c r="M303" s="2">
        <v>4.8499999999999996</v>
      </c>
      <c r="N303" s="4">
        <v>5204.9399999999996</v>
      </c>
      <c r="O303" s="1">
        <v>9.8978823189664382</v>
      </c>
      <c r="P303" s="6">
        <v>42.8</v>
      </c>
      <c r="Q303" s="6">
        <v>28.5</v>
      </c>
      <c r="R303" s="6">
        <v>12.1</v>
      </c>
      <c r="S303" s="6">
        <v>11.2</v>
      </c>
      <c r="T303" s="5">
        <v>8.4999999999999995E-4</v>
      </c>
      <c r="U303" s="1">
        <v>1.5299999999999999E-2</v>
      </c>
      <c r="V303" s="1">
        <v>5.0202</v>
      </c>
    </row>
    <row r="304" spans="1:22" x14ac:dyDescent="0.25">
      <c r="A304" s="1">
        <v>0.99919999999999998</v>
      </c>
      <c r="B304" s="9" t="s">
        <v>1539</v>
      </c>
      <c r="C304" s="2">
        <v>3312</v>
      </c>
      <c r="D304" s="2" t="s">
        <v>550</v>
      </c>
      <c r="E304" s="9" t="s">
        <v>1540</v>
      </c>
      <c r="F304" s="9" t="s">
        <v>282</v>
      </c>
      <c r="G304" s="1">
        <v>1859.8906999999999</v>
      </c>
      <c r="H304" s="2">
        <v>1460</v>
      </c>
      <c r="I304" s="2">
        <v>2</v>
      </c>
      <c r="J304" s="1">
        <v>1859.9034999999999</v>
      </c>
      <c r="K304" s="1">
        <v>930.95259999999996</v>
      </c>
      <c r="L304" s="9" t="s">
        <v>283</v>
      </c>
      <c r="M304" s="2">
        <v>6.52</v>
      </c>
      <c r="N304" s="4">
        <v>5218.6899999999996</v>
      </c>
      <c r="O304" s="1">
        <v>6.8746786893339156</v>
      </c>
      <c r="P304" s="6">
        <v>32.799999999999997</v>
      </c>
      <c r="Q304" s="6">
        <v>24.1</v>
      </c>
      <c r="R304" s="6">
        <v>10.6</v>
      </c>
      <c r="S304" s="6">
        <v>12.6</v>
      </c>
      <c r="T304" s="5">
        <v>2E-3</v>
      </c>
      <c r="U304" s="1">
        <v>1.2800000000000001E-2</v>
      </c>
      <c r="V304" s="1">
        <v>3.9468000000000001</v>
      </c>
    </row>
    <row r="305" spans="1:22" x14ac:dyDescent="0.25">
      <c r="A305" s="1">
        <v>0.99880000000000002</v>
      </c>
      <c r="B305" s="9" t="s">
        <v>1541</v>
      </c>
      <c r="C305" s="2">
        <v>3321</v>
      </c>
      <c r="D305" s="2" t="s">
        <v>1456</v>
      </c>
      <c r="E305" s="9" t="s">
        <v>1542</v>
      </c>
      <c r="F305" s="9" t="s">
        <v>398</v>
      </c>
      <c r="G305" s="1">
        <v>1821.8927000000001</v>
      </c>
      <c r="H305" s="2">
        <v>801</v>
      </c>
      <c r="I305" s="2">
        <v>2</v>
      </c>
      <c r="J305" s="1">
        <v>1821.9169999999999</v>
      </c>
      <c r="K305" s="1">
        <v>911.95360000000005</v>
      </c>
      <c r="L305" s="9" t="s">
        <v>399</v>
      </c>
      <c r="M305" s="2">
        <v>4.43</v>
      </c>
      <c r="N305" s="4">
        <v>5234.54</v>
      </c>
      <c r="O305" s="1">
        <v>13.323046260248327</v>
      </c>
      <c r="P305" s="6">
        <v>43.5</v>
      </c>
      <c r="Q305" s="6">
        <v>21.5</v>
      </c>
      <c r="R305" s="6">
        <v>12</v>
      </c>
      <c r="S305" s="6">
        <v>11.4</v>
      </c>
      <c r="T305" s="5">
        <v>2.7999999999999999E-6</v>
      </c>
      <c r="U305" s="1">
        <v>2.4299999999999999E-2</v>
      </c>
      <c r="V305" s="1">
        <v>7.3242000000000003</v>
      </c>
    </row>
    <row r="306" spans="1:22" x14ac:dyDescent="0.25">
      <c r="A306" s="1">
        <v>0.99950000000000006</v>
      </c>
      <c r="B306" s="9" t="s">
        <v>1543</v>
      </c>
      <c r="C306" s="2">
        <v>3323</v>
      </c>
      <c r="D306" s="2" t="s">
        <v>1544</v>
      </c>
      <c r="E306" s="9" t="s">
        <v>1545</v>
      </c>
      <c r="F306" s="9" t="s">
        <v>1546</v>
      </c>
      <c r="G306" s="1">
        <v>1593.8326999999999</v>
      </c>
      <c r="H306" s="2">
        <v>376</v>
      </c>
      <c r="I306" s="2">
        <v>2</v>
      </c>
      <c r="J306" s="1">
        <v>1593.8603000000001</v>
      </c>
      <c r="K306" s="1">
        <v>797.92359999999996</v>
      </c>
      <c r="L306" s="9" t="s">
        <v>1547</v>
      </c>
      <c r="M306" s="2">
        <v>4.9400000000000004</v>
      </c>
      <c r="N306" s="4">
        <v>5245.19</v>
      </c>
      <c r="O306" s="1">
        <v>17.294888884098679</v>
      </c>
      <c r="P306" s="6">
        <v>53.4</v>
      </c>
      <c r="Q306" s="6">
        <v>30.6</v>
      </c>
      <c r="R306" s="6">
        <v>10.1</v>
      </c>
      <c r="S306" s="6">
        <v>11.7</v>
      </c>
      <c r="T306" s="5">
        <v>1.5E-6</v>
      </c>
      <c r="U306" s="1">
        <v>2.76E-2</v>
      </c>
      <c r="V306" s="1">
        <v>8.2455999999999996</v>
      </c>
    </row>
    <row r="307" spans="1:22" x14ac:dyDescent="0.25">
      <c r="A307" s="1">
        <v>0.99919999999999998</v>
      </c>
      <c r="B307" s="9" t="s">
        <v>1548</v>
      </c>
      <c r="C307" s="2">
        <v>3327</v>
      </c>
      <c r="D307" s="2" t="s">
        <v>316</v>
      </c>
      <c r="E307" s="9" t="s">
        <v>1549</v>
      </c>
      <c r="F307" s="9" t="s">
        <v>170</v>
      </c>
      <c r="G307" s="1">
        <v>1582.7517</v>
      </c>
      <c r="H307" s="2">
        <v>1461</v>
      </c>
      <c r="I307" s="2">
        <v>2</v>
      </c>
      <c r="J307" s="1">
        <v>1582.7657999999999</v>
      </c>
      <c r="K307" s="1">
        <v>792.38310000000001</v>
      </c>
      <c r="L307" s="9" t="s">
        <v>64</v>
      </c>
      <c r="M307" s="2">
        <v>8.25</v>
      </c>
      <c r="N307" s="4">
        <v>5255.69</v>
      </c>
      <c r="O307" s="1">
        <v>8.8972114624857586</v>
      </c>
      <c r="P307" s="6">
        <v>40.9</v>
      </c>
      <c r="Q307" s="6">
        <v>25.7</v>
      </c>
      <c r="R307" s="6">
        <v>12.3</v>
      </c>
      <c r="S307" s="6">
        <v>11.5</v>
      </c>
      <c r="T307" s="5">
        <v>1.2E-5</v>
      </c>
      <c r="U307" s="1">
        <v>1.41E-2</v>
      </c>
      <c r="V307" s="1">
        <v>6.8343999999999996</v>
      </c>
    </row>
    <row r="308" spans="1:22" x14ac:dyDescent="0.25">
      <c r="A308" s="1">
        <v>0.94930000000000003</v>
      </c>
      <c r="B308" s="9" t="s">
        <v>1550</v>
      </c>
      <c r="C308" s="2">
        <v>3336</v>
      </c>
      <c r="D308" s="2" t="s">
        <v>1551</v>
      </c>
      <c r="E308" s="9" t="s">
        <v>1552</v>
      </c>
      <c r="F308" s="9" t="s">
        <v>672</v>
      </c>
      <c r="G308" s="1">
        <v>2243.1255999999998</v>
      </c>
      <c r="H308" s="2">
        <v>61</v>
      </c>
      <c r="I308" s="2">
        <v>2</v>
      </c>
      <c r="J308" s="1">
        <v>2243.1289999999999</v>
      </c>
      <c r="K308" s="1">
        <v>1122.5700999999999</v>
      </c>
      <c r="L308" s="9" t="s">
        <v>673</v>
      </c>
      <c r="M308" s="2">
        <v>4.54</v>
      </c>
      <c r="N308" s="4">
        <v>5271.54</v>
      </c>
      <c r="O308" s="1">
        <v>1.5143820417094667</v>
      </c>
      <c r="P308" s="6">
        <v>30.4</v>
      </c>
      <c r="Q308" s="6">
        <v>22</v>
      </c>
      <c r="R308" s="6">
        <v>11.8</v>
      </c>
      <c r="S308" s="6">
        <v>7.3</v>
      </c>
      <c r="T308" s="5">
        <v>4.7999999999999996E-3</v>
      </c>
      <c r="U308" s="1">
        <v>3.3999999999999998E-3</v>
      </c>
      <c r="V308" s="1">
        <v>3.2988</v>
      </c>
    </row>
    <row r="309" spans="1:22" x14ac:dyDescent="0.25">
      <c r="A309" s="1">
        <v>0.99850000000000005</v>
      </c>
      <c r="B309" s="9" t="s">
        <v>1553</v>
      </c>
      <c r="C309" s="2">
        <v>3342</v>
      </c>
      <c r="D309" s="2" t="s">
        <v>51</v>
      </c>
      <c r="E309" s="9" t="s">
        <v>1554</v>
      </c>
      <c r="F309" s="9" t="s">
        <v>1555</v>
      </c>
      <c r="G309" s="1">
        <v>1403.7597000000001</v>
      </c>
      <c r="H309" s="2">
        <v>206</v>
      </c>
      <c r="I309" s="2">
        <v>2</v>
      </c>
      <c r="J309" s="1">
        <v>1403.7961</v>
      </c>
      <c r="K309" s="1">
        <v>702.88710000000003</v>
      </c>
      <c r="L309" s="9" t="s">
        <v>1556</v>
      </c>
      <c r="M309" s="2">
        <v>8.75</v>
      </c>
      <c r="N309" s="4">
        <v>5286.34</v>
      </c>
      <c r="O309" s="1">
        <v>25.893205324155186</v>
      </c>
      <c r="P309" s="6">
        <v>53.8</v>
      </c>
      <c r="Q309" s="6">
        <v>34.1</v>
      </c>
      <c r="R309" s="6">
        <v>12.2</v>
      </c>
      <c r="S309" s="6">
        <v>10.4</v>
      </c>
      <c r="T309" s="5">
        <v>1.5E-3</v>
      </c>
      <c r="U309" s="1">
        <v>3.6400000000000002E-2</v>
      </c>
      <c r="V309" s="1">
        <v>5.5426000000000002</v>
      </c>
    </row>
    <row r="310" spans="1:22" x14ac:dyDescent="0.25">
      <c r="A310" s="1">
        <v>0.98499999999999999</v>
      </c>
      <c r="B310" s="9" t="s">
        <v>1557</v>
      </c>
      <c r="C310" s="2">
        <v>3345</v>
      </c>
      <c r="D310" s="2" t="s">
        <v>1476</v>
      </c>
      <c r="E310" s="9" t="s">
        <v>1558</v>
      </c>
      <c r="F310" s="9" t="s">
        <v>1559</v>
      </c>
      <c r="G310" s="1">
        <v>1725.8397</v>
      </c>
      <c r="H310" s="2">
        <v>377</v>
      </c>
      <c r="I310" s="2">
        <v>2</v>
      </c>
      <c r="J310" s="1">
        <v>1725.8630000000001</v>
      </c>
      <c r="K310" s="1">
        <v>863.9271</v>
      </c>
      <c r="L310" s="9" t="s">
        <v>118</v>
      </c>
      <c r="M310" s="2">
        <v>6.22</v>
      </c>
      <c r="N310" s="4">
        <v>5300.04</v>
      </c>
      <c r="O310" s="1">
        <v>13.48493408760994</v>
      </c>
      <c r="P310" s="6">
        <v>29.8</v>
      </c>
      <c r="Q310" s="6">
        <v>21.4</v>
      </c>
      <c r="R310" s="6">
        <v>10.9</v>
      </c>
      <c r="S310" s="6">
        <v>10.5</v>
      </c>
      <c r="T310" s="5">
        <v>4.5999999999999999E-3</v>
      </c>
      <c r="U310" s="1">
        <v>2.3300000000000001E-2</v>
      </c>
      <c r="V310" s="1">
        <v>3.6802000000000001</v>
      </c>
    </row>
    <row r="311" spans="1:22" x14ac:dyDescent="0.25">
      <c r="A311" s="1">
        <v>0.99950000000000006</v>
      </c>
      <c r="B311" s="9" t="s">
        <v>1560</v>
      </c>
      <c r="C311" s="2">
        <v>3356</v>
      </c>
      <c r="D311" s="2" t="s">
        <v>1561</v>
      </c>
      <c r="E311" s="9" t="s">
        <v>1562</v>
      </c>
      <c r="F311" s="9" t="s">
        <v>1563</v>
      </c>
      <c r="G311" s="1">
        <v>1462.8107</v>
      </c>
      <c r="H311" s="2">
        <v>1464</v>
      </c>
      <c r="I311" s="2">
        <v>2</v>
      </c>
      <c r="J311" s="1">
        <v>1462.8208</v>
      </c>
      <c r="K311" s="1">
        <v>732.4126</v>
      </c>
      <c r="L311" s="9" t="s">
        <v>1564</v>
      </c>
      <c r="M311" s="2">
        <v>6.07</v>
      </c>
      <c r="N311" s="4">
        <v>5326.49</v>
      </c>
      <c r="O311" s="1">
        <v>6.8950206481974776</v>
      </c>
      <c r="P311" s="6">
        <v>76</v>
      </c>
      <c r="Q311" s="6">
        <v>40.299999999999997</v>
      </c>
      <c r="R311" s="6">
        <v>11.1</v>
      </c>
      <c r="S311" s="6">
        <v>11.9</v>
      </c>
      <c r="T311" s="5">
        <v>1.5999999999999999E-5</v>
      </c>
      <c r="U311" s="1">
        <v>1.01E-2</v>
      </c>
      <c r="V311" s="1">
        <v>7.6700999999999997</v>
      </c>
    </row>
    <row r="312" spans="1:22" x14ac:dyDescent="0.25">
      <c r="A312" s="1">
        <v>0.99950000000000006</v>
      </c>
      <c r="B312" s="9" t="s">
        <v>1565</v>
      </c>
      <c r="C312" s="2">
        <v>3357</v>
      </c>
      <c r="D312" s="2" t="s">
        <v>1566</v>
      </c>
      <c r="E312" s="9" t="s">
        <v>1022</v>
      </c>
      <c r="F312" s="9" t="s">
        <v>170</v>
      </c>
      <c r="G312" s="1">
        <v>1986.0056999999999</v>
      </c>
      <c r="H312" s="2">
        <v>1465</v>
      </c>
      <c r="I312" s="2">
        <v>2</v>
      </c>
      <c r="J312" s="1">
        <v>1986.0252</v>
      </c>
      <c r="K312" s="1">
        <v>994.01009999999997</v>
      </c>
      <c r="L312" s="9" t="s">
        <v>64</v>
      </c>
      <c r="M312" s="2">
        <v>4.3099999999999996</v>
      </c>
      <c r="N312" s="4">
        <v>5329.59</v>
      </c>
      <c r="O312" s="1">
        <v>9.8087534523039555</v>
      </c>
      <c r="P312" s="6">
        <v>66.3</v>
      </c>
      <c r="Q312" s="6">
        <v>29.5</v>
      </c>
      <c r="R312" s="6">
        <v>9.1</v>
      </c>
      <c r="S312" s="6">
        <v>10.5</v>
      </c>
      <c r="T312" s="5">
        <v>1.5E-9</v>
      </c>
      <c r="U312" s="1">
        <v>1.95E-2</v>
      </c>
      <c r="V312" s="1">
        <v>10.1556</v>
      </c>
    </row>
    <row r="313" spans="1:22" x14ac:dyDescent="0.25">
      <c r="A313" s="1">
        <v>0.94789999999999996</v>
      </c>
      <c r="B313" s="9" t="s">
        <v>1567</v>
      </c>
      <c r="C313" s="2">
        <v>3371</v>
      </c>
      <c r="D313" s="2" t="s">
        <v>1000</v>
      </c>
      <c r="E313" s="9" t="s">
        <v>1568</v>
      </c>
      <c r="F313" s="9" t="s">
        <v>1569</v>
      </c>
      <c r="G313" s="1">
        <v>1427.8416999999999</v>
      </c>
      <c r="H313" s="2">
        <v>995</v>
      </c>
      <c r="I313" s="2">
        <v>2</v>
      </c>
      <c r="J313" s="1">
        <v>1427.8304000000001</v>
      </c>
      <c r="K313" s="1">
        <v>714.92809999999997</v>
      </c>
      <c r="L313" s="9" t="s">
        <v>1570</v>
      </c>
      <c r="M313" s="2">
        <v>8.59</v>
      </c>
      <c r="N313" s="4">
        <v>5363.39</v>
      </c>
      <c r="O313" s="1">
        <v>-7.9028926125578218</v>
      </c>
      <c r="P313" s="6">
        <v>43.2</v>
      </c>
      <c r="Q313" s="6">
        <v>30.5</v>
      </c>
      <c r="R313" s="6">
        <v>11.9</v>
      </c>
      <c r="S313" s="6">
        <v>10.8</v>
      </c>
      <c r="T313" s="5">
        <v>6.0999999999999999E-2</v>
      </c>
      <c r="U313" s="1">
        <v>-1.1299999999999999E-2</v>
      </c>
      <c r="V313" s="1">
        <v>3.0497000000000001</v>
      </c>
    </row>
    <row r="314" spans="1:22" x14ac:dyDescent="0.25">
      <c r="A314" s="1">
        <v>0.99880000000000002</v>
      </c>
      <c r="B314" s="9" t="s">
        <v>1571</v>
      </c>
      <c r="C314" s="2">
        <v>3374</v>
      </c>
      <c r="D314" s="2" t="s">
        <v>280</v>
      </c>
      <c r="E314" s="9" t="s">
        <v>1572</v>
      </c>
      <c r="F314" s="9" t="s">
        <v>552</v>
      </c>
      <c r="G314" s="1">
        <v>1524.7756999999999</v>
      </c>
      <c r="H314" s="2">
        <v>1226</v>
      </c>
      <c r="I314" s="2">
        <v>2</v>
      </c>
      <c r="J314" s="1">
        <v>1524.8000999999999</v>
      </c>
      <c r="K314" s="1">
        <v>763.39509999999996</v>
      </c>
      <c r="L314" s="9" t="s">
        <v>456</v>
      </c>
      <c r="M314" s="2">
        <v>6.74</v>
      </c>
      <c r="N314" s="4">
        <v>5367.54</v>
      </c>
      <c r="O314" s="1">
        <v>15.981239596638755</v>
      </c>
      <c r="P314" s="6">
        <v>43.4</v>
      </c>
      <c r="Q314" s="6">
        <v>27.7</v>
      </c>
      <c r="R314" s="6">
        <v>9.3000000000000007</v>
      </c>
      <c r="S314" s="6">
        <v>11.1</v>
      </c>
      <c r="T314" s="5">
        <v>4.1999999999999998E-5</v>
      </c>
      <c r="U314" s="1">
        <v>2.4400000000000002E-2</v>
      </c>
      <c r="V314" s="1">
        <v>6.4775</v>
      </c>
    </row>
    <row r="315" spans="1:22" x14ac:dyDescent="0.25">
      <c r="A315" s="1">
        <v>0.99860000000000004</v>
      </c>
      <c r="B315" s="9" t="s">
        <v>1573</v>
      </c>
      <c r="C315" s="2">
        <v>3383</v>
      </c>
      <c r="D315" s="2" t="s">
        <v>630</v>
      </c>
      <c r="E315" s="9" t="s">
        <v>1574</v>
      </c>
      <c r="F315" s="9" t="s">
        <v>627</v>
      </c>
      <c r="G315" s="1">
        <v>1798.9396999999999</v>
      </c>
      <c r="H315" s="2">
        <v>1227</v>
      </c>
      <c r="I315" s="2">
        <v>2</v>
      </c>
      <c r="J315" s="1">
        <v>1798.9579000000001</v>
      </c>
      <c r="K315" s="1">
        <v>900.47709999999995</v>
      </c>
      <c r="L315" s="9" t="s">
        <v>628</v>
      </c>
      <c r="M315" s="2">
        <v>5.32</v>
      </c>
      <c r="N315" s="4">
        <v>5389.59</v>
      </c>
      <c r="O315" s="1">
        <v>10.105753938662072</v>
      </c>
      <c r="P315" s="6">
        <v>40.799999999999997</v>
      </c>
      <c r="Q315" s="6">
        <v>25.3</v>
      </c>
      <c r="R315" s="6">
        <v>11.1</v>
      </c>
      <c r="S315" s="6">
        <v>13.7</v>
      </c>
      <c r="T315" s="5">
        <v>3.4E-5</v>
      </c>
      <c r="U315" s="1">
        <v>1.8200000000000001E-2</v>
      </c>
      <c r="V315" s="1">
        <v>6.2201000000000004</v>
      </c>
    </row>
    <row r="316" spans="1:22" x14ac:dyDescent="0.25">
      <c r="A316" s="1">
        <v>0.9768</v>
      </c>
      <c r="B316" s="9" t="s">
        <v>1575</v>
      </c>
      <c r="C316" s="2">
        <v>3386</v>
      </c>
      <c r="D316" s="2" t="s">
        <v>520</v>
      </c>
      <c r="E316" s="9" t="s">
        <v>1576</v>
      </c>
      <c r="F316" s="9" t="s">
        <v>290</v>
      </c>
      <c r="G316" s="1">
        <v>1630.9006999999999</v>
      </c>
      <c r="H316" s="2">
        <v>992</v>
      </c>
      <c r="I316" s="2">
        <v>2</v>
      </c>
      <c r="J316" s="1">
        <v>1630.8892000000001</v>
      </c>
      <c r="K316" s="1">
        <v>816.45759999999996</v>
      </c>
      <c r="L316" s="9" t="s">
        <v>291</v>
      </c>
      <c r="M316" s="2">
        <v>6.14</v>
      </c>
      <c r="N316" s="4">
        <v>5400.14</v>
      </c>
      <c r="O316" s="1">
        <v>-7.0426192370552991</v>
      </c>
      <c r="P316" s="6">
        <v>31.2</v>
      </c>
      <c r="Q316" s="6">
        <v>19.600000000000001</v>
      </c>
      <c r="R316" s="6">
        <v>9.4</v>
      </c>
      <c r="S316" s="6">
        <v>9.9</v>
      </c>
      <c r="T316" s="5">
        <v>9.5999999999999992E-3</v>
      </c>
      <c r="U316" s="1">
        <v>-1.15E-2</v>
      </c>
      <c r="V316" s="1">
        <v>4.1116000000000001</v>
      </c>
    </row>
    <row r="317" spans="1:22" x14ac:dyDescent="0.25">
      <c r="A317" s="1">
        <v>0.98150000000000004</v>
      </c>
      <c r="B317" s="9" t="s">
        <v>1577</v>
      </c>
      <c r="C317" s="2">
        <v>3398</v>
      </c>
      <c r="D317" s="2" t="s">
        <v>451</v>
      </c>
      <c r="E317" s="9" t="s">
        <v>1578</v>
      </c>
      <c r="F317" s="9" t="s">
        <v>1579</v>
      </c>
      <c r="G317" s="1">
        <v>1627.7917</v>
      </c>
      <c r="H317" s="2">
        <v>806</v>
      </c>
      <c r="I317" s="2">
        <v>2</v>
      </c>
      <c r="J317" s="1">
        <v>1627.8188</v>
      </c>
      <c r="K317" s="1">
        <v>814.90309999999999</v>
      </c>
      <c r="L317" s="9" t="s">
        <v>1580</v>
      </c>
      <c r="M317" s="2">
        <v>6.09</v>
      </c>
      <c r="N317" s="4">
        <v>5424.39</v>
      </c>
      <c r="O317" s="1">
        <v>16.627743838500553</v>
      </c>
      <c r="P317" s="6">
        <v>34.200000000000003</v>
      </c>
      <c r="Q317" s="6">
        <v>30.7</v>
      </c>
      <c r="R317" s="6">
        <v>9.1</v>
      </c>
      <c r="S317" s="6">
        <v>10.8</v>
      </c>
      <c r="T317" s="5">
        <v>2.5999999999999999E-3</v>
      </c>
      <c r="U317" s="1">
        <v>2.7099999999999999E-2</v>
      </c>
      <c r="V317" s="1">
        <v>3.3828999999999998</v>
      </c>
    </row>
    <row r="318" spans="1:22" x14ac:dyDescent="0.25">
      <c r="A318" s="1">
        <v>0.99639999999999995</v>
      </c>
      <c r="B318" s="9" t="s">
        <v>1581</v>
      </c>
      <c r="C318" s="2">
        <v>3410</v>
      </c>
      <c r="D318" s="2" t="s">
        <v>1271</v>
      </c>
      <c r="E318" s="9" t="s">
        <v>1582</v>
      </c>
      <c r="F318" s="9" t="s">
        <v>897</v>
      </c>
      <c r="G318" s="1">
        <v>1707.8577</v>
      </c>
      <c r="H318" s="2">
        <v>807</v>
      </c>
      <c r="I318" s="2">
        <v>2</v>
      </c>
      <c r="J318" s="1">
        <v>1707.876</v>
      </c>
      <c r="K318" s="1">
        <v>854.93610000000001</v>
      </c>
      <c r="L318" s="9" t="s">
        <v>898</v>
      </c>
      <c r="M318" s="2">
        <v>6.22</v>
      </c>
      <c r="N318" s="4">
        <v>5453.84</v>
      </c>
      <c r="O318" s="1">
        <v>10.702554261072844</v>
      </c>
      <c r="P318" s="6">
        <v>35.700000000000003</v>
      </c>
      <c r="Q318" s="6">
        <v>22.4</v>
      </c>
      <c r="R318" s="6">
        <v>12.4</v>
      </c>
      <c r="S318" s="6">
        <v>8.1999999999999993</v>
      </c>
      <c r="T318" s="5">
        <v>1.4E-3</v>
      </c>
      <c r="U318" s="1">
        <v>1.83E-2</v>
      </c>
      <c r="V318" s="1">
        <v>4.6538000000000004</v>
      </c>
    </row>
    <row r="319" spans="1:22" x14ac:dyDescent="0.25">
      <c r="A319" s="1">
        <v>0.99150000000000005</v>
      </c>
      <c r="B319" s="9" t="s">
        <v>1583</v>
      </c>
      <c r="C319" s="2">
        <v>3422</v>
      </c>
      <c r="D319" s="2" t="s">
        <v>316</v>
      </c>
      <c r="E319" s="9" t="s">
        <v>1584</v>
      </c>
      <c r="F319" s="9" t="s">
        <v>1585</v>
      </c>
      <c r="G319" s="1">
        <v>1715.8597</v>
      </c>
      <c r="H319" s="2">
        <v>808</v>
      </c>
      <c r="I319" s="2">
        <v>2</v>
      </c>
      <c r="J319" s="1">
        <v>1715.8837000000001</v>
      </c>
      <c r="K319" s="1">
        <v>858.93709999999999</v>
      </c>
      <c r="L319" s="9" t="s">
        <v>1586</v>
      </c>
      <c r="M319" s="2">
        <v>5.52</v>
      </c>
      <c r="N319" s="4">
        <v>5480.14</v>
      </c>
      <c r="O319" s="1">
        <v>13.970755250879256</v>
      </c>
      <c r="P319" s="6">
        <v>38.799999999999997</v>
      </c>
      <c r="Q319" s="6">
        <v>26.5</v>
      </c>
      <c r="R319" s="6">
        <v>11.8</v>
      </c>
      <c r="S319" s="6">
        <v>10.7</v>
      </c>
      <c r="T319" s="5">
        <v>6.0000000000000001E-3</v>
      </c>
      <c r="U319" s="1">
        <v>2.4E-2</v>
      </c>
      <c r="V319" s="1">
        <v>3.9432999999999998</v>
      </c>
    </row>
    <row r="320" spans="1:22" x14ac:dyDescent="0.25">
      <c r="A320" s="1">
        <v>0.99809999999999999</v>
      </c>
      <c r="B320" s="9" t="s">
        <v>1587</v>
      </c>
      <c r="C320" s="2">
        <v>3428</v>
      </c>
      <c r="D320" s="2" t="s">
        <v>1588</v>
      </c>
      <c r="E320" s="9" t="s">
        <v>1589</v>
      </c>
      <c r="F320" s="9" t="s">
        <v>1590</v>
      </c>
      <c r="G320" s="1">
        <v>1815.9229</v>
      </c>
      <c r="H320" s="2">
        <v>809</v>
      </c>
      <c r="I320" s="2">
        <v>2</v>
      </c>
      <c r="J320" s="1">
        <v>1815.9292</v>
      </c>
      <c r="K320" s="1">
        <v>908.96870000000001</v>
      </c>
      <c r="L320" s="9" t="s">
        <v>49</v>
      </c>
      <c r="M320" s="2">
        <v>6.22</v>
      </c>
      <c r="N320" s="4">
        <v>5494.84</v>
      </c>
      <c r="O320" s="1">
        <v>3.4654658625759058</v>
      </c>
      <c r="P320" s="6">
        <v>47</v>
      </c>
      <c r="Q320" s="6">
        <v>32</v>
      </c>
      <c r="R320" s="6">
        <v>10.9</v>
      </c>
      <c r="S320" s="6">
        <v>11.6</v>
      </c>
      <c r="T320" s="5">
        <v>1.2999999999999999E-4</v>
      </c>
      <c r="U320" s="1">
        <v>6.3E-3</v>
      </c>
      <c r="V320" s="1">
        <v>5.2557999999999998</v>
      </c>
    </row>
    <row r="321" spans="1:22" x14ac:dyDescent="0.25">
      <c r="A321" s="1">
        <v>0.98580000000000001</v>
      </c>
      <c r="B321" s="9" t="s">
        <v>1591</v>
      </c>
      <c r="C321" s="2">
        <v>3434</v>
      </c>
      <c r="D321" s="2" t="s">
        <v>1000</v>
      </c>
      <c r="E321" s="9" t="s">
        <v>1592</v>
      </c>
      <c r="F321" s="9" t="s">
        <v>1593</v>
      </c>
      <c r="G321" s="1">
        <v>1430.7147</v>
      </c>
      <c r="H321" s="2">
        <v>811</v>
      </c>
      <c r="I321" s="2">
        <v>2</v>
      </c>
      <c r="J321" s="1">
        <v>1430.7403999999999</v>
      </c>
      <c r="K321" s="1">
        <v>716.3646</v>
      </c>
      <c r="L321" s="9" t="s">
        <v>1594</v>
      </c>
      <c r="M321" s="2">
        <v>4.54</v>
      </c>
      <c r="N321" s="4">
        <v>5509.54</v>
      </c>
      <c r="O321" s="1">
        <v>17.937793129364575</v>
      </c>
      <c r="P321" s="6">
        <v>42.8</v>
      </c>
      <c r="Q321" s="6">
        <v>27</v>
      </c>
      <c r="R321" s="6">
        <v>11.5</v>
      </c>
      <c r="S321" s="6">
        <v>11.9</v>
      </c>
      <c r="T321" s="5">
        <v>9.2999999999999992E-3</v>
      </c>
      <c r="U321" s="1">
        <v>2.5700000000000001E-2</v>
      </c>
      <c r="V321" s="1">
        <v>4.2656000000000001</v>
      </c>
    </row>
    <row r="322" spans="1:22" x14ac:dyDescent="0.25">
      <c r="A322" s="1">
        <v>0.9718</v>
      </c>
      <c r="B322" s="9" t="s">
        <v>1595</v>
      </c>
      <c r="C322" s="2">
        <v>3446</v>
      </c>
      <c r="D322" s="2" t="s">
        <v>1271</v>
      </c>
      <c r="E322" s="9" t="s">
        <v>1596</v>
      </c>
      <c r="F322" s="9" t="s">
        <v>552</v>
      </c>
      <c r="G322" s="1">
        <v>1724.8920000000001</v>
      </c>
      <c r="H322" s="2">
        <v>1230</v>
      </c>
      <c r="I322" s="2">
        <v>2</v>
      </c>
      <c r="J322" s="1">
        <v>1724.8933999999999</v>
      </c>
      <c r="K322" s="1">
        <v>863.45330000000001</v>
      </c>
      <c r="L322" s="9" t="s">
        <v>456</v>
      </c>
      <c r="M322" s="2">
        <v>6.74</v>
      </c>
      <c r="N322" s="4">
        <v>5539.09</v>
      </c>
      <c r="O322" s="1">
        <v>0.81069815819801716</v>
      </c>
      <c r="P322" s="6">
        <v>34.799999999999997</v>
      </c>
      <c r="Q322" s="6">
        <v>24.4</v>
      </c>
      <c r="R322" s="6">
        <v>10.8</v>
      </c>
      <c r="S322" s="6">
        <v>10.8</v>
      </c>
      <c r="T322" s="5">
        <v>1.4E-2</v>
      </c>
      <c r="U322" s="1">
        <v>1.4E-3</v>
      </c>
      <c r="V322" s="1">
        <v>3.3980999999999999</v>
      </c>
    </row>
    <row r="323" spans="1:22" x14ac:dyDescent="0.25">
      <c r="A323" s="1">
        <v>0.99490000000000001</v>
      </c>
      <c r="B323" s="9" t="s">
        <v>1597</v>
      </c>
      <c r="C323" s="2">
        <v>3455</v>
      </c>
      <c r="D323" s="2" t="s">
        <v>630</v>
      </c>
      <c r="E323" s="9" t="s">
        <v>1596</v>
      </c>
      <c r="F323" s="9" t="s">
        <v>552</v>
      </c>
      <c r="G323" s="1">
        <v>1724.8916999999999</v>
      </c>
      <c r="H323" s="2">
        <v>1231</v>
      </c>
      <c r="I323" s="2">
        <v>2</v>
      </c>
      <c r="J323" s="1">
        <v>1725.2095999999999</v>
      </c>
      <c r="K323" s="1">
        <v>863.45309999999995</v>
      </c>
      <c r="L323" s="9" t="s">
        <v>456</v>
      </c>
      <c r="M323" s="2">
        <v>6.74</v>
      </c>
      <c r="N323" s="4">
        <v>5561.14</v>
      </c>
      <c r="O323" s="1">
        <v>184.08643156183007</v>
      </c>
      <c r="P323" s="6">
        <v>37.9</v>
      </c>
      <c r="Q323" s="6">
        <v>23.8</v>
      </c>
      <c r="R323" s="6">
        <v>10.6</v>
      </c>
      <c r="S323" s="6">
        <v>10.3</v>
      </c>
      <c r="T323" s="5">
        <v>1.1000000000000001E-3</v>
      </c>
      <c r="U323" s="1">
        <v>0.31790000000000002</v>
      </c>
      <c r="V323" s="1">
        <v>4.7512999999999996</v>
      </c>
    </row>
    <row r="324" spans="1:22" x14ac:dyDescent="0.25">
      <c r="A324" s="1">
        <v>0.97199999999999998</v>
      </c>
      <c r="B324" s="9" t="s">
        <v>1598</v>
      </c>
      <c r="C324" s="2">
        <v>3466</v>
      </c>
      <c r="D324" s="2" t="s">
        <v>568</v>
      </c>
      <c r="E324" s="9" t="s">
        <v>1599</v>
      </c>
      <c r="F324" s="9" t="s">
        <v>1600</v>
      </c>
      <c r="G324" s="1">
        <v>1680.9305999999999</v>
      </c>
      <c r="H324" s="2">
        <v>382</v>
      </c>
      <c r="I324" s="2">
        <v>2</v>
      </c>
      <c r="J324" s="1">
        <v>1680.9217000000001</v>
      </c>
      <c r="K324" s="1">
        <v>841.47260000000006</v>
      </c>
      <c r="L324" s="9" t="s">
        <v>1601</v>
      </c>
      <c r="M324" s="2">
        <v>6.28</v>
      </c>
      <c r="N324" s="4">
        <v>5593.74</v>
      </c>
      <c r="O324" s="1">
        <v>-5.2883480698004899</v>
      </c>
      <c r="P324" s="6">
        <v>32.9</v>
      </c>
      <c r="Q324" s="6">
        <v>25.3</v>
      </c>
      <c r="R324" s="6">
        <v>12.4</v>
      </c>
      <c r="S324" s="6">
        <v>11.4</v>
      </c>
      <c r="T324" s="5">
        <v>1.2E-2</v>
      </c>
      <c r="U324" s="1">
        <v>-8.8999999999999999E-3</v>
      </c>
      <c r="V324" s="1">
        <v>3.2791000000000001</v>
      </c>
    </row>
    <row r="325" spans="1:22" x14ac:dyDescent="0.25">
      <c r="A325" s="1">
        <v>0.99960000000000004</v>
      </c>
      <c r="B325" s="9" t="s">
        <v>1602</v>
      </c>
      <c r="C325" s="2">
        <v>3469</v>
      </c>
      <c r="D325" s="2" t="s">
        <v>1603</v>
      </c>
      <c r="E325" s="9" t="s">
        <v>1604</v>
      </c>
      <c r="F325" s="9" t="s">
        <v>1605</v>
      </c>
      <c r="G325" s="1">
        <v>1774.8597</v>
      </c>
      <c r="H325" s="2">
        <v>1470</v>
      </c>
      <c r="I325" s="2">
        <v>2</v>
      </c>
      <c r="J325" s="1">
        <v>1774.9068</v>
      </c>
      <c r="K325" s="1">
        <v>888.43709999999999</v>
      </c>
      <c r="L325" s="9" t="s">
        <v>1606</v>
      </c>
      <c r="M325" s="2">
        <v>4.8499999999999996</v>
      </c>
      <c r="N325" s="4">
        <v>5601.09</v>
      </c>
      <c r="O325" s="1">
        <v>26.50722262724058</v>
      </c>
      <c r="P325" s="6">
        <v>57.4</v>
      </c>
      <c r="Q325" s="6">
        <v>33.4</v>
      </c>
      <c r="R325" s="6">
        <v>11.9</v>
      </c>
      <c r="S325" s="6">
        <v>11.5</v>
      </c>
      <c r="T325" s="5">
        <v>3.2000000000000001E-7</v>
      </c>
      <c r="U325" s="1">
        <v>4.7100000000000003E-2</v>
      </c>
      <c r="V325" s="1">
        <v>8.3055000000000003</v>
      </c>
    </row>
    <row r="326" spans="1:22" x14ac:dyDescent="0.25">
      <c r="A326" s="1">
        <v>0.99970000000000003</v>
      </c>
      <c r="B326" s="9" t="s">
        <v>1607</v>
      </c>
      <c r="C326" s="2">
        <v>3472</v>
      </c>
      <c r="D326" s="2" t="s">
        <v>1608</v>
      </c>
      <c r="E326" s="9" t="s">
        <v>1609</v>
      </c>
      <c r="F326" s="9" t="s">
        <v>788</v>
      </c>
      <c r="G326" s="1">
        <v>2717.4607000000001</v>
      </c>
      <c r="H326" s="2">
        <v>814</v>
      </c>
      <c r="I326" s="2">
        <v>3</v>
      </c>
      <c r="J326" s="1">
        <v>2717.5749000000001</v>
      </c>
      <c r="K326" s="1">
        <v>906.82749999999999</v>
      </c>
      <c r="L326" s="9" t="s">
        <v>789</v>
      </c>
      <c r="M326" s="2">
        <v>6.25</v>
      </c>
      <c r="N326" s="4">
        <v>5605.24</v>
      </c>
      <c r="O326" s="1">
        <v>41.977847679593602</v>
      </c>
      <c r="P326" s="6">
        <v>43.3</v>
      </c>
      <c r="Q326" s="6">
        <v>23.6</v>
      </c>
      <c r="R326" s="6">
        <v>13</v>
      </c>
      <c r="S326" s="6">
        <v>10.9</v>
      </c>
      <c r="T326" s="5">
        <v>4.3000000000000003E-6</v>
      </c>
      <c r="U326" s="1">
        <v>0.1142</v>
      </c>
      <c r="V326" s="1">
        <v>6.9626000000000001</v>
      </c>
    </row>
    <row r="327" spans="1:22" x14ac:dyDescent="0.25">
      <c r="A327" s="1">
        <v>0.95550000000000002</v>
      </c>
      <c r="B327" s="9" t="s">
        <v>1610</v>
      </c>
      <c r="C327" s="2">
        <v>3481</v>
      </c>
      <c r="D327" s="2" t="s">
        <v>128</v>
      </c>
      <c r="E327" s="9" t="s">
        <v>1611</v>
      </c>
      <c r="F327" s="9" t="s">
        <v>627</v>
      </c>
      <c r="G327" s="1">
        <v>2427.2107000000001</v>
      </c>
      <c r="H327" s="2">
        <v>1471</v>
      </c>
      <c r="I327" s="2">
        <v>2</v>
      </c>
      <c r="J327" s="1">
        <v>2427.2339999999999</v>
      </c>
      <c r="K327" s="1">
        <v>1214.6125999999999</v>
      </c>
      <c r="L327" s="9" t="s">
        <v>628</v>
      </c>
      <c r="M327" s="2">
        <v>4.3600000000000003</v>
      </c>
      <c r="N327" s="4">
        <v>5630.49</v>
      </c>
      <c r="O327" s="1">
        <v>9.5915356056737782</v>
      </c>
      <c r="P327" s="6">
        <v>35.6</v>
      </c>
      <c r="Q327" s="6">
        <v>25.2</v>
      </c>
      <c r="R327" s="6">
        <v>12.2</v>
      </c>
      <c r="S327" s="6">
        <v>9.1999999999999993</v>
      </c>
      <c r="T327" s="5">
        <v>6.6E-3</v>
      </c>
      <c r="U327" s="1">
        <v>2.3300000000000001E-2</v>
      </c>
      <c r="V327" s="1">
        <v>3.173</v>
      </c>
    </row>
    <row r="328" spans="1:22" x14ac:dyDescent="0.25">
      <c r="A328" s="1">
        <v>0.99950000000000006</v>
      </c>
      <c r="B328" s="9" t="s">
        <v>1612</v>
      </c>
      <c r="C328" s="2">
        <v>3485</v>
      </c>
      <c r="D328" s="2" t="s">
        <v>1145</v>
      </c>
      <c r="E328" s="9" t="s">
        <v>1604</v>
      </c>
      <c r="F328" s="9" t="s">
        <v>1613</v>
      </c>
      <c r="G328" s="1">
        <v>1774.8597</v>
      </c>
      <c r="H328" s="2">
        <v>383</v>
      </c>
      <c r="I328" s="2">
        <v>2</v>
      </c>
      <c r="J328" s="1">
        <v>1774.8951</v>
      </c>
      <c r="K328" s="1">
        <v>888.43709999999999</v>
      </c>
      <c r="L328" s="9" t="s">
        <v>1606</v>
      </c>
      <c r="M328" s="2">
        <v>4.8499999999999996</v>
      </c>
      <c r="N328" s="4">
        <v>5640.94</v>
      </c>
      <c r="O328" s="1">
        <v>19.922625923658526</v>
      </c>
      <c r="P328" s="6">
        <v>45.9</v>
      </c>
      <c r="Q328" s="6">
        <v>26.1</v>
      </c>
      <c r="R328" s="6">
        <v>11.5</v>
      </c>
      <c r="S328" s="6">
        <v>11.4</v>
      </c>
      <c r="T328" s="5">
        <v>3.8000000000000001E-7</v>
      </c>
      <c r="U328" s="1">
        <v>3.5400000000000001E-2</v>
      </c>
      <c r="V328" s="1">
        <v>8.2891999999999992</v>
      </c>
    </row>
    <row r="329" spans="1:22" x14ac:dyDescent="0.25">
      <c r="A329" s="1">
        <v>0.99939999999999996</v>
      </c>
      <c r="B329" s="9" t="s">
        <v>1614</v>
      </c>
      <c r="C329" s="2">
        <v>3501</v>
      </c>
      <c r="D329" s="2" t="s">
        <v>1271</v>
      </c>
      <c r="E329" s="9" t="s">
        <v>1615</v>
      </c>
      <c r="F329" s="9" t="s">
        <v>1616</v>
      </c>
      <c r="G329" s="1">
        <v>1799.8877</v>
      </c>
      <c r="H329" s="2">
        <v>384</v>
      </c>
      <c r="I329" s="2">
        <v>2</v>
      </c>
      <c r="J329" s="1">
        <v>1799.903</v>
      </c>
      <c r="K329" s="1">
        <v>900.9511</v>
      </c>
      <c r="L329" s="9" t="s">
        <v>1617</v>
      </c>
      <c r="M329" s="2">
        <v>4.71</v>
      </c>
      <c r="N329" s="4">
        <v>5678.84</v>
      </c>
      <c r="O329" s="1">
        <v>8.4910268714916928</v>
      </c>
      <c r="P329" s="6">
        <v>31.1</v>
      </c>
      <c r="Q329" s="6">
        <v>19.100000000000001</v>
      </c>
      <c r="R329" s="6">
        <v>7.7</v>
      </c>
      <c r="S329" s="6">
        <v>6.1</v>
      </c>
      <c r="T329" s="5">
        <v>1.7E-5</v>
      </c>
      <c r="U329" s="1">
        <v>1.5299999999999999E-2</v>
      </c>
      <c r="V329" s="1">
        <v>6.5309999999999997</v>
      </c>
    </row>
    <row r="330" spans="1:22" x14ac:dyDescent="0.25">
      <c r="A330" s="1">
        <v>0.99950000000000006</v>
      </c>
      <c r="B330" s="9" t="s">
        <v>1618</v>
      </c>
      <c r="C330" s="2">
        <v>3508</v>
      </c>
      <c r="D330" s="2" t="s">
        <v>174</v>
      </c>
      <c r="E330" s="9" t="s">
        <v>1619</v>
      </c>
      <c r="F330" s="9" t="s">
        <v>1620</v>
      </c>
      <c r="G330" s="1">
        <v>1740.9196999999999</v>
      </c>
      <c r="H330" s="2">
        <v>386</v>
      </c>
      <c r="I330" s="2">
        <v>2</v>
      </c>
      <c r="J330" s="1">
        <v>1740.9308000000001</v>
      </c>
      <c r="K330" s="1">
        <v>871.46709999999996</v>
      </c>
      <c r="L330" s="9" t="s">
        <v>1621</v>
      </c>
      <c r="M330" s="2">
        <v>6.22</v>
      </c>
      <c r="N330" s="4">
        <v>5696.64</v>
      </c>
      <c r="O330" s="1">
        <v>6.3685708846610511</v>
      </c>
      <c r="P330" s="6">
        <v>44.4</v>
      </c>
      <c r="Q330" s="6">
        <v>29.5</v>
      </c>
      <c r="R330" s="6">
        <v>12.1</v>
      </c>
      <c r="S330" s="6">
        <v>10.5</v>
      </c>
      <c r="T330" s="5">
        <v>3.1999999999999999E-6</v>
      </c>
      <c r="U330" s="1">
        <v>1.11E-2</v>
      </c>
      <c r="V330" s="1">
        <v>6.8033000000000001</v>
      </c>
    </row>
    <row r="331" spans="1:22" x14ac:dyDescent="0.25">
      <c r="A331" s="1">
        <v>0.995</v>
      </c>
      <c r="B331" s="9" t="s">
        <v>1622</v>
      </c>
      <c r="C331" s="2">
        <v>3513</v>
      </c>
      <c r="D331" s="2" t="s">
        <v>25</v>
      </c>
      <c r="E331" s="9" t="s">
        <v>1623</v>
      </c>
      <c r="F331" s="9" t="s">
        <v>1624</v>
      </c>
      <c r="G331" s="1">
        <v>2029.1758</v>
      </c>
      <c r="H331" s="2">
        <v>1235</v>
      </c>
      <c r="I331" s="2">
        <v>2</v>
      </c>
      <c r="J331" s="1">
        <v>2029.1850999999999</v>
      </c>
      <c r="K331" s="1">
        <v>1015.5952</v>
      </c>
      <c r="L331" s="9" t="s">
        <v>789</v>
      </c>
      <c r="M331" s="2">
        <v>8.75</v>
      </c>
      <c r="N331" s="4">
        <v>5705.04</v>
      </c>
      <c r="O331" s="1">
        <v>4.5785958815086953</v>
      </c>
      <c r="P331" s="6">
        <v>42.7</v>
      </c>
      <c r="Q331" s="6">
        <v>26.8</v>
      </c>
      <c r="R331" s="6">
        <v>11.4</v>
      </c>
      <c r="S331" s="6">
        <v>12.3</v>
      </c>
      <c r="T331" s="5">
        <v>2.9E-4</v>
      </c>
      <c r="U331" s="1">
        <v>9.2999999999999992E-3</v>
      </c>
      <c r="V331" s="1">
        <v>4.7568000000000001</v>
      </c>
    </row>
    <row r="332" spans="1:22" x14ac:dyDescent="0.25">
      <c r="A332" s="1">
        <v>0.99770000000000003</v>
      </c>
      <c r="B332" s="9" t="s">
        <v>1625</v>
      </c>
      <c r="C332" s="2">
        <v>3516</v>
      </c>
      <c r="D332" s="2" t="s">
        <v>1626</v>
      </c>
      <c r="E332" s="9" t="s">
        <v>1623</v>
      </c>
      <c r="F332" s="9" t="s">
        <v>1624</v>
      </c>
      <c r="G332" s="1">
        <v>2029.1757</v>
      </c>
      <c r="H332" s="2">
        <v>1236</v>
      </c>
      <c r="I332" s="2">
        <v>2</v>
      </c>
      <c r="J332" s="1">
        <v>2028.9096999999999</v>
      </c>
      <c r="K332" s="1">
        <v>1015.5951</v>
      </c>
      <c r="L332" s="9" t="s">
        <v>789</v>
      </c>
      <c r="M332" s="2">
        <v>8.75</v>
      </c>
      <c r="N332" s="4">
        <v>5712.39</v>
      </c>
      <c r="O332" s="1">
        <v>-130.95770154857973</v>
      </c>
      <c r="P332" s="6">
        <v>50.4</v>
      </c>
      <c r="Q332" s="6">
        <v>29.2</v>
      </c>
      <c r="R332" s="6">
        <v>11.4</v>
      </c>
      <c r="S332" s="6">
        <v>12.6</v>
      </c>
      <c r="T332" s="5">
        <v>5.3000000000000001E-5</v>
      </c>
      <c r="U332" s="1">
        <v>-0.26600000000000001</v>
      </c>
      <c r="V332" s="1">
        <v>5.5578000000000003</v>
      </c>
    </row>
    <row r="333" spans="1:22" x14ac:dyDescent="0.25">
      <c r="A333" s="1">
        <v>0.99870000000000003</v>
      </c>
      <c r="B333" s="9" t="s">
        <v>1627</v>
      </c>
      <c r="C333" s="2">
        <v>3529</v>
      </c>
      <c r="D333" s="2" t="s">
        <v>630</v>
      </c>
      <c r="E333" s="9" t="s">
        <v>1628</v>
      </c>
      <c r="F333" s="9" t="s">
        <v>1629</v>
      </c>
      <c r="G333" s="1">
        <v>1810.8811000000001</v>
      </c>
      <c r="H333" s="2">
        <v>387</v>
      </c>
      <c r="I333" s="2">
        <v>2</v>
      </c>
      <c r="J333" s="1">
        <v>1810.8797999999999</v>
      </c>
      <c r="K333" s="1">
        <v>906.44780000000003</v>
      </c>
      <c r="L333" s="9" t="s">
        <v>1630</v>
      </c>
      <c r="M333" s="2">
        <v>4.8600000000000003</v>
      </c>
      <c r="N333" s="4">
        <v>5746.14</v>
      </c>
      <c r="O333" s="1">
        <v>-0.7170848668836749</v>
      </c>
      <c r="P333" s="6">
        <v>38.6</v>
      </c>
      <c r="Q333" s="6">
        <v>24.5</v>
      </c>
      <c r="R333" s="6">
        <v>10.8</v>
      </c>
      <c r="S333" s="6">
        <v>11.4</v>
      </c>
      <c r="T333" s="5">
        <v>1.2E-4</v>
      </c>
      <c r="U333" s="1">
        <v>-1.2999999999999999E-3</v>
      </c>
      <c r="V333" s="1">
        <v>5.6387</v>
      </c>
    </row>
    <row r="334" spans="1:22" x14ac:dyDescent="0.25">
      <c r="A334" s="1">
        <v>0.99480000000000002</v>
      </c>
      <c r="B334" s="9" t="s">
        <v>1631</v>
      </c>
      <c r="C334" s="2">
        <v>3533</v>
      </c>
      <c r="D334" s="2" t="s">
        <v>105</v>
      </c>
      <c r="E334" s="9" t="s">
        <v>1632</v>
      </c>
      <c r="F334" s="9" t="s">
        <v>1633</v>
      </c>
      <c r="G334" s="1">
        <v>1591.8387</v>
      </c>
      <c r="H334" s="2">
        <v>1239</v>
      </c>
      <c r="I334" s="2">
        <v>2</v>
      </c>
      <c r="J334" s="1">
        <v>1591.8610000000001</v>
      </c>
      <c r="K334" s="1">
        <v>796.92660000000001</v>
      </c>
      <c r="L334" s="9" t="s">
        <v>1634</v>
      </c>
      <c r="M334" s="2">
        <v>5.51</v>
      </c>
      <c r="N334" s="4">
        <v>5751.44</v>
      </c>
      <c r="O334" s="1">
        <v>13.991250888099355</v>
      </c>
      <c r="P334" s="6">
        <v>45.4</v>
      </c>
      <c r="Q334" s="6">
        <v>28.2</v>
      </c>
      <c r="R334" s="6">
        <v>10.199999999999999</v>
      </c>
      <c r="S334" s="6">
        <v>11.5</v>
      </c>
      <c r="T334" s="5">
        <v>1.8E-3</v>
      </c>
      <c r="U334" s="1">
        <v>2.23E-2</v>
      </c>
      <c r="V334" s="1">
        <v>4.7225999999999999</v>
      </c>
    </row>
    <row r="335" spans="1:22" x14ac:dyDescent="0.25">
      <c r="A335" s="1">
        <v>0.99339999999999995</v>
      </c>
      <c r="B335" s="9" t="s">
        <v>1635</v>
      </c>
      <c r="C335" s="2">
        <v>3543</v>
      </c>
      <c r="D335" s="2" t="s">
        <v>178</v>
      </c>
      <c r="E335" s="9" t="s">
        <v>626</v>
      </c>
      <c r="F335" s="9" t="s">
        <v>627</v>
      </c>
      <c r="G335" s="1">
        <v>1529.7547</v>
      </c>
      <c r="H335" s="2">
        <v>1240</v>
      </c>
      <c r="I335" s="2">
        <v>2</v>
      </c>
      <c r="J335" s="1">
        <v>1529.7846999999999</v>
      </c>
      <c r="K335" s="1">
        <v>765.88459999999998</v>
      </c>
      <c r="L335" s="9" t="s">
        <v>628</v>
      </c>
      <c r="M335" s="2">
        <v>4.3499999999999996</v>
      </c>
      <c r="N335" s="4">
        <v>5773.49</v>
      </c>
      <c r="O335" s="1">
        <v>19.585195994279033</v>
      </c>
      <c r="P335" s="6">
        <v>41.1</v>
      </c>
      <c r="Q335" s="6">
        <v>26.7</v>
      </c>
      <c r="R335" s="6">
        <v>12.1</v>
      </c>
      <c r="S335" s="6">
        <v>12.2</v>
      </c>
      <c r="T335" s="5">
        <v>3.0999999999999999E-3</v>
      </c>
      <c r="U335" s="1">
        <v>0.03</v>
      </c>
      <c r="V335" s="1">
        <v>4.5180999999999996</v>
      </c>
    </row>
    <row r="336" spans="1:22" x14ac:dyDescent="0.25">
      <c r="A336" s="1">
        <v>0.99650000000000005</v>
      </c>
      <c r="B336" s="9" t="s">
        <v>1636</v>
      </c>
      <c r="C336" s="2">
        <v>3554</v>
      </c>
      <c r="D336" s="2" t="s">
        <v>423</v>
      </c>
      <c r="E336" s="9" t="s">
        <v>1637</v>
      </c>
      <c r="F336" s="9" t="s">
        <v>1638</v>
      </c>
      <c r="G336" s="1">
        <v>1545.8117</v>
      </c>
      <c r="H336" s="2">
        <v>822</v>
      </c>
      <c r="I336" s="2">
        <v>2</v>
      </c>
      <c r="J336" s="1">
        <v>1545.8465000000001</v>
      </c>
      <c r="K336" s="1">
        <v>773.91309999999999</v>
      </c>
      <c r="L336" s="9" t="s">
        <v>1639</v>
      </c>
      <c r="M336" s="2">
        <v>4.8600000000000003</v>
      </c>
      <c r="N336" s="4">
        <v>5802.89</v>
      </c>
      <c r="O336" s="1">
        <v>22.483144425388328</v>
      </c>
      <c r="P336" s="6">
        <v>36</v>
      </c>
      <c r="Q336" s="6">
        <v>25</v>
      </c>
      <c r="R336" s="6">
        <v>10</v>
      </c>
      <c r="S336" s="6">
        <v>12.8</v>
      </c>
      <c r="T336" s="5">
        <v>1.4E-3</v>
      </c>
      <c r="U336" s="1">
        <v>3.4799999999999998E-2</v>
      </c>
      <c r="V336" s="1">
        <v>4.6719999999999997</v>
      </c>
    </row>
    <row r="337" spans="1:22" x14ac:dyDescent="0.25">
      <c r="A337" s="1">
        <v>0.99829999999999997</v>
      </c>
      <c r="B337" s="9" t="s">
        <v>1640</v>
      </c>
      <c r="C337" s="2">
        <v>3557</v>
      </c>
      <c r="D337" s="2" t="s">
        <v>423</v>
      </c>
      <c r="E337" s="9" t="s">
        <v>618</v>
      </c>
      <c r="F337" s="9" t="s">
        <v>619</v>
      </c>
      <c r="G337" s="1">
        <v>1641.8336999999999</v>
      </c>
      <c r="H337" s="2">
        <v>388</v>
      </c>
      <c r="I337" s="2">
        <v>2</v>
      </c>
      <c r="J337" s="1">
        <v>1641.8631</v>
      </c>
      <c r="K337" s="1">
        <v>821.92409999999995</v>
      </c>
      <c r="L337" s="9" t="s">
        <v>571</v>
      </c>
      <c r="M337" s="2">
        <v>6.76</v>
      </c>
      <c r="N337" s="4">
        <v>5813.44</v>
      </c>
      <c r="O337" s="1">
        <v>17.884863091373035</v>
      </c>
      <c r="P337" s="6">
        <v>35.299999999999997</v>
      </c>
      <c r="Q337" s="6">
        <v>22.9</v>
      </c>
      <c r="R337" s="6">
        <v>7.5</v>
      </c>
      <c r="S337" s="6">
        <v>9.5</v>
      </c>
      <c r="T337" s="5">
        <v>4.6999999999999999E-4</v>
      </c>
      <c r="U337" s="1">
        <v>2.9399999999999999E-2</v>
      </c>
      <c r="V337" s="1">
        <v>5.3593000000000002</v>
      </c>
    </row>
    <row r="338" spans="1:22" x14ac:dyDescent="0.25">
      <c r="A338" s="1">
        <v>0.99939999999999996</v>
      </c>
      <c r="B338" s="9" t="s">
        <v>1641</v>
      </c>
      <c r="C338" s="2">
        <v>3566</v>
      </c>
      <c r="D338" s="2" t="s">
        <v>1642</v>
      </c>
      <c r="E338" s="9" t="s">
        <v>1643</v>
      </c>
      <c r="F338" s="9" t="s">
        <v>844</v>
      </c>
      <c r="G338" s="1">
        <v>2051.0796999999998</v>
      </c>
      <c r="H338" s="2">
        <v>824</v>
      </c>
      <c r="I338" s="2">
        <v>2</v>
      </c>
      <c r="J338" s="1">
        <v>2051.1037000000001</v>
      </c>
      <c r="K338" s="1">
        <v>1026.5471</v>
      </c>
      <c r="L338" s="9" t="s">
        <v>745</v>
      </c>
      <c r="M338" s="2">
        <v>8.59</v>
      </c>
      <c r="N338" s="4">
        <v>5832.29</v>
      </c>
      <c r="O338" s="1">
        <v>11.689673079783676</v>
      </c>
      <c r="P338" s="6">
        <v>50.6</v>
      </c>
      <c r="Q338" s="6">
        <v>26</v>
      </c>
      <c r="R338" s="6">
        <v>12.4</v>
      </c>
      <c r="S338" s="6">
        <v>10.7</v>
      </c>
      <c r="T338" s="5">
        <v>5.3999999999999998E-5</v>
      </c>
      <c r="U338" s="1">
        <v>2.4E-2</v>
      </c>
      <c r="V338" s="1">
        <v>5.9393000000000002</v>
      </c>
    </row>
    <row r="339" spans="1:22" x14ac:dyDescent="0.25">
      <c r="A339" s="1">
        <v>0.99990000000000001</v>
      </c>
      <c r="B339" s="9" t="s">
        <v>1644</v>
      </c>
      <c r="C339" s="2">
        <v>3587</v>
      </c>
      <c r="D339" s="2" t="s">
        <v>278</v>
      </c>
      <c r="E339" s="9" t="s">
        <v>1645</v>
      </c>
      <c r="F339" s="9" t="s">
        <v>1646</v>
      </c>
      <c r="G339" s="1">
        <v>1753.9357</v>
      </c>
      <c r="H339" s="2">
        <v>390</v>
      </c>
      <c r="I339" s="2">
        <v>2</v>
      </c>
      <c r="J339" s="1">
        <v>1753.9612</v>
      </c>
      <c r="K339" s="1">
        <v>877.9751</v>
      </c>
      <c r="L339" s="9" t="s">
        <v>1647</v>
      </c>
      <c r="M339" s="2">
        <v>8.59</v>
      </c>
      <c r="N339" s="4">
        <v>5884.99</v>
      </c>
      <c r="O339" s="1">
        <v>14.522051935185861</v>
      </c>
      <c r="P339" s="6">
        <v>52.8</v>
      </c>
      <c r="Q339" s="6">
        <v>29.2</v>
      </c>
      <c r="R339" s="6">
        <v>12</v>
      </c>
      <c r="S339" s="6">
        <v>10.199999999999999</v>
      </c>
      <c r="T339" s="5">
        <v>5.0000000000000004E-6</v>
      </c>
      <c r="U339" s="1">
        <v>2.5499999999999998E-2</v>
      </c>
      <c r="V339" s="1">
        <v>7.5308999999999999</v>
      </c>
    </row>
    <row r="340" spans="1:22" x14ac:dyDescent="0.25">
      <c r="A340" s="1">
        <v>0.99560000000000004</v>
      </c>
      <c r="B340" s="9" t="s">
        <v>1648</v>
      </c>
      <c r="C340" s="2">
        <v>3588</v>
      </c>
      <c r="D340" s="2" t="s">
        <v>285</v>
      </c>
      <c r="E340" s="9" t="s">
        <v>1649</v>
      </c>
      <c r="F340" s="9" t="s">
        <v>222</v>
      </c>
      <c r="G340" s="1">
        <v>1457.7366999999999</v>
      </c>
      <c r="H340" s="2">
        <v>1243</v>
      </c>
      <c r="I340" s="2">
        <v>2</v>
      </c>
      <c r="J340" s="1">
        <v>1457.5157999999999</v>
      </c>
      <c r="K340" s="1">
        <v>729.87559999999996</v>
      </c>
      <c r="L340" s="9" t="s">
        <v>223</v>
      </c>
      <c r="M340" s="2">
        <v>6</v>
      </c>
      <c r="N340" s="4">
        <v>5881.79</v>
      </c>
      <c r="O340" s="1">
        <v>-151.32715766906031</v>
      </c>
      <c r="P340" s="6">
        <v>47</v>
      </c>
      <c r="Q340" s="6">
        <v>32.6</v>
      </c>
      <c r="R340" s="6">
        <v>11.9</v>
      </c>
      <c r="S340" s="6">
        <v>13</v>
      </c>
      <c r="T340" s="5">
        <v>1.2999999999999999E-3</v>
      </c>
      <c r="U340" s="1">
        <v>-0.22090000000000001</v>
      </c>
      <c r="V340" s="1">
        <v>4.8845000000000001</v>
      </c>
    </row>
    <row r="341" spans="1:22" x14ac:dyDescent="0.25">
      <c r="A341" s="1">
        <v>0.99919999999999998</v>
      </c>
      <c r="B341" s="9" t="s">
        <v>1650</v>
      </c>
      <c r="C341" s="2">
        <v>3591</v>
      </c>
      <c r="D341" s="2" t="s">
        <v>1651</v>
      </c>
      <c r="E341" s="9" t="s">
        <v>1643</v>
      </c>
      <c r="F341" s="9" t="s">
        <v>844</v>
      </c>
      <c r="G341" s="1">
        <v>2051.0796999999998</v>
      </c>
      <c r="H341" s="2">
        <v>826</v>
      </c>
      <c r="I341" s="2">
        <v>2</v>
      </c>
      <c r="J341" s="1">
        <v>2051.0954999999999</v>
      </c>
      <c r="K341" s="1">
        <v>1026.5471</v>
      </c>
      <c r="L341" s="9" t="s">
        <v>745</v>
      </c>
      <c r="M341" s="2">
        <v>8.59</v>
      </c>
      <c r="N341" s="4">
        <v>5890.29</v>
      </c>
      <c r="O341" s="1">
        <v>7.6957014441909211</v>
      </c>
      <c r="P341" s="6">
        <v>45.7</v>
      </c>
      <c r="Q341" s="6">
        <v>24.8</v>
      </c>
      <c r="R341" s="6">
        <v>12.3</v>
      </c>
      <c r="S341" s="6">
        <v>8.9</v>
      </c>
      <c r="T341" s="5">
        <v>7.7000000000000001E-5</v>
      </c>
      <c r="U341" s="1">
        <v>1.5800000000000002E-2</v>
      </c>
      <c r="V341" s="1">
        <v>5.6966999999999999</v>
      </c>
    </row>
    <row r="342" spans="1:22" x14ac:dyDescent="0.25">
      <c r="A342" s="1">
        <v>0.97260000000000002</v>
      </c>
      <c r="B342" s="9" t="s">
        <v>1652</v>
      </c>
      <c r="C342" s="2">
        <v>3593</v>
      </c>
      <c r="D342" s="2" t="s">
        <v>1653</v>
      </c>
      <c r="E342" s="9" t="s">
        <v>1654</v>
      </c>
      <c r="F342" s="9" t="s">
        <v>222</v>
      </c>
      <c r="G342" s="1">
        <v>1599.8117</v>
      </c>
      <c r="H342" s="2">
        <v>1560</v>
      </c>
      <c r="I342" s="2">
        <v>2</v>
      </c>
      <c r="J342" s="1">
        <v>1599.825</v>
      </c>
      <c r="K342" s="1">
        <v>800.91309999999999</v>
      </c>
      <c r="L342" s="9" t="s">
        <v>223</v>
      </c>
      <c r="M342" s="2">
        <v>6</v>
      </c>
      <c r="N342" s="4">
        <v>5894.54</v>
      </c>
      <c r="O342" s="1">
        <v>8.3030231369670435</v>
      </c>
      <c r="P342" s="6">
        <v>29.9</v>
      </c>
      <c r="Q342" s="6">
        <v>22.1</v>
      </c>
      <c r="R342" s="6">
        <v>13.4</v>
      </c>
      <c r="S342" s="6">
        <v>11.4</v>
      </c>
      <c r="T342" s="5">
        <v>8.0999999999999996E-3</v>
      </c>
      <c r="U342" s="1">
        <v>1.3299999999999999E-2</v>
      </c>
      <c r="V342" s="1">
        <v>3.5749</v>
      </c>
    </row>
    <row r="343" spans="1:22" x14ac:dyDescent="0.25">
      <c r="A343" s="1">
        <v>0.99629999999999996</v>
      </c>
      <c r="B343" s="9" t="s">
        <v>1655</v>
      </c>
      <c r="C343" s="2">
        <v>3600</v>
      </c>
      <c r="D343" s="2" t="s">
        <v>1656</v>
      </c>
      <c r="E343" s="9" t="s">
        <v>1657</v>
      </c>
      <c r="F343" s="9" t="s">
        <v>1658</v>
      </c>
      <c r="G343" s="1">
        <v>2246.0246999999999</v>
      </c>
      <c r="H343" s="2">
        <v>391</v>
      </c>
      <c r="I343" s="2">
        <v>2</v>
      </c>
      <c r="J343" s="1">
        <v>2246.0520999999999</v>
      </c>
      <c r="K343" s="1">
        <v>1124.0196000000001</v>
      </c>
      <c r="L343" s="9" t="s">
        <v>1659</v>
      </c>
      <c r="M343" s="2">
        <v>5.33</v>
      </c>
      <c r="N343" s="4">
        <v>5913.59</v>
      </c>
      <c r="O343" s="1">
        <v>12.188399561715828</v>
      </c>
      <c r="P343" s="6">
        <v>34</v>
      </c>
      <c r="Q343" s="6">
        <v>21.1</v>
      </c>
      <c r="R343" s="6">
        <v>10.5</v>
      </c>
      <c r="S343" s="6">
        <v>9.1</v>
      </c>
      <c r="T343" s="5">
        <v>2.7999999999999998E-4</v>
      </c>
      <c r="U343" s="1">
        <v>2.7400000000000001E-2</v>
      </c>
      <c r="V343" s="1">
        <v>4.6841999999999997</v>
      </c>
    </row>
    <row r="344" spans="1:22" x14ac:dyDescent="0.25">
      <c r="A344" s="1">
        <v>0.96879999999999999</v>
      </c>
      <c r="B344" s="9" t="s">
        <v>1660</v>
      </c>
      <c r="C344" s="2">
        <v>3602</v>
      </c>
      <c r="D344" s="2" t="s">
        <v>1661</v>
      </c>
      <c r="E344" s="9" t="s">
        <v>1662</v>
      </c>
      <c r="F344" s="9" t="s">
        <v>97</v>
      </c>
      <c r="G344" s="1">
        <v>2086.9567000000002</v>
      </c>
      <c r="H344" s="2">
        <v>1245</v>
      </c>
      <c r="I344" s="2">
        <v>2</v>
      </c>
      <c r="J344" s="1">
        <v>2086.6453000000001</v>
      </c>
      <c r="K344" s="1">
        <v>1044.4856</v>
      </c>
      <c r="L344" s="9" t="s">
        <v>98</v>
      </c>
      <c r="M344" s="2">
        <v>4.8099999999999996</v>
      </c>
      <c r="N344" s="4">
        <v>5914.64</v>
      </c>
      <c r="O344" s="1">
        <v>-149.0685941481625</v>
      </c>
      <c r="P344" s="6">
        <v>33.700000000000003</v>
      </c>
      <c r="Q344" s="6">
        <v>24.4</v>
      </c>
      <c r="R344" s="6">
        <v>13.1</v>
      </c>
      <c r="S344" s="6">
        <v>9.6999999999999993</v>
      </c>
      <c r="T344" s="5">
        <v>6.7000000000000002E-3</v>
      </c>
      <c r="U344" s="1">
        <v>-0.31140000000000001</v>
      </c>
      <c r="V344" s="1">
        <v>3.3285</v>
      </c>
    </row>
    <row r="345" spans="1:22" x14ac:dyDescent="0.25">
      <c r="A345" s="1">
        <v>0.96579999999999999</v>
      </c>
      <c r="B345" s="9" t="s">
        <v>1663</v>
      </c>
      <c r="C345" s="2">
        <v>3606</v>
      </c>
      <c r="D345" s="2" t="s">
        <v>1661</v>
      </c>
      <c r="E345" s="9" t="s">
        <v>1662</v>
      </c>
      <c r="F345" s="9" t="s">
        <v>97</v>
      </c>
      <c r="G345" s="1">
        <v>2086.9567000000002</v>
      </c>
      <c r="H345" s="2">
        <v>827</v>
      </c>
      <c r="I345" s="2">
        <v>2</v>
      </c>
      <c r="J345" s="1">
        <v>2086.9863999999998</v>
      </c>
      <c r="K345" s="1">
        <v>1044.4856</v>
      </c>
      <c r="L345" s="9" t="s">
        <v>98</v>
      </c>
      <c r="M345" s="2">
        <v>4.8099999999999996</v>
      </c>
      <c r="N345" s="4">
        <v>5923.14</v>
      </c>
      <c r="O345" s="1">
        <v>14.217524875402782</v>
      </c>
      <c r="P345" s="6">
        <v>33</v>
      </c>
      <c r="Q345" s="6">
        <v>21.3</v>
      </c>
      <c r="R345" s="6">
        <v>12.4</v>
      </c>
      <c r="S345" s="6">
        <v>9.5</v>
      </c>
      <c r="T345" s="5">
        <v>7.3000000000000001E-3</v>
      </c>
      <c r="U345" s="1">
        <v>2.9700000000000001E-2</v>
      </c>
      <c r="V345" s="1">
        <v>3.5924999999999998</v>
      </c>
    </row>
    <row r="346" spans="1:22" x14ac:dyDescent="0.25">
      <c r="A346" s="1">
        <v>0.99960000000000004</v>
      </c>
      <c r="B346" s="9" t="s">
        <v>1664</v>
      </c>
      <c r="C346" s="2">
        <v>3630</v>
      </c>
      <c r="D346" s="2" t="s">
        <v>1259</v>
      </c>
      <c r="E346" s="9" t="s">
        <v>1665</v>
      </c>
      <c r="F346" s="9" t="s">
        <v>282</v>
      </c>
      <c r="G346" s="1">
        <v>1843.8957</v>
      </c>
      <c r="H346" s="2">
        <v>1246</v>
      </c>
      <c r="I346" s="2">
        <v>2</v>
      </c>
      <c r="J346" s="1">
        <v>1843.9122</v>
      </c>
      <c r="K346" s="1">
        <v>922.95510000000002</v>
      </c>
      <c r="L346" s="9" t="s">
        <v>283</v>
      </c>
      <c r="M346" s="2">
        <v>6.52</v>
      </c>
      <c r="N346" s="4">
        <v>5958.54</v>
      </c>
      <c r="O346" s="1">
        <v>8.938679682251065</v>
      </c>
      <c r="P346" s="6">
        <v>36.700000000000003</v>
      </c>
      <c r="Q346" s="6">
        <v>24.1</v>
      </c>
      <c r="R346" s="6">
        <v>10.8</v>
      </c>
      <c r="S346" s="6">
        <v>13.1</v>
      </c>
      <c r="T346" s="5">
        <v>4.2000000000000002E-4</v>
      </c>
      <c r="U346" s="1">
        <v>1.6500000000000001E-2</v>
      </c>
      <c r="V346" s="1">
        <v>4.8834</v>
      </c>
    </row>
    <row r="347" spans="1:22" x14ac:dyDescent="0.25">
      <c r="A347" s="1">
        <v>0.99199999999999999</v>
      </c>
      <c r="B347" s="9" t="s">
        <v>1666</v>
      </c>
      <c r="C347" s="2">
        <v>3636</v>
      </c>
      <c r="D347" s="2" t="s">
        <v>1667</v>
      </c>
      <c r="E347" s="9" t="s">
        <v>1668</v>
      </c>
      <c r="F347" s="9" t="s">
        <v>1669</v>
      </c>
      <c r="G347" s="1">
        <v>2730.3996999999999</v>
      </c>
      <c r="H347" s="2">
        <v>1503</v>
      </c>
      <c r="I347" s="2">
        <v>3</v>
      </c>
      <c r="J347" s="1">
        <v>2731.0596</v>
      </c>
      <c r="K347" s="1">
        <v>911.14049999999997</v>
      </c>
      <c r="L347" s="9" t="s">
        <v>1670</v>
      </c>
      <c r="M347" s="2">
        <v>4.07</v>
      </c>
      <c r="N347" s="4">
        <v>5974.49</v>
      </c>
      <c r="O347" s="1">
        <v>-125.65021530707942</v>
      </c>
      <c r="P347" s="6">
        <v>44.5</v>
      </c>
      <c r="Q347" s="6">
        <v>26.8</v>
      </c>
      <c r="R347" s="6">
        <v>11.9</v>
      </c>
      <c r="S347" s="6">
        <v>11</v>
      </c>
      <c r="T347" s="5">
        <v>2.0000000000000002E-5</v>
      </c>
      <c r="U347" s="1">
        <v>0.65990000000000004</v>
      </c>
      <c r="V347" s="1">
        <v>6.0039999999999996</v>
      </c>
    </row>
    <row r="348" spans="1:22" x14ac:dyDescent="0.25">
      <c r="A348" s="1">
        <v>0.99850000000000005</v>
      </c>
      <c r="B348" s="9" t="s">
        <v>1671</v>
      </c>
      <c r="C348" s="2">
        <v>3638</v>
      </c>
      <c r="D348" s="2" t="s">
        <v>1321</v>
      </c>
      <c r="E348" s="9" t="s">
        <v>646</v>
      </c>
      <c r="F348" s="9" t="s">
        <v>647</v>
      </c>
      <c r="G348" s="1">
        <v>1601.8516999999999</v>
      </c>
      <c r="H348" s="2">
        <v>828</v>
      </c>
      <c r="I348" s="2">
        <v>2</v>
      </c>
      <c r="J348" s="1">
        <v>1601.8722</v>
      </c>
      <c r="K348" s="1">
        <v>801.93309999999997</v>
      </c>
      <c r="L348" s="9" t="s">
        <v>118</v>
      </c>
      <c r="M348" s="2">
        <v>6.21</v>
      </c>
      <c r="N348" s="4">
        <v>5975.54</v>
      </c>
      <c r="O348" s="1">
        <v>12.78161482547609</v>
      </c>
      <c r="P348" s="6">
        <v>49.7</v>
      </c>
      <c r="Q348" s="6">
        <v>29.6</v>
      </c>
      <c r="R348" s="6">
        <v>11.7</v>
      </c>
      <c r="S348" s="6">
        <v>8.9</v>
      </c>
      <c r="T348" s="5">
        <v>2.3000000000000001E-4</v>
      </c>
      <c r="U348" s="1">
        <v>2.0500000000000001E-2</v>
      </c>
      <c r="V348" s="1">
        <v>5.5316000000000001</v>
      </c>
    </row>
    <row r="349" spans="1:22" x14ac:dyDescent="0.25">
      <c r="A349" s="1">
        <v>0.96360000000000001</v>
      </c>
      <c r="B349" s="9" t="s">
        <v>1672</v>
      </c>
      <c r="C349" s="2">
        <v>3639</v>
      </c>
      <c r="D349" s="2" t="s">
        <v>451</v>
      </c>
      <c r="E349" s="9" t="s">
        <v>1673</v>
      </c>
      <c r="F349" s="9" t="s">
        <v>358</v>
      </c>
      <c r="G349" s="1">
        <v>1567.8387</v>
      </c>
      <c r="H349" s="2">
        <v>1247</v>
      </c>
      <c r="I349" s="2">
        <v>2</v>
      </c>
      <c r="J349" s="1">
        <v>1567.9296999999999</v>
      </c>
      <c r="K349" s="1">
        <v>784.92660000000001</v>
      </c>
      <c r="L349" s="9" t="s">
        <v>359</v>
      </c>
      <c r="M349" s="2">
        <v>6</v>
      </c>
      <c r="N349" s="4">
        <v>5975.54</v>
      </c>
      <c r="O349" s="1">
        <v>57.967203557632011</v>
      </c>
      <c r="P349" s="6">
        <v>37.700000000000003</v>
      </c>
      <c r="Q349" s="6">
        <v>31.3</v>
      </c>
      <c r="R349" s="6">
        <v>13.3</v>
      </c>
      <c r="S349" s="6">
        <v>11.4</v>
      </c>
      <c r="T349" s="5">
        <v>7.4000000000000003E-3</v>
      </c>
      <c r="U349" s="1">
        <v>9.0999999999999998E-2</v>
      </c>
      <c r="V349" s="1">
        <v>3.2239</v>
      </c>
    </row>
    <row r="350" spans="1:22" x14ac:dyDescent="0.25">
      <c r="A350" s="1">
        <v>0.99809999999999999</v>
      </c>
      <c r="B350" s="9" t="s">
        <v>1674</v>
      </c>
      <c r="C350" s="2">
        <v>3641</v>
      </c>
      <c r="D350" s="2" t="s">
        <v>522</v>
      </c>
      <c r="E350" s="9" t="s">
        <v>1665</v>
      </c>
      <c r="F350" s="9" t="s">
        <v>282</v>
      </c>
      <c r="G350" s="1">
        <v>1843.8957</v>
      </c>
      <c r="H350" s="2">
        <v>1248</v>
      </c>
      <c r="I350" s="2">
        <v>2</v>
      </c>
      <c r="J350" s="1">
        <v>1844.5972999999999</v>
      </c>
      <c r="K350" s="1">
        <v>922.95510000000002</v>
      </c>
      <c r="L350" s="9" t="s">
        <v>283</v>
      </c>
      <c r="M350" s="2">
        <v>6.52</v>
      </c>
      <c r="N350" s="4">
        <v>5982.89</v>
      </c>
      <c r="O350" s="1">
        <v>-163.47219924349517</v>
      </c>
      <c r="P350" s="6">
        <v>39.799999999999997</v>
      </c>
      <c r="Q350" s="6">
        <v>24.2</v>
      </c>
      <c r="R350" s="6">
        <v>10.7</v>
      </c>
      <c r="S350" s="6">
        <v>13.2</v>
      </c>
      <c r="T350" s="5">
        <v>5.1E-5</v>
      </c>
      <c r="U350" s="1">
        <v>0.7016</v>
      </c>
      <c r="V350" s="1">
        <v>5.9212999999999996</v>
      </c>
    </row>
    <row r="351" spans="1:22" x14ac:dyDescent="0.25">
      <c r="A351" s="1">
        <v>0.99529999999999996</v>
      </c>
      <c r="B351" s="9" t="s">
        <v>1675</v>
      </c>
      <c r="C351" s="2">
        <v>3642</v>
      </c>
      <c r="D351" s="2" t="s">
        <v>1676</v>
      </c>
      <c r="E351" s="9" t="s">
        <v>1668</v>
      </c>
      <c r="F351" s="9" t="s">
        <v>1669</v>
      </c>
      <c r="G351" s="1">
        <v>2730.3996999999999</v>
      </c>
      <c r="H351" s="2">
        <v>1249</v>
      </c>
      <c r="I351" s="2">
        <v>3</v>
      </c>
      <c r="J351" s="1">
        <v>2730.4994000000002</v>
      </c>
      <c r="K351" s="1">
        <v>911.14049999999997</v>
      </c>
      <c r="L351" s="9" t="s">
        <v>1670</v>
      </c>
      <c r="M351" s="2">
        <v>4.07</v>
      </c>
      <c r="N351" s="4">
        <v>5982.89</v>
      </c>
      <c r="O351" s="1">
        <v>36.474433233220708</v>
      </c>
      <c r="P351" s="6">
        <v>39.799999999999997</v>
      </c>
      <c r="Q351" s="6">
        <v>26.4</v>
      </c>
      <c r="R351" s="6">
        <v>12.5</v>
      </c>
      <c r="S351" s="6">
        <v>10.8</v>
      </c>
      <c r="T351" s="5">
        <v>1.1999999999999999E-3</v>
      </c>
      <c r="U351" s="1">
        <v>9.9699999999999997E-2</v>
      </c>
      <c r="V351" s="1">
        <v>4.1585000000000001</v>
      </c>
    </row>
    <row r="352" spans="1:22" x14ac:dyDescent="0.25">
      <c r="A352" s="1">
        <v>0.99750000000000005</v>
      </c>
      <c r="B352" s="9" t="s">
        <v>1677</v>
      </c>
      <c r="C352" s="2">
        <v>3644</v>
      </c>
      <c r="D352" s="2" t="s">
        <v>1678</v>
      </c>
      <c r="E352" s="9" t="s">
        <v>1679</v>
      </c>
      <c r="F352" s="9" t="s">
        <v>1593</v>
      </c>
      <c r="G352" s="1">
        <v>1522.8177000000001</v>
      </c>
      <c r="H352" s="2">
        <v>1250</v>
      </c>
      <c r="I352" s="2">
        <v>2</v>
      </c>
      <c r="J352" s="1">
        <v>1522.8273999999999</v>
      </c>
      <c r="K352" s="1">
        <v>762.41610000000003</v>
      </c>
      <c r="L352" s="9" t="s">
        <v>1594</v>
      </c>
      <c r="M352" s="2">
        <v>6.75</v>
      </c>
      <c r="N352" s="4">
        <v>5990.24</v>
      </c>
      <c r="O352" s="1">
        <v>6.3613556954004515</v>
      </c>
      <c r="P352" s="6">
        <v>59.5</v>
      </c>
      <c r="Q352" s="6">
        <v>40</v>
      </c>
      <c r="R352" s="6">
        <v>9.5</v>
      </c>
      <c r="S352" s="6">
        <v>13.1</v>
      </c>
      <c r="T352" s="5">
        <v>2.9E-4</v>
      </c>
      <c r="U352" s="1">
        <v>9.7000000000000003E-3</v>
      </c>
      <c r="V352" s="1">
        <v>5.4690000000000003</v>
      </c>
    </row>
    <row r="353" spans="1:22" x14ac:dyDescent="0.25">
      <c r="A353" s="1">
        <v>0.99180000000000001</v>
      </c>
      <c r="B353" s="9" t="s">
        <v>1680</v>
      </c>
      <c r="C353" s="2">
        <v>3645</v>
      </c>
      <c r="D353" s="2" t="s">
        <v>1681</v>
      </c>
      <c r="E353" s="9" t="s">
        <v>1662</v>
      </c>
      <c r="F353" s="9" t="s">
        <v>97</v>
      </c>
      <c r="G353" s="1">
        <v>2086.9567000000002</v>
      </c>
      <c r="H353" s="2">
        <v>531</v>
      </c>
      <c r="I353" s="2">
        <v>2</v>
      </c>
      <c r="J353" s="1">
        <v>2086.9940000000001</v>
      </c>
      <c r="K353" s="1">
        <v>1044.4856</v>
      </c>
      <c r="L353" s="9" t="s">
        <v>98</v>
      </c>
      <c r="M353" s="2">
        <v>4.8099999999999996</v>
      </c>
      <c r="N353" s="4">
        <v>5990.24</v>
      </c>
      <c r="O353" s="1">
        <v>17.855679388973865</v>
      </c>
      <c r="P353" s="6">
        <v>30.4</v>
      </c>
      <c r="Q353" s="6">
        <v>18.5</v>
      </c>
      <c r="R353" s="6">
        <v>12.1</v>
      </c>
      <c r="S353" s="6">
        <v>9.6</v>
      </c>
      <c r="T353" s="5">
        <v>5.1000000000000004E-4</v>
      </c>
      <c r="U353" s="1">
        <v>3.73E-2</v>
      </c>
      <c r="V353" s="1">
        <v>4.7352999999999996</v>
      </c>
    </row>
    <row r="354" spans="1:22" x14ac:dyDescent="0.25">
      <c r="A354" s="1">
        <v>0.997</v>
      </c>
      <c r="B354" s="9" t="s">
        <v>1682</v>
      </c>
      <c r="C354" s="2">
        <v>3652</v>
      </c>
      <c r="D354" s="2" t="s">
        <v>1145</v>
      </c>
      <c r="E354" s="9" t="s">
        <v>646</v>
      </c>
      <c r="F354" s="9" t="s">
        <v>647</v>
      </c>
      <c r="G354" s="1">
        <v>1601.8516999999999</v>
      </c>
      <c r="H354" s="2">
        <v>829</v>
      </c>
      <c r="I354" s="2">
        <v>2</v>
      </c>
      <c r="J354" s="1">
        <v>1601.8744999999999</v>
      </c>
      <c r="K354" s="1">
        <v>801.93309999999997</v>
      </c>
      <c r="L354" s="9" t="s">
        <v>118</v>
      </c>
      <c r="M354" s="2">
        <v>6.21</v>
      </c>
      <c r="N354" s="4">
        <v>6009.14</v>
      </c>
      <c r="O354" s="1">
        <v>14.215649659553895</v>
      </c>
      <c r="P354" s="6">
        <v>45.1</v>
      </c>
      <c r="Q354" s="6">
        <v>27.4</v>
      </c>
      <c r="R354" s="6">
        <v>11.6</v>
      </c>
      <c r="S354" s="6">
        <v>8.6</v>
      </c>
      <c r="T354" s="5">
        <v>1.1999999999999999E-3</v>
      </c>
      <c r="U354" s="1">
        <v>2.2800000000000001E-2</v>
      </c>
      <c r="V354" s="1">
        <v>4.7996999999999996</v>
      </c>
    </row>
    <row r="355" spans="1:22" x14ac:dyDescent="0.25">
      <c r="A355" s="1">
        <v>0.99880000000000002</v>
      </c>
      <c r="B355" s="9" t="s">
        <v>1683</v>
      </c>
      <c r="C355" s="2">
        <v>3653</v>
      </c>
      <c r="D355" s="2" t="s">
        <v>178</v>
      </c>
      <c r="E355" s="9" t="s">
        <v>649</v>
      </c>
      <c r="F355" s="9" t="s">
        <v>650</v>
      </c>
      <c r="G355" s="1">
        <v>1519.7597000000001</v>
      </c>
      <c r="H355" s="2">
        <v>1477</v>
      </c>
      <c r="I355" s="2">
        <v>2</v>
      </c>
      <c r="J355" s="1">
        <v>1519.7896000000001</v>
      </c>
      <c r="K355" s="1">
        <v>760.88710000000003</v>
      </c>
      <c r="L355" s="9" t="s">
        <v>296</v>
      </c>
      <c r="M355" s="2">
        <v>4.32</v>
      </c>
      <c r="N355" s="4">
        <v>6015.44</v>
      </c>
      <c r="O355" s="1">
        <v>19.648118623643374</v>
      </c>
      <c r="P355" s="6">
        <v>42.1</v>
      </c>
      <c r="Q355" s="6">
        <v>26</v>
      </c>
      <c r="R355" s="6">
        <v>12.3</v>
      </c>
      <c r="S355" s="6">
        <v>10.199999999999999</v>
      </c>
      <c r="T355" s="5">
        <v>8.3999999999999995E-5</v>
      </c>
      <c r="U355" s="1">
        <v>2.9899999999999999E-2</v>
      </c>
      <c r="V355" s="1">
        <v>6.2615999999999996</v>
      </c>
    </row>
    <row r="356" spans="1:22" x14ac:dyDescent="0.25">
      <c r="A356" s="1">
        <v>0.99839999999999995</v>
      </c>
      <c r="B356" s="9" t="s">
        <v>1684</v>
      </c>
      <c r="C356" s="2">
        <v>3660</v>
      </c>
      <c r="D356" s="2" t="s">
        <v>423</v>
      </c>
      <c r="E356" s="9" t="s">
        <v>649</v>
      </c>
      <c r="F356" s="9" t="s">
        <v>650</v>
      </c>
      <c r="G356" s="1">
        <v>1519.7597000000001</v>
      </c>
      <c r="H356" s="2">
        <v>1478</v>
      </c>
      <c r="I356" s="2">
        <v>2</v>
      </c>
      <c r="J356" s="1">
        <v>1520.0436</v>
      </c>
      <c r="K356" s="1">
        <v>760.88710000000003</v>
      </c>
      <c r="L356" s="9" t="s">
        <v>296</v>
      </c>
      <c r="M356" s="2">
        <v>4.32</v>
      </c>
      <c r="N356" s="4">
        <v>6031.24</v>
      </c>
      <c r="O356" s="1">
        <v>186.55855776763724</v>
      </c>
      <c r="P356" s="6">
        <v>39.799999999999997</v>
      </c>
      <c r="Q356" s="6">
        <v>25.6</v>
      </c>
      <c r="R356" s="6">
        <v>11.8</v>
      </c>
      <c r="S356" s="6">
        <v>10.199999999999999</v>
      </c>
      <c r="T356" s="5">
        <v>1.3999999999999999E-4</v>
      </c>
      <c r="U356" s="1">
        <v>0.28389999999999999</v>
      </c>
      <c r="V356" s="1">
        <v>5.9211</v>
      </c>
    </row>
    <row r="357" spans="1:22" x14ac:dyDescent="0.25">
      <c r="A357" s="1">
        <v>0.99550000000000005</v>
      </c>
      <c r="B357" s="9" t="s">
        <v>1685</v>
      </c>
      <c r="C357" s="2">
        <v>3665</v>
      </c>
      <c r="D357" s="2" t="s">
        <v>423</v>
      </c>
      <c r="E357" s="9" t="s">
        <v>649</v>
      </c>
      <c r="F357" s="9" t="s">
        <v>650</v>
      </c>
      <c r="G357" s="1">
        <v>1519.7597000000001</v>
      </c>
      <c r="H357" s="2">
        <v>1028</v>
      </c>
      <c r="I357" s="2">
        <v>2</v>
      </c>
      <c r="J357" s="1">
        <v>1519.7782999999999</v>
      </c>
      <c r="K357" s="1">
        <v>760.88710000000003</v>
      </c>
      <c r="L357" s="9" t="s">
        <v>296</v>
      </c>
      <c r="M357" s="2">
        <v>4.32</v>
      </c>
      <c r="N357" s="4">
        <v>6038.89</v>
      </c>
      <c r="O357" s="1">
        <v>12.222575464875144</v>
      </c>
      <c r="P357" s="6">
        <v>39.6</v>
      </c>
      <c r="Q357" s="6">
        <v>23.3</v>
      </c>
      <c r="R357" s="6">
        <v>11.7</v>
      </c>
      <c r="S357" s="6">
        <v>9.6999999999999993</v>
      </c>
      <c r="T357" s="5">
        <v>5.1000000000000004E-4</v>
      </c>
      <c r="U357" s="1">
        <v>1.8599999999999998E-2</v>
      </c>
      <c r="V357" s="1">
        <v>5.5907999999999998</v>
      </c>
    </row>
    <row r="358" spans="1:22" x14ac:dyDescent="0.25">
      <c r="A358" s="1">
        <v>0.99760000000000004</v>
      </c>
      <c r="B358" s="9" t="s">
        <v>1686</v>
      </c>
      <c r="C358" s="2">
        <v>3667</v>
      </c>
      <c r="D358" s="2" t="s">
        <v>520</v>
      </c>
      <c r="E358" s="9" t="s">
        <v>649</v>
      </c>
      <c r="F358" s="9" t="s">
        <v>650</v>
      </c>
      <c r="G358" s="1">
        <v>1519.7597000000001</v>
      </c>
      <c r="H358" s="2">
        <v>1010</v>
      </c>
      <c r="I358" s="2">
        <v>2</v>
      </c>
      <c r="J358" s="1">
        <v>1519.7958000000001</v>
      </c>
      <c r="K358" s="1">
        <v>760.88710000000003</v>
      </c>
      <c r="L358" s="9" t="s">
        <v>296</v>
      </c>
      <c r="M358" s="2">
        <v>4.32</v>
      </c>
      <c r="N358" s="4">
        <v>6043.14</v>
      </c>
      <c r="O358" s="1">
        <v>23.722310445268423</v>
      </c>
      <c r="P358" s="6">
        <v>35.799999999999997</v>
      </c>
      <c r="Q358" s="6">
        <v>23.1</v>
      </c>
      <c r="R358" s="6">
        <v>11.9</v>
      </c>
      <c r="S358" s="6">
        <v>9.8000000000000007</v>
      </c>
      <c r="T358" s="5">
        <v>5.0000000000000002E-5</v>
      </c>
      <c r="U358" s="1">
        <v>3.61E-2</v>
      </c>
      <c r="V358" s="1">
        <v>6.3689999999999998</v>
      </c>
    </row>
    <row r="359" spans="1:22" x14ac:dyDescent="0.25">
      <c r="A359" s="1">
        <v>1</v>
      </c>
      <c r="B359" s="9" t="s">
        <v>1687</v>
      </c>
      <c r="C359" s="2">
        <v>3671</v>
      </c>
      <c r="D359" s="2" t="s">
        <v>522</v>
      </c>
      <c r="E359" s="9" t="s">
        <v>1665</v>
      </c>
      <c r="F359" s="9" t="s">
        <v>282</v>
      </c>
      <c r="G359" s="1">
        <v>1843.8957</v>
      </c>
      <c r="H359" s="2">
        <v>1479</v>
      </c>
      <c r="I359" s="2">
        <v>2</v>
      </c>
      <c r="J359" s="1">
        <v>1843.6465000000001</v>
      </c>
      <c r="K359" s="1">
        <v>922.95510000000002</v>
      </c>
      <c r="L359" s="9" t="s">
        <v>283</v>
      </c>
      <c r="M359" s="2">
        <v>6.52</v>
      </c>
      <c r="N359" s="4">
        <v>6051.59</v>
      </c>
      <c r="O359" s="1">
        <v>-135.00115011011911</v>
      </c>
      <c r="P359" s="6">
        <v>40.200000000000003</v>
      </c>
      <c r="Q359" s="6">
        <v>22.1</v>
      </c>
      <c r="R359" s="6">
        <v>10.5</v>
      </c>
      <c r="S359" s="6">
        <v>13.1</v>
      </c>
      <c r="T359" s="5">
        <v>1.1E-5</v>
      </c>
      <c r="U359" s="1">
        <v>-0.2492</v>
      </c>
      <c r="V359" s="1">
        <v>6.7679999999999998</v>
      </c>
    </row>
    <row r="360" spans="1:22" x14ac:dyDescent="0.25">
      <c r="A360" s="1">
        <v>0.99660000000000004</v>
      </c>
      <c r="B360" s="9" t="s">
        <v>1688</v>
      </c>
      <c r="C360" s="2">
        <v>3674</v>
      </c>
      <c r="D360" s="2" t="s">
        <v>520</v>
      </c>
      <c r="E360" s="9" t="s">
        <v>1689</v>
      </c>
      <c r="F360" s="9" t="s">
        <v>1690</v>
      </c>
      <c r="G360" s="1">
        <v>1641.8336999999999</v>
      </c>
      <c r="H360" s="2">
        <v>830</v>
      </c>
      <c r="I360" s="2">
        <v>2</v>
      </c>
      <c r="J360" s="1">
        <v>1641.8378</v>
      </c>
      <c r="K360" s="1">
        <v>821.92409999999995</v>
      </c>
      <c r="L360" s="9" t="s">
        <v>1691</v>
      </c>
      <c r="M360" s="2">
        <v>6.75</v>
      </c>
      <c r="N360" s="4">
        <v>6055.74</v>
      </c>
      <c r="O360" s="1">
        <v>2.4941475739669881</v>
      </c>
      <c r="P360" s="6">
        <v>32.6</v>
      </c>
      <c r="Q360" s="6">
        <v>25.5</v>
      </c>
      <c r="R360" s="6">
        <v>8</v>
      </c>
      <c r="S360" s="6">
        <v>10.7</v>
      </c>
      <c r="T360" s="5">
        <v>5.4000000000000001E-4</v>
      </c>
      <c r="U360" s="1">
        <v>4.1000000000000003E-3</v>
      </c>
      <c r="V360" s="1">
        <v>4.7053000000000003</v>
      </c>
    </row>
    <row r="361" spans="1:22" x14ac:dyDescent="0.25">
      <c r="A361" s="1">
        <v>0.99990000000000001</v>
      </c>
      <c r="B361" s="9" t="s">
        <v>1692</v>
      </c>
      <c r="C361" s="2">
        <v>3676</v>
      </c>
      <c r="D361" s="2" t="s">
        <v>522</v>
      </c>
      <c r="E361" s="9" t="s">
        <v>1665</v>
      </c>
      <c r="F361" s="9" t="s">
        <v>282</v>
      </c>
      <c r="G361" s="1">
        <v>1843.8957</v>
      </c>
      <c r="H361" s="2">
        <v>1480</v>
      </c>
      <c r="I361" s="2">
        <v>2</v>
      </c>
      <c r="J361" s="1">
        <v>1844.1783</v>
      </c>
      <c r="K361" s="1">
        <v>922.95510000000002</v>
      </c>
      <c r="L361" s="9" t="s">
        <v>283</v>
      </c>
      <c r="M361" s="2">
        <v>6.52</v>
      </c>
      <c r="N361" s="4">
        <v>6063.09</v>
      </c>
      <c r="O361" s="1">
        <v>153.09520473964551</v>
      </c>
      <c r="P361" s="6">
        <v>40.1</v>
      </c>
      <c r="Q361" s="6">
        <v>28</v>
      </c>
      <c r="R361" s="6">
        <v>10.5</v>
      </c>
      <c r="S361" s="6">
        <v>13</v>
      </c>
      <c r="T361" s="5">
        <v>5.3000000000000001E-5</v>
      </c>
      <c r="U361" s="1">
        <v>0.28260000000000002</v>
      </c>
      <c r="V361" s="1">
        <v>5.5450999999999997</v>
      </c>
    </row>
    <row r="362" spans="1:22" x14ac:dyDescent="0.25">
      <c r="A362" s="1">
        <v>0.99990000000000001</v>
      </c>
      <c r="B362" s="9" t="s">
        <v>1693</v>
      </c>
      <c r="C362" s="2">
        <v>3690</v>
      </c>
      <c r="D362" s="2" t="s">
        <v>522</v>
      </c>
      <c r="E362" s="9" t="s">
        <v>1665</v>
      </c>
      <c r="F362" s="9" t="s">
        <v>282</v>
      </c>
      <c r="G362" s="1">
        <v>1843.8957</v>
      </c>
      <c r="H362" s="2">
        <v>1481</v>
      </c>
      <c r="I362" s="2">
        <v>2</v>
      </c>
      <c r="J362" s="1">
        <v>1843.9095</v>
      </c>
      <c r="K362" s="1">
        <v>922.95510000000002</v>
      </c>
      <c r="L362" s="9" t="s">
        <v>283</v>
      </c>
      <c r="M362" s="2">
        <v>6.52</v>
      </c>
      <c r="N362" s="4">
        <v>6082.54</v>
      </c>
      <c r="O362" s="1">
        <v>7.4759866433372535</v>
      </c>
      <c r="P362" s="6">
        <v>40.299999999999997</v>
      </c>
      <c r="Q362" s="6">
        <v>25.8</v>
      </c>
      <c r="R362" s="6">
        <v>10.9</v>
      </c>
      <c r="S362" s="6">
        <v>13.1</v>
      </c>
      <c r="T362" s="5">
        <v>1.5999999999999999E-5</v>
      </c>
      <c r="U362" s="1">
        <v>1.38E-2</v>
      </c>
      <c r="V362" s="1">
        <v>6.2564000000000002</v>
      </c>
    </row>
    <row r="363" spans="1:22" x14ac:dyDescent="0.25">
      <c r="A363" s="1">
        <v>0.99629999999999996</v>
      </c>
      <c r="B363" s="9" t="s">
        <v>1694</v>
      </c>
      <c r="C363" s="2">
        <v>3692</v>
      </c>
      <c r="D363" s="2" t="s">
        <v>95</v>
      </c>
      <c r="E363" s="9" t="s">
        <v>1695</v>
      </c>
      <c r="F363" s="9" t="s">
        <v>1696</v>
      </c>
      <c r="G363" s="1">
        <v>1403.6901</v>
      </c>
      <c r="H363" s="2">
        <v>532</v>
      </c>
      <c r="I363" s="2">
        <v>2</v>
      </c>
      <c r="J363" s="1">
        <v>1403.6957</v>
      </c>
      <c r="K363" s="1">
        <v>702.85230000000001</v>
      </c>
      <c r="L363" s="9" t="s">
        <v>1697</v>
      </c>
      <c r="M363" s="2">
        <v>6.18</v>
      </c>
      <c r="N363" s="4">
        <v>6083.59</v>
      </c>
      <c r="O363" s="1">
        <v>3.9837672865266285</v>
      </c>
      <c r="P363" s="6">
        <v>29.9</v>
      </c>
      <c r="Q363" s="6">
        <v>19.899999999999999</v>
      </c>
      <c r="R363" s="6">
        <v>11.9</v>
      </c>
      <c r="S363" s="6">
        <v>11.5</v>
      </c>
      <c r="T363" s="5">
        <v>3.3999999999999998E-3</v>
      </c>
      <c r="U363" s="1">
        <v>5.5999999999999999E-3</v>
      </c>
      <c r="V363" s="1">
        <v>4.7554999999999996</v>
      </c>
    </row>
    <row r="364" spans="1:22" x14ac:dyDescent="0.25">
      <c r="A364" s="1">
        <v>0.96350000000000002</v>
      </c>
      <c r="B364" s="9" t="s">
        <v>1698</v>
      </c>
      <c r="C364" s="2">
        <v>3695</v>
      </c>
      <c r="D364" s="2" t="s">
        <v>95</v>
      </c>
      <c r="E364" s="9" t="s">
        <v>1699</v>
      </c>
      <c r="F364" s="9" t="s">
        <v>1700</v>
      </c>
      <c r="G364" s="1">
        <v>1436.6867</v>
      </c>
      <c r="H364" s="2">
        <v>1565</v>
      </c>
      <c r="I364" s="2">
        <v>2</v>
      </c>
      <c r="J364" s="1">
        <v>1436.7529999999999</v>
      </c>
      <c r="K364" s="1">
        <v>719.35059999999999</v>
      </c>
      <c r="L364" s="9" t="s">
        <v>1701</v>
      </c>
      <c r="M364" s="2">
        <v>5.59</v>
      </c>
      <c r="N364" s="4">
        <v>6090.89</v>
      </c>
      <c r="O364" s="1">
        <v>46.08323118101243</v>
      </c>
      <c r="P364" s="6">
        <v>30.9</v>
      </c>
      <c r="Q364" s="6">
        <v>24.6</v>
      </c>
      <c r="R364" s="6">
        <v>11.9</v>
      </c>
      <c r="S364" s="6">
        <v>11.5</v>
      </c>
      <c r="T364" s="5">
        <v>1.7999999999999999E-2</v>
      </c>
      <c r="U364" s="1">
        <v>6.6299999999999998E-2</v>
      </c>
      <c r="V364" s="1">
        <v>3.3216000000000001</v>
      </c>
    </row>
    <row r="365" spans="1:22" x14ac:dyDescent="0.25">
      <c r="A365" s="1">
        <v>0.99850000000000005</v>
      </c>
      <c r="B365" s="9" t="s">
        <v>1702</v>
      </c>
      <c r="C365" s="2">
        <v>3853</v>
      </c>
      <c r="D365" s="2" t="s">
        <v>316</v>
      </c>
      <c r="E365" s="9" t="s">
        <v>1703</v>
      </c>
      <c r="F365" s="9" t="s">
        <v>860</v>
      </c>
      <c r="G365" s="1">
        <v>1581.8547000000001</v>
      </c>
      <c r="H365" s="2">
        <v>1483</v>
      </c>
      <c r="I365" s="2">
        <v>2</v>
      </c>
      <c r="J365" s="1">
        <v>1581.867</v>
      </c>
      <c r="K365" s="1">
        <v>791.93460000000005</v>
      </c>
      <c r="L365" s="9" t="s">
        <v>673</v>
      </c>
      <c r="M365" s="2">
        <v>6</v>
      </c>
      <c r="N365" s="4">
        <v>6279.89</v>
      </c>
      <c r="O365" s="1">
        <v>7.7657927813736141</v>
      </c>
      <c r="P365" s="6">
        <v>42</v>
      </c>
      <c r="Q365" s="6">
        <v>26.5</v>
      </c>
      <c r="R365" s="6">
        <v>13.7</v>
      </c>
      <c r="S365" s="6">
        <v>12.1</v>
      </c>
      <c r="T365" s="5">
        <v>8.2999999999999998E-5</v>
      </c>
      <c r="U365" s="1">
        <v>1.23E-2</v>
      </c>
      <c r="V365" s="1">
        <v>5.9962999999999997</v>
      </c>
    </row>
    <row r="366" spans="1:22" x14ac:dyDescent="0.25">
      <c r="A366" s="1">
        <v>0.99639999999999995</v>
      </c>
      <c r="B366" s="9" t="s">
        <v>1704</v>
      </c>
      <c r="C366" s="2">
        <v>3863</v>
      </c>
      <c r="D366" s="2" t="s">
        <v>280</v>
      </c>
      <c r="E366" s="9" t="s">
        <v>1705</v>
      </c>
      <c r="F366" s="9" t="s">
        <v>860</v>
      </c>
      <c r="G366" s="1">
        <v>1510.8177000000001</v>
      </c>
      <c r="H366" s="2">
        <v>1252</v>
      </c>
      <c r="I366" s="2">
        <v>2</v>
      </c>
      <c r="J366" s="1">
        <v>1510.8433</v>
      </c>
      <c r="K366" s="1">
        <v>756.41610000000003</v>
      </c>
      <c r="L366" s="9" t="s">
        <v>673</v>
      </c>
      <c r="M366" s="2">
        <v>6</v>
      </c>
      <c r="N366" s="4">
        <v>6298.64</v>
      </c>
      <c r="O366" s="1">
        <v>16.921903169432802</v>
      </c>
      <c r="P366" s="6">
        <v>44.9</v>
      </c>
      <c r="Q366" s="6">
        <v>35.700000000000003</v>
      </c>
      <c r="R366" s="6">
        <v>13.5</v>
      </c>
      <c r="S366" s="6">
        <v>12.7</v>
      </c>
      <c r="T366" s="5">
        <v>2.0000000000000001E-4</v>
      </c>
      <c r="U366" s="1">
        <v>2.5600000000000001E-2</v>
      </c>
      <c r="V366" s="1">
        <v>5.0888999999999998</v>
      </c>
    </row>
    <row r="367" spans="1:22" x14ac:dyDescent="0.25">
      <c r="A367" s="1">
        <v>0.99829999999999997</v>
      </c>
      <c r="B367" s="9" t="s">
        <v>1706</v>
      </c>
      <c r="C367" s="2">
        <v>3868</v>
      </c>
      <c r="D367" s="2" t="s">
        <v>285</v>
      </c>
      <c r="E367" s="9" t="s">
        <v>1707</v>
      </c>
      <c r="F367" s="9" t="s">
        <v>860</v>
      </c>
      <c r="G367" s="1">
        <v>1439.7807</v>
      </c>
      <c r="H367" s="2">
        <v>1485</v>
      </c>
      <c r="I367" s="2">
        <v>2</v>
      </c>
      <c r="J367" s="1">
        <v>1439.8215</v>
      </c>
      <c r="K367" s="1">
        <v>720.89760000000001</v>
      </c>
      <c r="L367" s="9" t="s">
        <v>673</v>
      </c>
      <c r="M367" s="2">
        <v>6</v>
      </c>
      <c r="N367" s="4">
        <v>6316.39</v>
      </c>
      <c r="O367" s="1">
        <v>28.29805509131949</v>
      </c>
      <c r="P367" s="6">
        <v>47.3</v>
      </c>
      <c r="Q367" s="6">
        <v>28.3</v>
      </c>
      <c r="R367" s="6">
        <v>11.7</v>
      </c>
      <c r="S367" s="6">
        <v>13</v>
      </c>
      <c r="T367" s="5">
        <v>4.0999999999999999E-4</v>
      </c>
      <c r="U367" s="1">
        <v>4.0800000000000003E-2</v>
      </c>
      <c r="V367" s="1">
        <v>5.8577000000000004</v>
      </c>
    </row>
    <row r="368" spans="1:22" x14ac:dyDescent="0.25">
      <c r="A368" s="1">
        <v>0.9909</v>
      </c>
      <c r="B368" s="9" t="s">
        <v>1708</v>
      </c>
      <c r="C368" s="2">
        <v>3871</v>
      </c>
      <c r="D368" s="2" t="s">
        <v>278</v>
      </c>
      <c r="E368" s="9" t="s">
        <v>1703</v>
      </c>
      <c r="F368" s="9" t="s">
        <v>860</v>
      </c>
      <c r="G368" s="1">
        <v>1581.8547000000001</v>
      </c>
      <c r="H368" s="2">
        <v>1254</v>
      </c>
      <c r="I368" s="2">
        <v>2</v>
      </c>
      <c r="J368" s="1">
        <v>1582.5953</v>
      </c>
      <c r="K368" s="1">
        <v>791.93460000000005</v>
      </c>
      <c r="L368" s="9" t="s">
        <v>673</v>
      </c>
      <c r="M368" s="2">
        <v>6</v>
      </c>
      <c r="N368" s="4">
        <v>6320.54</v>
      </c>
      <c r="O368" s="1">
        <v>-165.89438067234337</v>
      </c>
      <c r="P368" s="6">
        <v>51.7</v>
      </c>
      <c r="Q368" s="6">
        <v>31</v>
      </c>
      <c r="R368" s="6">
        <v>13.6</v>
      </c>
      <c r="S368" s="6">
        <v>11.5</v>
      </c>
      <c r="T368" s="5">
        <v>7.6000000000000003E-7</v>
      </c>
      <c r="U368" s="1">
        <v>0.74060000000000004</v>
      </c>
      <c r="V368" s="1">
        <v>8.1372</v>
      </c>
    </row>
    <row r="369" spans="1:22" x14ac:dyDescent="0.25">
      <c r="A369" s="1">
        <v>0.99809999999999999</v>
      </c>
      <c r="B369" s="9" t="s">
        <v>1709</v>
      </c>
      <c r="C369" s="2">
        <v>3873</v>
      </c>
      <c r="D369" s="2" t="s">
        <v>270</v>
      </c>
      <c r="E369" s="9" t="s">
        <v>1703</v>
      </c>
      <c r="F369" s="9" t="s">
        <v>860</v>
      </c>
      <c r="G369" s="1">
        <v>1581.8547000000001</v>
      </c>
      <c r="H369" s="2">
        <v>1255</v>
      </c>
      <c r="I369" s="2">
        <v>2</v>
      </c>
      <c r="J369" s="1">
        <v>1581.6084000000001</v>
      </c>
      <c r="K369" s="1">
        <v>791.93460000000005</v>
      </c>
      <c r="L369" s="9" t="s">
        <v>673</v>
      </c>
      <c r="M369" s="2">
        <v>6</v>
      </c>
      <c r="N369" s="4">
        <v>6324.74</v>
      </c>
      <c r="O369" s="1">
        <v>-155.50526520750577</v>
      </c>
      <c r="P369" s="6">
        <v>44.6</v>
      </c>
      <c r="Q369" s="6">
        <v>28</v>
      </c>
      <c r="R369" s="6">
        <v>13.5</v>
      </c>
      <c r="S369" s="6">
        <v>11.5</v>
      </c>
      <c r="T369" s="5">
        <v>1.3999999999999999E-4</v>
      </c>
      <c r="U369" s="1">
        <v>-0.24629999999999999</v>
      </c>
      <c r="V369" s="1">
        <v>5.7862</v>
      </c>
    </row>
    <row r="370" spans="1:22" x14ac:dyDescent="0.25">
      <c r="A370" s="1">
        <v>0.99409999999999998</v>
      </c>
      <c r="B370" s="9" t="s">
        <v>1710</v>
      </c>
      <c r="C370" s="2">
        <v>3913</v>
      </c>
      <c r="D370" s="2" t="s">
        <v>316</v>
      </c>
      <c r="E370" s="9" t="s">
        <v>1703</v>
      </c>
      <c r="F370" s="9" t="s">
        <v>860</v>
      </c>
      <c r="G370" s="1">
        <v>1581.8547000000001</v>
      </c>
      <c r="H370" s="2">
        <v>1257</v>
      </c>
      <c r="I370" s="2">
        <v>2</v>
      </c>
      <c r="J370" s="1">
        <v>1581.8423</v>
      </c>
      <c r="K370" s="1">
        <v>791.93460000000005</v>
      </c>
      <c r="L370" s="9" t="s">
        <v>673</v>
      </c>
      <c r="M370" s="2">
        <v>6</v>
      </c>
      <c r="N370" s="4">
        <v>6376.84</v>
      </c>
      <c r="O370" s="1">
        <v>-7.8289293080514479</v>
      </c>
      <c r="P370" s="6">
        <v>41.5</v>
      </c>
      <c r="Q370" s="6">
        <v>27.9</v>
      </c>
      <c r="R370" s="6">
        <v>13.4</v>
      </c>
      <c r="S370" s="6">
        <v>10.8</v>
      </c>
      <c r="T370" s="5">
        <v>1.4E-3</v>
      </c>
      <c r="U370" s="1">
        <v>-1.24E-2</v>
      </c>
      <c r="V370" s="1">
        <v>4.6113</v>
      </c>
    </row>
    <row r="371" spans="1:22" x14ac:dyDescent="0.25">
      <c r="A371" s="1">
        <v>0.998</v>
      </c>
      <c r="B371" s="9" t="s">
        <v>1711</v>
      </c>
      <c r="C371" s="2">
        <v>3917</v>
      </c>
      <c r="D371" s="2" t="s">
        <v>1304</v>
      </c>
      <c r="E371" s="9" t="s">
        <v>1712</v>
      </c>
      <c r="F371" s="9" t="s">
        <v>1713</v>
      </c>
      <c r="G371" s="1">
        <v>1749.8426999999999</v>
      </c>
      <c r="H371" s="2">
        <v>393</v>
      </c>
      <c r="I371" s="2">
        <v>2</v>
      </c>
      <c r="J371" s="1">
        <v>1749.5830000000001</v>
      </c>
      <c r="K371" s="1">
        <v>875.92859999999996</v>
      </c>
      <c r="L371" s="9" t="s">
        <v>1298</v>
      </c>
      <c r="M371" s="2">
        <v>4.54</v>
      </c>
      <c r="N371" s="4">
        <v>6386.44</v>
      </c>
      <c r="O371" s="1">
        <v>-148.24267640079341</v>
      </c>
      <c r="P371" s="6">
        <v>37.200000000000003</v>
      </c>
      <c r="Q371" s="6">
        <v>20.8</v>
      </c>
      <c r="R371" s="6">
        <v>10.9</v>
      </c>
      <c r="S371" s="6">
        <v>4.8</v>
      </c>
      <c r="T371" s="5">
        <v>9.2999999999999997E-5</v>
      </c>
      <c r="U371" s="1">
        <v>-0.25969999999999999</v>
      </c>
      <c r="V371" s="1">
        <v>6.0561999999999996</v>
      </c>
    </row>
    <row r="372" spans="1:22" x14ac:dyDescent="0.25">
      <c r="A372" s="1">
        <v>0.99880000000000002</v>
      </c>
      <c r="B372" s="9" t="s">
        <v>1714</v>
      </c>
      <c r="C372" s="2">
        <v>3921</v>
      </c>
      <c r="D372" s="2" t="s">
        <v>174</v>
      </c>
      <c r="E372" s="9" t="s">
        <v>1715</v>
      </c>
      <c r="F372" s="9" t="s">
        <v>340</v>
      </c>
      <c r="G372" s="1">
        <v>1988.9286999999999</v>
      </c>
      <c r="H372" s="2">
        <v>1258</v>
      </c>
      <c r="I372" s="2">
        <v>2</v>
      </c>
      <c r="J372" s="1">
        <v>1988.9902999999999</v>
      </c>
      <c r="K372" s="1">
        <v>995.47159999999997</v>
      </c>
      <c r="L372" s="9" t="s">
        <v>341</v>
      </c>
      <c r="M372" s="2">
        <v>4.09</v>
      </c>
      <c r="N372" s="4">
        <v>6389.69</v>
      </c>
      <c r="O372" s="1">
        <v>30.940109190458074</v>
      </c>
      <c r="P372" s="6">
        <v>44.4</v>
      </c>
      <c r="Q372" s="6">
        <v>26.7</v>
      </c>
      <c r="R372" s="6">
        <v>8.3000000000000007</v>
      </c>
      <c r="S372" s="6">
        <v>10.4</v>
      </c>
      <c r="T372" s="5">
        <v>1.2E-5</v>
      </c>
      <c r="U372" s="1">
        <v>6.1600000000000002E-2</v>
      </c>
      <c r="V372" s="1">
        <v>6.5267999999999997</v>
      </c>
    </row>
    <row r="373" spans="1:22" x14ac:dyDescent="0.25">
      <c r="A373" s="1">
        <v>0.98140000000000005</v>
      </c>
      <c r="B373" s="9" t="s">
        <v>1716</v>
      </c>
      <c r="C373" s="2">
        <v>3935</v>
      </c>
      <c r="D373" s="2" t="s">
        <v>174</v>
      </c>
      <c r="E373" s="9" t="s">
        <v>1715</v>
      </c>
      <c r="F373" s="9" t="s">
        <v>340</v>
      </c>
      <c r="G373" s="1">
        <v>1988.9286999999999</v>
      </c>
      <c r="H373" s="2">
        <v>1259</v>
      </c>
      <c r="I373" s="2">
        <v>2</v>
      </c>
      <c r="J373" s="1">
        <v>1989.7218</v>
      </c>
      <c r="K373" s="1">
        <v>995.47159999999997</v>
      </c>
      <c r="L373" s="9" t="s">
        <v>341</v>
      </c>
      <c r="M373" s="2">
        <v>4.09</v>
      </c>
      <c r="N373" s="4">
        <v>6411.09</v>
      </c>
      <c r="O373" s="1">
        <v>-105.60572496493118</v>
      </c>
      <c r="P373" s="6">
        <v>41.8</v>
      </c>
      <c r="Q373" s="6">
        <v>27</v>
      </c>
      <c r="R373" s="6">
        <v>7.6</v>
      </c>
      <c r="S373" s="6">
        <v>9.5</v>
      </c>
      <c r="T373" s="5">
        <v>1.7E-5</v>
      </c>
      <c r="U373" s="1">
        <v>0.79310000000000003</v>
      </c>
      <c r="V373" s="1">
        <v>6.2092000000000001</v>
      </c>
    </row>
    <row r="374" spans="1:22" x14ac:dyDescent="0.25">
      <c r="A374" s="1">
        <v>0.99780000000000002</v>
      </c>
      <c r="B374" s="9" t="s">
        <v>1717</v>
      </c>
      <c r="C374" s="2">
        <v>3949</v>
      </c>
      <c r="D374" s="2" t="s">
        <v>331</v>
      </c>
      <c r="E374" s="9" t="s">
        <v>1718</v>
      </c>
      <c r="F374" s="9" t="s">
        <v>781</v>
      </c>
      <c r="G374" s="1">
        <v>1475.7186999999999</v>
      </c>
      <c r="H374" s="2">
        <v>975</v>
      </c>
      <c r="I374" s="2">
        <v>2</v>
      </c>
      <c r="J374" s="1">
        <v>1475.7511999999999</v>
      </c>
      <c r="K374" s="1">
        <v>738.86659999999995</v>
      </c>
      <c r="L374" s="9" t="s">
        <v>782</v>
      </c>
      <c r="M374" s="2">
        <v>4.75</v>
      </c>
      <c r="N374" s="4">
        <v>6431.64</v>
      </c>
      <c r="O374" s="1">
        <v>21.993144635310355</v>
      </c>
      <c r="P374" s="6">
        <v>41.1</v>
      </c>
      <c r="Q374" s="6">
        <v>25.9</v>
      </c>
      <c r="R374" s="6">
        <v>10.4</v>
      </c>
      <c r="S374" s="6">
        <v>14.1</v>
      </c>
      <c r="T374" s="5">
        <v>5.5999999999999995E-4</v>
      </c>
      <c r="U374" s="1">
        <v>3.2500000000000001E-2</v>
      </c>
      <c r="V374" s="1">
        <v>5.5664999999999996</v>
      </c>
    </row>
    <row r="375" spans="1:22" x14ac:dyDescent="0.25">
      <c r="A375" s="1">
        <v>1</v>
      </c>
      <c r="B375" s="9" t="s">
        <v>1719</v>
      </c>
      <c r="C375" s="2">
        <v>3950</v>
      </c>
      <c r="D375" s="2" t="s">
        <v>1720</v>
      </c>
      <c r="E375" s="9" t="s">
        <v>1721</v>
      </c>
      <c r="F375" s="9" t="s">
        <v>860</v>
      </c>
      <c r="G375" s="1">
        <v>2870.5327000000002</v>
      </c>
      <c r="H375" s="2">
        <v>1504</v>
      </c>
      <c r="I375" s="2">
        <v>3</v>
      </c>
      <c r="J375" s="1">
        <v>2870.6282999999999</v>
      </c>
      <c r="K375" s="1">
        <v>957.85149999999999</v>
      </c>
      <c r="L375" s="9" t="s">
        <v>673</v>
      </c>
      <c r="M375" s="2">
        <v>6.3</v>
      </c>
      <c r="N375" s="4">
        <v>6434.74</v>
      </c>
      <c r="O375" s="1">
        <v>33.268900937845444</v>
      </c>
      <c r="P375" s="6">
        <v>59.7</v>
      </c>
      <c r="Q375" s="6">
        <v>31.1</v>
      </c>
      <c r="R375" s="6">
        <v>13.5</v>
      </c>
      <c r="S375" s="6">
        <v>12.6</v>
      </c>
      <c r="T375" s="5">
        <v>7.6999999999999995E-9</v>
      </c>
      <c r="U375" s="1">
        <v>9.5600000000000004E-2</v>
      </c>
      <c r="V375" s="1">
        <v>9.4067000000000007</v>
      </c>
    </row>
    <row r="376" spans="1:22" x14ac:dyDescent="0.25">
      <c r="A376" s="1">
        <v>0.99980000000000002</v>
      </c>
      <c r="B376" s="9" t="s">
        <v>1722</v>
      </c>
      <c r="C376" s="2">
        <v>3953</v>
      </c>
      <c r="D376" s="2" t="s">
        <v>1720</v>
      </c>
      <c r="E376" s="9" t="s">
        <v>1721</v>
      </c>
      <c r="F376" s="9" t="s">
        <v>860</v>
      </c>
      <c r="G376" s="1">
        <v>2870.5327000000002</v>
      </c>
      <c r="H376" s="2">
        <v>1260</v>
      </c>
      <c r="I376" s="2">
        <v>3</v>
      </c>
      <c r="J376" s="1">
        <v>2871.1167</v>
      </c>
      <c r="K376" s="1">
        <v>957.85149999999999</v>
      </c>
      <c r="L376" s="9" t="s">
        <v>673</v>
      </c>
      <c r="M376" s="2">
        <v>6.3</v>
      </c>
      <c r="N376" s="4">
        <v>6436.89</v>
      </c>
      <c r="O376" s="1">
        <v>-145.93598276977173</v>
      </c>
      <c r="P376" s="6">
        <v>56.4</v>
      </c>
      <c r="Q376" s="6">
        <v>31</v>
      </c>
      <c r="R376" s="6">
        <v>13.4</v>
      </c>
      <c r="S376" s="6">
        <v>11.3</v>
      </c>
      <c r="T376" s="5">
        <v>1.4000000000000001E-7</v>
      </c>
      <c r="U376" s="1">
        <v>0.58399999999999996</v>
      </c>
      <c r="V376" s="1">
        <v>8.1564999999999994</v>
      </c>
    </row>
    <row r="377" spans="1:22" x14ac:dyDescent="0.25">
      <c r="A377" s="1">
        <v>1</v>
      </c>
      <c r="B377" s="9" t="s">
        <v>1723</v>
      </c>
      <c r="C377" s="2">
        <v>3958</v>
      </c>
      <c r="D377" s="2" t="s">
        <v>1720</v>
      </c>
      <c r="E377" s="9" t="s">
        <v>1721</v>
      </c>
      <c r="F377" s="9" t="s">
        <v>860</v>
      </c>
      <c r="G377" s="1">
        <v>2870.5327000000002</v>
      </c>
      <c r="H377" s="2">
        <v>1261</v>
      </c>
      <c r="I377" s="2">
        <v>3</v>
      </c>
      <c r="J377" s="1">
        <v>2870.2550999999999</v>
      </c>
      <c r="K377" s="1">
        <v>957.85149999999999</v>
      </c>
      <c r="L377" s="9" t="s">
        <v>673</v>
      </c>
      <c r="M377" s="2">
        <v>6.3</v>
      </c>
      <c r="N377" s="4">
        <v>6445.29</v>
      </c>
      <c r="O377" s="1">
        <v>-96.605093099852482</v>
      </c>
      <c r="P377" s="6">
        <v>57.7</v>
      </c>
      <c r="Q377" s="6">
        <v>29.1</v>
      </c>
      <c r="R377" s="6">
        <v>11.7</v>
      </c>
      <c r="S377" s="6">
        <v>11.9</v>
      </c>
      <c r="T377" s="5">
        <v>4.4000000000000002E-7</v>
      </c>
      <c r="U377" s="1">
        <v>-0.27760000000000001</v>
      </c>
      <c r="V377" s="1">
        <v>7.8851000000000004</v>
      </c>
    </row>
    <row r="378" spans="1:22" x14ac:dyDescent="0.25">
      <c r="A378" s="1">
        <v>0.98380000000000001</v>
      </c>
      <c r="B378" s="9" t="s">
        <v>1724</v>
      </c>
      <c r="C378" s="2">
        <v>3984</v>
      </c>
      <c r="D378" s="2" t="s">
        <v>520</v>
      </c>
      <c r="E378" s="9" t="s">
        <v>1725</v>
      </c>
      <c r="F378" s="9" t="s">
        <v>788</v>
      </c>
      <c r="G378" s="1">
        <v>1592.8197</v>
      </c>
      <c r="H378" s="2">
        <v>1026</v>
      </c>
      <c r="I378" s="2">
        <v>2</v>
      </c>
      <c r="J378" s="1">
        <v>1592.8631</v>
      </c>
      <c r="K378" s="1">
        <v>797.4171</v>
      </c>
      <c r="L378" s="9" t="s">
        <v>789</v>
      </c>
      <c r="M378" s="2">
        <v>4.75</v>
      </c>
      <c r="N378" s="4">
        <v>6490.14</v>
      </c>
      <c r="O378" s="1">
        <v>27.212860120506569</v>
      </c>
      <c r="P378" s="6">
        <v>33.6</v>
      </c>
      <c r="Q378" s="6">
        <v>24.8</v>
      </c>
      <c r="R378" s="6">
        <v>10.9</v>
      </c>
      <c r="S378" s="6">
        <v>12.8</v>
      </c>
      <c r="T378" s="5">
        <v>1.6999999999999999E-3</v>
      </c>
      <c r="U378" s="1">
        <v>4.3400000000000001E-2</v>
      </c>
      <c r="V378" s="1">
        <v>4.3921000000000001</v>
      </c>
    </row>
    <row r="379" spans="1:22" x14ac:dyDescent="0.25">
      <c r="A379" s="1">
        <v>0.99590000000000001</v>
      </c>
      <c r="B379" s="9" t="s">
        <v>1726</v>
      </c>
      <c r="C379" s="2">
        <v>4064</v>
      </c>
      <c r="D379" s="2" t="s">
        <v>1456</v>
      </c>
      <c r="E379" s="9" t="s">
        <v>1727</v>
      </c>
      <c r="F379" s="9" t="s">
        <v>565</v>
      </c>
      <c r="G379" s="1">
        <v>1924.9567</v>
      </c>
      <c r="H379" s="2">
        <v>1014</v>
      </c>
      <c r="I379" s="2">
        <v>2</v>
      </c>
      <c r="J379" s="1">
        <v>1924.9875</v>
      </c>
      <c r="K379" s="1">
        <v>963.48559999999998</v>
      </c>
      <c r="L379" s="9" t="s">
        <v>566</v>
      </c>
      <c r="M379" s="2">
        <v>4.07</v>
      </c>
      <c r="N379" s="4">
        <v>6582.44</v>
      </c>
      <c r="O379" s="1">
        <v>15.983632760053707</v>
      </c>
      <c r="P379" s="6">
        <v>43.1</v>
      </c>
      <c r="Q379" s="6">
        <v>26.7</v>
      </c>
      <c r="R379" s="6">
        <v>13.1</v>
      </c>
      <c r="S379" s="6">
        <v>10.199999999999999</v>
      </c>
      <c r="T379" s="5">
        <v>5.3999999999999998E-5</v>
      </c>
      <c r="U379" s="1">
        <v>3.0800000000000001E-2</v>
      </c>
      <c r="V379" s="1">
        <v>5.6898</v>
      </c>
    </row>
    <row r="380" spans="1:22" x14ac:dyDescent="0.25">
      <c r="A380" s="1">
        <v>0.9849</v>
      </c>
      <c r="B380" s="9" t="s">
        <v>1728</v>
      </c>
      <c r="C380" s="2">
        <v>4262</v>
      </c>
      <c r="D380" s="2" t="s">
        <v>1681</v>
      </c>
      <c r="E380" s="9" t="s">
        <v>1729</v>
      </c>
      <c r="F380" s="9" t="s">
        <v>860</v>
      </c>
      <c r="G380" s="1">
        <v>1986.0607</v>
      </c>
      <c r="H380" s="2">
        <v>1571</v>
      </c>
      <c r="I380" s="2">
        <v>2</v>
      </c>
      <c r="J380" s="1">
        <v>1986.0925999999999</v>
      </c>
      <c r="K380" s="1">
        <v>994.0376</v>
      </c>
      <c r="L380" s="9" t="s">
        <v>673</v>
      </c>
      <c r="M380" s="2">
        <v>6</v>
      </c>
      <c r="N380" s="4">
        <v>6796.99</v>
      </c>
      <c r="O380" s="1">
        <v>16.045670707023557</v>
      </c>
      <c r="P380" s="6">
        <v>33.4</v>
      </c>
      <c r="Q380" s="6">
        <v>23.1</v>
      </c>
      <c r="R380" s="6">
        <v>13.7</v>
      </c>
      <c r="S380" s="6">
        <v>8.9</v>
      </c>
      <c r="T380" s="5">
        <v>9.7000000000000005E-4</v>
      </c>
      <c r="U380" s="1">
        <v>3.1899999999999998E-2</v>
      </c>
      <c r="V380" s="1">
        <v>4.1795999999999998</v>
      </c>
    </row>
    <row r="381" spans="1:22" x14ac:dyDescent="0.25">
      <c r="A381" s="1">
        <v>0.98550000000000004</v>
      </c>
      <c r="B381" s="9" t="s">
        <v>1730</v>
      </c>
      <c r="C381" s="2">
        <v>4274</v>
      </c>
      <c r="D381" s="2" t="s">
        <v>630</v>
      </c>
      <c r="E381" s="9" t="s">
        <v>1731</v>
      </c>
      <c r="F381" s="9" t="s">
        <v>1732</v>
      </c>
      <c r="G381" s="1">
        <v>1898.9337</v>
      </c>
      <c r="H381" s="2">
        <v>1263</v>
      </c>
      <c r="I381" s="2">
        <v>2</v>
      </c>
      <c r="J381" s="1">
        <v>1898.9518</v>
      </c>
      <c r="K381" s="1">
        <v>950.47410000000002</v>
      </c>
      <c r="L381" s="9" t="s">
        <v>1733</v>
      </c>
      <c r="M381" s="2">
        <v>4.32</v>
      </c>
      <c r="N381" s="4">
        <v>6827.09</v>
      </c>
      <c r="O381" s="1">
        <v>9.5215640278888198</v>
      </c>
      <c r="P381" s="6">
        <v>38.799999999999997</v>
      </c>
      <c r="Q381" s="6">
        <v>26.2</v>
      </c>
      <c r="R381" s="6">
        <v>11.9</v>
      </c>
      <c r="S381" s="6">
        <v>8.4</v>
      </c>
      <c r="T381" s="5">
        <v>5.7000000000000002E-3</v>
      </c>
      <c r="U381" s="1">
        <v>1.8100000000000002E-2</v>
      </c>
      <c r="V381" s="1">
        <v>3.8763000000000001</v>
      </c>
    </row>
    <row r="382" spans="1:22" x14ac:dyDescent="0.25">
      <c r="A382" s="1">
        <v>0.99529999999999996</v>
      </c>
      <c r="B382" s="9" t="s">
        <v>1734</v>
      </c>
      <c r="C382" s="2">
        <v>4277</v>
      </c>
      <c r="D382" s="2" t="s">
        <v>1236</v>
      </c>
      <c r="E382" s="9" t="s">
        <v>1729</v>
      </c>
      <c r="F382" s="9" t="s">
        <v>860</v>
      </c>
      <c r="G382" s="1">
        <v>1986.0607</v>
      </c>
      <c r="H382" s="2">
        <v>1264</v>
      </c>
      <c r="I382" s="2">
        <v>2</v>
      </c>
      <c r="J382" s="1">
        <v>1985.7686000000001</v>
      </c>
      <c r="K382" s="1">
        <v>994.0376</v>
      </c>
      <c r="L382" s="9" t="s">
        <v>673</v>
      </c>
      <c r="M382" s="2">
        <v>6</v>
      </c>
      <c r="N382" s="4">
        <v>6834.39</v>
      </c>
      <c r="O382" s="1">
        <v>-146.92603177183639</v>
      </c>
      <c r="P382" s="6">
        <v>40.9</v>
      </c>
      <c r="Q382" s="6">
        <v>26.2</v>
      </c>
      <c r="R382" s="6">
        <v>13.5</v>
      </c>
      <c r="S382" s="6">
        <v>6.4</v>
      </c>
      <c r="T382" s="5">
        <v>2.9999999999999997E-4</v>
      </c>
      <c r="U382" s="1">
        <v>-0.29210000000000003</v>
      </c>
      <c r="V382" s="1">
        <v>4.8146000000000004</v>
      </c>
    </row>
    <row r="383" spans="1:22" x14ac:dyDescent="0.25">
      <c r="A383" s="1">
        <v>0.99870000000000003</v>
      </c>
      <c r="B383" s="9" t="s">
        <v>1735</v>
      </c>
      <c r="C383" s="2">
        <v>4280</v>
      </c>
      <c r="D383" s="2" t="s">
        <v>1531</v>
      </c>
      <c r="E383" s="9" t="s">
        <v>1729</v>
      </c>
      <c r="F383" s="9" t="s">
        <v>860</v>
      </c>
      <c r="G383" s="1">
        <v>1986.0607</v>
      </c>
      <c r="H383" s="2">
        <v>1265</v>
      </c>
      <c r="I383" s="2">
        <v>2</v>
      </c>
      <c r="J383" s="1">
        <v>1986.0814</v>
      </c>
      <c r="K383" s="1">
        <v>994.0376</v>
      </c>
      <c r="L383" s="9" t="s">
        <v>673</v>
      </c>
      <c r="M383" s="2">
        <v>6</v>
      </c>
      <c r="N383" s="4">
        <v>6841.69</v>
      </c>
      <c r="O383" s="1">
        <v>10.412080991704942</v>
      </c>
      <c r="P383" s="6">
        <v>45</v>
      </c>
      <c r="Q383" s="6">
        <v>25.8</v>
      </c>
      <c r="R383" s="6">
        <v>13.3</v>
      </c>
      <c r="S383" s="6">
        <v>7</v>
      </c>
      <c r="T383" s="5">
        <v>9.9000000000000001E-6</v>
      </c>
      <c r="U383" s="1">
        <v>2.07E-2</v>
      </c>
      <c r="V383" s="1">
        <v>6.3545999999999996</v>
      </c>
    </row>
    <row r="384" spans="1:22" x14ac:dyDescent="0.25">
      <c r="A384" s="1">
        <v>0.99790000000000001</v>
      </c>
      <c r="B384" s="9" t="s">
        <v>1736</v>
      </c>
      <c r="C384" s="2">
        <v>4286</v>
      </c>
      <c r="D384" s="2" t="s">
        <v>316</v>
      </c>
      <c r="E384" s="9" t="s">
        <v>1737</v>
      </c>
      <c r="F384" s="9" t="s">
        <v>986</v>
      </c>
      <c r="G384" s="1">
        <v>1803.8787</v>
      </c>
      <c r="H384" s="2">
        <v>69</v>
      </c>
      <c r="I384" s="2">
        <v>2</v>
      </c>
      <c r="J384" s="1">
        <v>1803.877</v>
      </c>
      <c r="K384" s="1">
        <v>902.94659999999999</v>
      </c>
      <c r="L384" s="9" t="s">
        <v>514</v>
      </c>
      <c r="M384" s="2">
        <v>6.22</v>
      </c>
      <c r="N384" s="4">
        <v>6856.29</v>
      </c>
      <c r="O384" s="1">
        <v>-0.94136242386869828</v>
      </c>
      <c r="P384" s="6">
        <v>38.4</v>
      </c>
      <c r="Q384" s="6">
        <v>24.9</v>
      </c>
      <c r="R384" s="6">
        <v>10.8</v>
      </c>
      <c r="S384" s="6">
        <v>10.199999999999999</v>
      </c>
      <c r="T384" s="5">
        <v>2.7999999999999998E-4</v>
      </c>
      <c r="U384" s="1">
        <v>-1.6999999999999999E-3</v>
      </c>
      <c r="V384" s="1">
        <v>5.4016000000000002</v>
      </c>
    </row>
    <row r="385" spans="1:22" x14ac:dyDescent="0.25">
      <c r="A385" s="1">
        <v>0.99780000000000002</v>
      </c>
      <c r="B385" s="9" t="s">
        <v>1738</v>
      </c>
      <c r="C385" s="2">
        <v>4290</v>
      </c>
      <c r="D385" s="2" t="s">
        <v>645</v>
      </c>
      <c r="E385" s="9" t="s">
        <v>1731</v>
      </c>
      <c r="F385" s="9" t="s">
        <v>1732</v>
      </c>
      <c r="G385" s="1">
        <v>1898.9337</v>
      </c>
      <c r="H385" s="2">
        <v>1267</v>
      </c>
      <c r="I385" s="2">
        <v>2</v>
      </c>
      <c r="J385" s="1">
        <v>1898.6841999999999</v>
      </c>
      <c r="K385" s="1">
        <v>950.47410000000002</v>
      </c>
      <c r="L385" s="9" t="s">
        <v>1733</v>
      </c>
      <c r="M385" s="2">
        <v>4.32</v>
      </c>
      <c r="N385" s="4">
        <v>6864.69</v>
      </c>
      <c r="O385" s="1">
        <v>-131.25028867172708</v>
      </c>
      <c r="P385" s="6">
        <v>42.5</v>
      </c>
      <c r="Q385" s="6">
        <v>28.2</v>
      </c>
      <c r="R385" s="6">
        <v>11.7</v>
      </c>
      <c r="S385" s="6">
        <v>8.1</v>
      </c>
      <c r="T385" s="5">
        <v>9.7999999999999997E-5</v>
      </c>
      <c r="U385" s="1">
        <v>-0.2495</v>
      </c>
      <c r="V385" s="1">
        <v>5.6032999999999999</v>
      </c>
    </row>
    <row r="386" spans="1:22" x14ac:dyDescent="0.25">
      <c r="A386" s="1">
        <v>0.99919999999999998</v>
      </c>
      <c r="B386" s="9" t="s">
        <v>1739</v>
      </c>
      <c r="C386" s="2">
        <v>4551</v>
      </c>
      <c r="D386" s="2" t="s">
        <v>1145</v>
      </c>
      <c r="E386" s="9" t="s">
        <v>1740</v>
      </c>
      <c r="F386" s="9" t="s">
        <v>1083</v>
      </c>
      <c r="G386" s="1">
        <v>1783.8996999999999</v>
      </c>
      <c r="H386" s="2">
        <v>394</v>
      </c>
      <c r="I386" s="2">
        <v>2</v>
      </c>
      <c r="J386" s="1">
        <v>1784.1208999999999</v>
      </c>
      <c r="K386" s="1">
        <v>892.95709999999997</v>
      </c>
      <c r="L386" s="9" t="s">
        <v>1084</v>
      </c>
      <c r="M386" s="2">
        <v>5.47</v>
      </c>
      <c r="N386" s="4">
        <v>7160.94</v>
      </c>
      <c r="O386" s="1">
        <v>123.85813383420101</v>
      </c>
      <c r="P386" s="6">
        <v>45.6</v>
      </c>
      <c r="Q386" s="6">
        <v>28.6</v>
      </c>
      <c r="R386" s="6">
        <v>11.2</v>
      </c>
      <c r="S386" s="6">
        <v>10.199999999999999</v>
      </c>
      <c r="T386" s="5">
        <v>4.6E-5</v>
      </c>
      <c r="U386" s="1">
        <v>0.22120000000000001</v>
      </c>
      <c r="V386" s="1">
        <v>6.0659000000000001</v>
      </c>
    </row>
    <row r="387" spans="1:22" x14ac:dyDescent="0.25">
      <c r="A387" s="1">
        <v>0.96519999999999995</v>
      </c>
      <c r="B387" s="9" t="s">
        <v>1741</v>
      </c>
      <c r="C387" s="2">
        <v>4553</v>
      </c>
      <c r="D387" s="2" t="s">
        <v>630</v>
      </c>
      <c r="E387" s="9" t="s">
        <v>1740</v>
      </c>
      <c r="F387" s="9" t="s">
        <v>1083</v>
      </c>
      <c r="G387" s="1">
        <v>1783.8996999999999</v>
      </c>
      <c r="H387" s="2">
        <v>395</v>
      </c>
      <c r="I387" s="2">
        <v>2</v>
      </c>
      <c r="J387" s="1">
        <v>1785.6867999999999</v>
      </c>
      <c r="K387" s="1">
        <v>892.95709999999997</v>
      </c>
      <c r="L387" s="9" t="s">
        <v>1084</v>
      </c>
      <c r="M387" s="2">
        <v>5.47</v>
      </c>
      <c r="N387" s="4">
        <v>7165.14</v>
      </c>
      <c r="O387" s="1">
        <v>-122.96783350510348</v>
      </c>
      <c r="P387" s="6">
        <v>38.1</v>
      </c>
      <c r="Q387" s="6">
        <v>23</v>
      </c>
      <c r="R387" s="6">
        <v>11.3</v>
      </c>
      <c r="S387" s="6">
        <v>9.8000000000000007</v>
      </c>
      <c r="T387" s="5">
        <v>6.2E-4</v>
      </c>
      <c r="U387" s="1">
        <v>1.7870999999999999</v>
      </c>
      <c r="V387" s="1">
        <v>5.0884999999999998</v>
      </c>
    </row>
    <row r="388" spans="1:22" x14ac:dyDescent="0.25">
      <c r="A388" s="1">
        <v>0.98319999999999996</v>
      </c>
      <c r="B388" s="9" t="s">
        <v>1742</v>
      </c>
      <c r="C388" s="2">
        <v>4560</v>
      </c>
      <c r="D388" s="2" t="s">
        <v>1304</v>
      </c>
      <c r="E388" s="9" t="s">
        <v>1740</v>
      </c>
      <c r="F388" s="9" t="s">
        <v>1083</v>
      </c>
      <c r="G388" s="1">
        <v>1783.8996999999999</v>
      </c>
      <c r="H388" s="2">
        <v>834</v>
      </c>
      <c r="I388" s="2">
        <v>2</v>
      </c>
      <c r="J388" s="1">
        <v>1783.9213999999999</v>
      </c>
      <c r="K388" s="1">
        <v>892.95709999999997</v>
      </c>
      <c r="L388" s="9" t="s">
        <v>1084</v>
      </c>
      <c r="M388" s="2">
        <v>5.47</v>
      </c>
      <c r="N388" s="4">
        <v>7173.69</v>
      </c>
      <c r="O388" s="1">
        <v>12.150639711583009</v>
      </c>
      <c r="P388" s="6">
        <v>31.4</v>
      </c>
      <c r="Q388" s="6">
        <v>21.4</v>
      </c>
      <c r="R388" s="6">
        <v>11.3</v>
      </c>
      <c r="S388" s="6">
        <v>9</v>
      </c>
      <c r="T388" s="5">
        <v>1.4999999999999999E-2</v>
      </c>
      <c r="U388" s="1">
        <v>2.1700000000000001E-2</v>
      </c>
      <c r="V388" s="1">
        <v>3.4506000000000001</v>
      </c>
    </row>
    <row r="389" spans="1:22" x14ac:dyDescent="0.25">
      <c r="A389" s="1">
        <v>0.97389999999999999</v>
      </c>
      <c r="B389" s="9" t="s">
        <v>1743</v>
      </c>
      <c r="C389" s="2">
        <v>4604</v>
      </c>
      <c r="D389" s="2" t="s">
        <v>520</v>
      </c>
      <c r="E389" s="9" t="s">
        <v>1744</v>
      </c>
      <c r="F389" s="9" t="s">
        <v>1083</v>
      </c>
      <c r="G389" s="1">
        <v>1552.8326999999999</v>
      </c>
      <c r="H389" s="2">
        <v>218</v>
      </c>
      <c r="I389" s="2">
        <v>2</v>
      </c>
      <c r="J389" s="1">
        <v>1552.8507</v>
      </c>
      <c r="K389" s="1">
        <v>777.42359999999996</v>
      </c>
      <c r="L389" s="9" t="s">
        <v>1084</v>
      </c>
      <c r="M389" s="2">
        <v>5.47</v>
      </c>
      <c r="N389" s="4">
        <v>7225.79</v>
      </c>
      <c r="O389" s="1">
        <v>11.576700269968651</v>
      </c>
      <c r="P389" s="6">
        <v>32.200000000000003</v>
      </c>
      <c r="Q389" s="6">
        <v>21.9</v>
      </c>
      <c r="R389" s="6">
        <v>12.2</v>
      </c>
      <c r="S389" s="6">
        <v>8.8000000000000007</v>
      </c>
      <c r="T389" s="5">
        <v>5.1999999999999998E-2</v>
      </c>
      <c r="U389" s="1">
        <v>1.7999999999999999E-2</v>
      </c>
      <c r="V389" s="1">
        <v>3.1315</v>
      </c>
    </row>
    <row r="390" spans="1:22" x14ac:dyDescent="0.25">
      <c r="A390" s="1">
        <v>0.9677</v>
      </c>
      <c r="B390" s="9" t="s">
        <v>1745</v>
      </c>
      <c r="C390" s="2">
        <v>4611</v>
      </c>
      <c r="D390" s="2" t="s">
        <v>425</v>
      </c>
      <c r="E390" s="9" t="s">
        <v>1746</v>
      </c>
      <c r="F390" s="9" t="s">
        <v>1083</v>
      </c>
      <c r="G390" s="1">
        <v>1481.7946999999999</v>
      </c>
      <c r="H390" s="2">
        <v>396</v>
      </c>
      <c r="I390" s="2">
        <v>2</v>
      </c>
      <c r="J390" s="1">
        <v>1482.0505000000001</v>
      </c>
      <c r="K390" s="1">
        <v>741.90459999999996</v>
      </c>
      <c r="L390" s="9" t="s">
        <v>1084</v>
      </c>
      <c r="M390" s="2">
        <v>5.47</v>
      </c>
      <c r="N390" s="4">
        <v>7238.29</v>
      </c>
      <c r="O390" s="1">
        <v>172.39413261489418</v>
      </c>
      <c r="P390" s="6">
        <v>32.700000000000003</v>
      </c>
      <c r="Q390" s="6">
        <v>21.1</v>
      </c>
      <c r="R390" s="6">
        <v>12.1</v>
      </c>
      <c r="S390" s="6">
        <v>9</v>
      </c>
      <c r="T390" s="5">
        <v>8.3000000000000004E-2</v>
      </c>
      <c r="U390" s="1">
        <v>0.25580000000000003</v>
      </c>
      <c r="V390" s="1">
        <v>3.1880999999999999</v>
      </c>
    </row>
    <row r="391" spans="1:22" x14ac:dyDescent="0.25">
      <c r="A391" s="1">
        <v>0.99929999999999997</v>
      </c>
      <c r="B391" s="9" t="s">
        <v>1747</v>
      </c>
      <c r="C391" s="2">
        <v>5435</v>
      </c>
      <c r="D391" s="2" t="s">
        <v>146</v>
      </c>
      <c r="E391" s="9" t="s">
        <v>724</v>
      </c>
      <c r="F391" s="9" t="s">
        <v>647</v>
      </c>
      <c r="G391" s="1">
        <v>1439.8497</v>
      </c>
      <c r="H391" s="2">
        <v>219</v>
      </c>
      <c r="I391" s="2">
        <v>2</v>
      </c>
      <c r="J391" s="1">
        <v>1439.6884</v>
      </c>
      <c r="K391" s="1">
        <v>720.93209999999999</v>
      </c>
      <c r="L391" s="9" t="s">
        <v>118</v>
      </c>
      <c r="M391" s="2">
        <v>8.48</v>
      </c>
      <c r="N391" s="4">
        <v>2364.09</v>
      </c>
      <c r="O391" s="1">
        <v>-111.86906506174437</v>
      </c>
      <c r="P391" s="6">
        <v>42.1</v>
      </c>
      <c r="Q391" s="6">
        <v>26</v>
      </c>
      <c r="R391" s="6">
        <v>5.0999999999999996</v>
      </c>
      <c r="S391" s="6">
        <v>10.4</v>
      </c>
      <c r="T391" s="5">
        <v>1.1000000000000001E-3</v>
      </c>
      <c r="U391" s="1">
        <v>-0.1613</v>
      </c>
      <c r="V391" s="1">
        <v>5.5312999999999999</v>
      </c>
    </row>
    <row r="392" spans="1:22" x14ac:dyDescent="0.25">
      <c r="A392" s="1">
        <v>0.94950000000000001</v>
      </c>
      <c r="B392" s="9" t="s">
        <v>1748</v>
      </c>
      <c r="C392" s="2">
        <v>5443</v>
      </c>
      <c r="D392" s="2" t="s">
        <v>988</v>
      </c>
      <c r="E392" s="9" t="s">
        <v>1173</v>
      </c>
      <c r="F392" s="9" t="s">
        <v>1749</v>
      </c>
      <c r="G392" s="1">
        <v>1394.5297</v>
      </c>
      <c r="H392" s="2">
        <v>1270</v>
      </c>
      <c r="I392" s="2">
        <v>2</v>
      </c>
      <c r="J392" s="1">
        <v>1394.6768999999999</v>
      </c>
      <c r="K392" s="1">
        <v>698.27210000000002</v>
      </c>
      <c r="L392" s="9" t="s">
        <v>1069</v>
      </c>
      <c r="M392" s="2">
        <v>4.22</v>
      </c>
      <c r="N392" s="4">
        <v>2541.59</v>
      </c>
      <c r="O392" s="1">
        <v>105.40303701093026</v>
      </c>
      <c r="P392" s="6">
        <v>27.6</v>
      </c>
      <c r="Q392" s="6">
        <v>23.2</v>
      </c>
      <c r="R392" s="6">
        <v>0</v>
      </c>
      <c r="S392" s="6">
        <v>9.1999999999999993</v>
      </c>
      <c r="T392" s="5">
        <v>0.41</v>
      </c>
      <c r="U392" s="1">
        <v>0.1472</v>
      </c>
      <c r="V392" s="1">
        <v>1.5992</v>
      </c>
    </row>
    <row r="393" spans="1:22" x14ac:dyDescent="0.25">
      <c r="A393" s="1">
        <v>0.99990000000000001</v>
      </c>
      <c r="B393" s="9" t="s">
        <v>1750</v>
      </c>
      <c r="C393" s="2">
        <v>5443</v>
      </c>
      <c r="D393" s="2" t="s">
        <v>168</v>
      </c>
      <c r="E393" s="9" t="s">
        <v>1176</v>
      </c>
      <c r="F393" s="9" t="s">
        <v>1749</v>
      </c>
      <c r="G393" s="1">
        <v>2091.9387000000002</v>
      </c>
      <c r="H393" s="2">
        <v>1294</v>
      </c>
      <c r="I393" s="2">
        <v>3</v>
      </c>
      <c r="J393" s="1">
        <v>2092.0153</v>
      </c>
      <c r="K393" s="1">
        <v>698.3202</v>
      </c>
      <c r="L393" s="9" t="s">
        <v>1069</v>
      </c>
      <c r="M393" s="2">
        <v>4.53</v>
      </c>
      <c r="N393" s="4">
        <v>2541.59</v>
      </c>
      <c r="O393" s="1">
        <v>36.563933469679576</v>
      </c>
      <c r="P393" s="6">
        <v>37.700000000000003</v>
      </c>
      <c r="Q393" s="6">
        <v>25.5</v>
      </c>
      <c r="R393" s="6">
        <v>10</v>
      </c>
      <c r="S393" s="6">
        <v>9.8000000000000007</v>
      </c>
      <c r="T393" s="5">
        <v>1.1000000000000001E-3</v>
      </c>
      <c r="U393" s="1">
        <v>7.6600000000000001E-2</v>
      </c>
      <c r="V393" s="1">
        <v>4.9368999999999996</v>
      </c>
    </row>
    <row r="394" spans="1:22" x14ac:dyDescent="0.25">
      <c r="A394" s="1">
        <v>0.94830000000000003</v>
      </c>
      <c r="B394" s="9" t="s">
        <v>1751</v>
      </c>
      <c r="C394" s="2">
        <v>5459</v>
      </c>
      <c r="D394" s="2" t="s">
        <v>568</v>
      </c>
      <c r="E394" s="9" t="s">
        <v>1752</v>
      </c>
      <c r="F394" s="9" t="s">
        <v>1753</v>
      </c>
      <c r="G394" s="1">
        <v>1618.8136999999999</v>
      </c>
      <c r="H394" s="2">
        <v>1273</v>
      </c>
      <c r="I394" s="2">
        <v>2</v>
      </c>
      <c r="J394" s="1">
        <v>1618.6190999999999</v>
      </c>
      <c r="K394" s="1">
        <v>810.41409999999996</v>
      </c>
      <c r="L394" s="9" t="s">
        <v>1754</v>
      </c>
      <c r="M394" s="2">
        <v>6.25</v>
      </c>
      <c r="N394" s="4">
        <v>3017.7</v>
      </c>
      <c r="O394" s="1">
        <v>-120.06207690611504</v>
      </c>
      <c r="P394" s="6">
        <v>33.9</v>
      </c>
      <c r="Q394" s="6">
        <v>26</v>
      </c>
      <c r="R394" s="6">
        <v>10.9</v>
      </c>
      <c r="S394" s="6">
        <v>13.1</v>
      </c>
      <c r="T394" s="5">
        <v>2.4E-2</v>
      </c>
      <c r="U394" s="1">
        <v>-0.1946</v>
      </c>
      <c r="V394" s="1">
        <v>2.9914000000000001</v>
      </c>
    </row>
    <row r="395" spans="1:22" x14ac:dyDescent="0.25">
      <c r="A395" s="1">
        <v>0.99080000000000001</v>
      </c>
      <c r="B395" s="9" t="s">
        <v>1755</v>
      </c>
      <c r="C395" s="2">
        <v>5485</v>
      </c>
      <c r="D395" s="2" t="s">
        <v>1271</v>
      </c>
      <c r="E395" s="9" t="s">
        <v>1267</v>
      </c>
      <c r="F395" s="9" t="s">
        <v>1268</v>
      </c>
      <c r="G395" s="1">
        <v>1803.9557</v>
      </c>
      <c r="H395" s="2">
        <v>842</v>
      </c>
      <c r="I395" s="2">
        <v>2</v>
      </c>
      <c r="J395" s="1">
        <v>1803.9768999999999</v>
      </c>
      <c r="K395" s="1">
        <v>902.98509999999999</v>
      </c>
      <c r="L395" s="9" t="s">
        <v>1269</v>
      </c>
      <c r="M395" s="2">
        <v>6.28</v>
      </c>
      <c r="N395" s="4">
        <v>3604.94</v>
      </c>
      <c r="O395" s="1">
        <v>11.738842645354834</v>
      </c>
      <c r="P395" s="6">
        <v>36</v>
      </c>
      <c r="Q395" s="6">
        <v>22.6</v>
      </c>
      <c r="R395" s="6">
        <v>11.3</v>
      </c>
      <c r="S395" s="6">
        <v>12.4</v>
      </c>
      <c r="T395" s="5">
        <v>8.9999999999999993E-3</v>
      </c>
      <c r="U395" s="1">
        <v>2.12E-2</v>
      </c>
      <c r="V395" s="1">
        <v>3.8837000000000002</v>
      </c>
    </row>
    <row r="396" spans="1:22" x14ac:dyDescent="0.25">
      <c r="A396" s="1">
        <v>1</v>
      </c>
      <c r="B396" s="9" t="s">
        <v>1756</v>
      </c>
      <c r="C396" s="2">
        <v>5486</v>
      </c>
      <c r="D396" s="2" t="s">
        <v>1273</v>
      </c>
      <c r="E396" s="9" t="s">
        <v>1274</v>
      </c>
      <c r="F396" s="9" t="s">
        <v>1275</v>
      </c>
      <c r="G396" s="1">
        <v>2287.1777000000002</v>
      </c>
      <c r="H396" s="2">
        <v>1297</v>
      </c>
      <c r="I396" s="2">
        <v>3</v>
      </c>
      <c r="J396" s="1">
        <v>2287.0412999999999</v>
      </c>
      <c r="K396" s="1">
        <v>763.39980000000003</v>
      </c>
      <c r="L396" s="9" t="s">
        <v>1276</v>
      </c>
      <c r="M396" s="2">
        <v>8.2200000000000006</v>
      </c>
      <c r="N396" s="4">
        <v>3612.29</v>
      </c>
      <c r="O396" s="1">
        <v>-59.558132798393004</v>
      </c>
      <c r="P396" s="6">
        <v>64.3</v>
      </c>
      <c r="Q396" s="6">
        <v>33.9</v>
      </c>
      <c r="R396" s="6">
        <v>12</v>
      </c>
      <c r="S396" s="6">
        <v>10.8</v>
      </c>
      <c r="T396" s="5">
        <v>2.3E-6</v>
      </c>
      <c r="U396" s="1">
        <v>-0.13639999999999999</v>
      </c>
      <c r="V396" s="1">
        <v>8.1203000000000003</v>
      </c>
    </row>
    <row r="397" spans="1:22" x14ac:dyDescent="0.25">
      <c r="A397" s="1">
        <v>0.99870000000000003</v>
      </c>
      <c r="B397" s="9" t="s">
        <v>1757</v>
      </c>
      <c r="C397" s="2">
        <v>5504</v>
      </c>
      <c r="D397" s="2" t="s">
        <v>280</v>
      </c>
      <c r="E397" s="9" t="s">
        <v>1346</v>
      </c>
      <c r="F397" s="9" t="s">
        <v>363</v>
      </c>
      <c r="G397" s="1">
        <v>1545.7897</v>
      </c>
      <c r="H397" s="2">
        <v>1278</v>
      </c>
      <c r="I397" s="2">
        <v>2</v>
      </c>
      <c r="J397" s="1">
        <v>1545.819</v>
      </c>
      <c r="K397" s="1">
        <v>773.90210000000002</v>
      </c>
      <c r="L397" s="9" t="s">
        <v>364</v>
      </c>
      <c r="M397" s="2">
        <v>8.76</v>
      </c>
      <c r="N397" s="4">
        <v>4045.99</v>
      </c>
      <c r="O397" s="1">
        <v>18.930042960214216</v>
      </c>
      <c r="P397" s="6">
        <v>43.3</v>
      </c>
      <c r="Q397" s="6">
        <v>27.9</v>
      </c>
      <c r="R397" s="6">
        <v>8.6999999999999993</v>
      </c>
      <c r="S397" s="6">
        <v>11.2</v>
      </c>
      <c r="T397" s="5">
        <v>4.6999999999999997E-5</v>
      </c>
      <c r="U397" s="1">
        <v>2.93E-2</v>
      </c>
      <c r="V397" s="1">
        <v>6.4005000000000001</v>
      </c>
    </row>
    <row r="398" spans="1:22" x14ac:dyDescent="0.25">
      <c r="A398" s="1">
        <v>0.99760000000000004</v>
      </c>
      <c r="B398" s="9" t="s">
        <v>1758</v>
      </c>
      <c r="C398" s="2">
        <v>5507</v>
      </c>
      <c r="D398" s="2" t="s">
        <v>316</v>
      </c>
      <c r="E398" s="9" t="s">
        <v>1355</v>
      </c>
      <c r="F398" s="9" t="s">
        <v>1083</v>
      </c>
      <c r="G398" s="1">
        <v>1670.8087</v>
      </c>
      <c r="H398" s="2">
        <v>845</v>
      </c>
      <c r="I398" s="2">
        <v>2</v>
      </c>
      <c r="J398" s="1">
        <v>1670.8252</v>
      </c>
      <c r="K398" s="1">
        <v>836.41160000000002</v>
      </c>
      <c r="L398" s="9" t="s">
        <v>1084</v>
      </c>
      <c r="M398" s="2">
        <v>5.51</v>
      </c>
      <c r="N398" s="4">
        <v>4090.14</v>
      </c>
      <c r="O398" s="1">
        <v>9.863564780784964</v>
      </c>
      <c r="P398" s="6">
        <v>39.299999999999997</v>
      </c>
      <c r="Q398" s="6">
        <v>21.7</v>
      </c>
      <c r="R398" s="6">
        <v>10.8</v>
      </c>
      <c r="S398" s="6">
        <v>9.6999999999999993</v>
      </c>
      <c r="T398" s="5">
        <v>1.4999999999999999E-4</v>
      </c>
      <c r="U398" s="1">
        <v>1.6500000000000001E-2</v>
      </c>
      <c r="V398" s="1">
        <v>6.0801999999999996</v>
      </c>
    </row>
    <row r="399" spans="1:22" x14ac:dyDescent="0.25">
      <c r="A399" s="1">
        <v>0.99829999999999997</v>
      </c>
      <c r="B399" s="9" t="s">
        <v>1759</v>
      </c>
      <c r="C399" s="2">
        <v>5508</v>
      </c>
      <c r="D399" s="2" t="s">
        <v>316</v>
      </c>
      <c r="E399" s="9" t="s">
        <v>1357</v>
      </c>
      <c r="F399" s="9" t="s">
        <v>1358</v>
      </c>
      <c r="G399" s="1">
        <v>1735.9117000000001</v>
      </c>
      <c r="H399" s="2">
        <v>224</v>
      </c>
      <c r="I399" s="2">
        <v>2</v>
      </c>
      <c r="J399" s="1">
        <v>1735.9250999999999</v>
      </c>
      <c r="K399" s="1">
        <v>868.96310000000005</v>
      </c>
      <c r="L399" s="9" t="s">
        <v>1359</v>
      </c>
      <c r="M399" s="2">
        <v>8.7200000000000006</v>
      </c>
      <c r="N399" s="4">
        <v>4104.84</v>
      </c>
      <c r="O399" s="1">
        <v>7.7103389085221217</v>
      </c>
      <c r="P399" s="6">
        <v>39.799999999999997</v>
      </c>
      <c r="Q399" s="6">
        <v>23.1</v>
      </c>
      <c r="R399" s="6">
        <v>11.1</v>
      </c>
      <c r="S399" s="6">
        <v>12.4</v>
      </c>
      <c r="T399" s="5">
        <v>6.2E-4</v>
      </c>
      <c r="U399" s="1">
        <v>1.34E-2</v>
      </c>
      <c r="V399" s="1">
        <v>5.3525999999999998</v>
      </c>
    </row>
    <row r="400" spans="1:22" x14ac:dyDescent="0.25">
      <c r="A400" s="1">
        <v>0.99660000000000004</v>
      </c>
      <c r="B400" s="9" t="s">
        <v>1760</v>
      </c>
      <c r="C400" s="2">
        <v>5530</v>
      </c>
      <c r="D400" s="2" t="s">
        <v>1426</v>
      </c>
      <c r="E400" s="9" t="s">
        <v>410</v>
      </c>
      <c r="F400" s="9" t="s">
        <v>1199</v>
      </c>
      <c r="G400" s="1">
        <v>2150.0288999999998</v>
      </c>
      <c r="H400" s="2">
        <v>1281</v>
      </c>
      <c r="I400" s="2">
        <v>2</v>
      </c>
      <c r="J400" s="1">
        <v>2150.0322999999999</v>
      </c>
      <c r="K400" s="1">
        <v>1076.0217</v>
      </c>
      <c r="L400" s="9" t="s">
        <v>1200</v>
      </c>
      <c r="M400" s="2">
        <v>5.95</v>
      </c>
      <c r="N400" s="4">
        <v>4709.1899999999996</v>
      </c>
      <c r="O400" s="1">
        <v>1.5798937883873532</v>
      </c>
      <c r="P400" s="6">
        <v>46.6</v>
      </c>
      <c r="Q400" s="6">
        <v>29.8</v>
      </c>
      <c r="R400" s="6">
        <v>12.3</v>
      </c>
      <c r="S400" s="6">
        <v>11.1</v>
      </c>
      <c r="T400" s="5">
        <v>6.7999999999999999E-5</v>
      </c>
      <c r="U400" s="1">
        <v>3.3999999999999998E-3</v>
      </c>
      <c r="V400" s="1">
        <v>5.1230000000000002</v>
      </c>
    </row>
    <row r="401" spans="1:22" x14ac:dyDescent="0.25">
      <c r="A401" s="1">
        <v>0.99629999999999996</v>
      </c>
      <c r="B401" s="9" t="s">
        <v>1761</v>
      </c>
      <c r="C401" s="2">
        <v>5536</v>
      </c>
      <c r="D401" s="2" t="s">
        <v>1476</v>
      </c>
      <c r="E401" s="9" t="s">
        <v>1477</v>
      </c>
      <c r="F401" s="9" t="s">
        <v>1478</v>
      </c>
      <c r="G401" s="1">
        <v>1883.8297</v>
      </c>
      <c r="H401" s="2">
        <v>227</v>
      </c>
      <c r="I401" s="2">
        <v>2</v>
      </c>
      <c r="J401" s="1">
        <v>1883.8571999999999</v>
      </c>
      <c r="K401" s="1">
        <v>942.9221</v>
      </c>
      <c r="L401" s="9" t="s">
        <v>1479</v>
      </c>
      <c r="M401" s="2">
        <v>6.08</v>
      </c>
      <c r="N401" s="4">
        <v>4916.34</v>
      </c>
      <c r="O401" s="1">
        <v>14.582328699263703</v>
      </c>
      <c r="P401" s="6">
        <v>28.8</v>
      </c>
      <c r="Q401" s="6">
        <v>18.7</v>
      </c>
      <c r="R401" s="6">
        <v>10.6</v>
      </c>
      <c r="S401" s="6">
        <v>7.2</v>
      </c>
      <c r="T401" s="5">
        <v>4.0000000000000001E-3</v>
      </c>
      <c r="U401" s="1">
        <v>2.75E-2</v>
      </c>
      <c r="V401" s="1">
        <v>4.0114000000000001</v>
      </c>
    </row>
    <row r="402" spans="1:22" x14ac:dyDescent="0.25">
      <c r="A402" s="1">
        <v>0.999</v>
      </c>
      <c r="B402" s="9" t="s">
        <v>1762</v>
      </c>
      <c r="C402" s="2">
        <v>5541</v>
      </c>
      <c r="D402" s="2" t="s">
        <v>1145</v>
      </c>
      <c r="E402" s="9" t="s">
        <v>998</v>
      </c>
      <c r="F402" s="9" t="s">
        <v>1522</v>
      </c>
      <c r="G402" s="1">
        <v>1773.9947</v>
      </c>
      <c r="H402" s="2">
        <v>849</v>
      </c>
      <c r="I402" s="2">
        <v>2</v>
      </c>
      <c r="J402" s="1">
        <v>1774.008</v>
      </c>
      <c r="K402" s="1">
        <v>888.00459999999998</v>
      </c>
      <c r="L402" s="9" t="s">
        <v>603</v>
      </c>
      <c r="M402" s="2">
        <v>4.8499999999999996</v>
      </c>
      <c r="N402" s="4">
        <v>5145.74</v>
      </c>
      <c r="O402" s="1">
        <v>7.4886999459237034</v>
      </c>
      <c r="P402" s="6">
        <v>47.5</v>
      </c>
      <c r="Q402" s="6">
        <v>25.2</v>
      </c>
      <c r="R402" s="6">
        <v>11.6</v>
      </c>
      <c r="S402" s="6">
        <v>13.9</v>
      </c>
      <c r="T402" s="5">
        <v>4.5999999999999999E-7</v>
      </c>
      <c r="U402" s="1">
        <v>1.3299999999999999E-2</v>
      </c>
      <c r="V402" s="1">
        <v>8.3676999999999992</v>
      </c>
    </row>
    <row r="403" spans="1:22" x14ac:dyDescent="0.25">
      <c r="A403" s="1">
        <v>0.96970000000000001</v>
      </c>
      <c r="B403" s="9" t="s">
        <v>1763</v>
      </c>
      <c r="C403" s="2">
        <v>5546</v>
      </c>
      <c r="D403" s="2" t="s">
        <v>262</v>
      </c>
      <c r="E403" s="9" t="s">
        <v>1764</v>
      </c>
      <c r="F403" s="9" t="s">
        <v>1765</v>
      </c>
      <c r="G403" s="1">
        <v>1989.0757000000001</v>
      </c>
      <c r="H403" s="2">
        <v>850</v>
      </c>
      <c r="I403" s="2">
        <v>2</v>
      </c>
      <c r="J403" s="1">
        <v>1989.0868</v>
      </c>
      <c r="K403" s="1">
        <v>995.54510000000005</v>
      </c>
      <c r="L403" s="9" t="s">
        <v>1766</v>
      </c>
      <c r="M403" s="2">
        <v>6.73</v>
      </c>
      <c r="N403" s="4">
        <v>5345.44</v>
      </c>
      <c r="O403" s="1">
        <v>5.574835333929121</v>
      </c>
      <c r="P403" s="6">
        <v>30.3</v>
      </c>
      <c r="Q403" s="6">
        <v>21.7</v>
      </c>
      <c r="R403" s="6">
        <v>11.9</v>
      </c>
      <c r="S403" s="6">
        <v>3.9</v>
      </c>
      <c r="T403" s="5">
        <v>1.4999999999999999E-2</v>
      </c>
      <c r="U403" s="1">
        <v>1.11E-2</v>
      </c>
      <c r="V403" s="1">
        <v>3.0541999999999998</v>
      </c>
    </row>
    <row r="404" spans="1:22" x14ac:dyDescent="0.25">
      <c r="A404" s="1">
        <v>0.999</v>
      </c>
      <c r="B404" s="9" t="s">
        <v>1767</v>
      </c>
      <c r="C404" s="2">
        <v>5553</v>
      </c>
      <c r="D404" s="2" t="s">
        <v>1768</v>
      </c>
      <c r="E404" s="9" t="s">
        <v>1589</v>
      </c>
      <c r="F404" s="9" t="s">
        <v>1590</v>
      </c>
      <c r="G404" s="1">
        <v>1815.9229</v>
      </c>
      <c r="H404" s="2">
        <v>851</v>
      </c>
      <c r="I404" s="2">
        <v>2</v>
      </c>
      <c r="J404" s="1">
        <v>1815.9292</v>
      </c>
      <c r="K404" s="1">
        <v>908.96870000000001</v>
      </c>
      <c r="L404" s="9" t="s">
        <v>49</v>
      </c>
      <c r="M404" s="2">
        <v>6.22</v>
      </c>
      <c r="N404" s="4">
        <v>5494.84</v>
      </c>
      <c r="O404" s="1">
        <v>3.4654658625759058</v>
      </c>
      <c r="P404" s="6">
        <v>51.1</v>
      </c>
      <c r="Q404" s="6">
        <v>31.4</v>
      </c>
      <c r="R404" s="6">
        <v>10.9</v>
      </c>
      <c r="S404" s="6">
        <v>11.5</v>
      </c>
      <c r="T404" s="5">
        <v>3.4999999999999997E-5</v>
      </c>
      <c r="U404" s="1">
        <v>6.3E-3</v>
      </c>
      <c r="V404" s="1">
        <v>6.0461</v>
      </c>
    </row>
    <row r="405" spans="1:22" x14ac:dyDescent="0.25">
      <c r="A405" s="1">
        <v>0.99929999999999997</v>
      </c>
      <c r="B405" s="9" t="s">
        <v>1769</v>
      </c>
      <c r="C405" s="2">
        <v>5559</v>
      </c>
      <c r="D405" s="2" t="s">
        <v>1488</v>
      </c>
      <c r="E405" s="9" t="s">
        <v>1604</v>
      </c>
      <c r="F405" s="9" t="s">
        <v>1605</v>
      </c>
      <c r="G405" s="1">
        <v>1774.8597</v>
      </c>
      <c r="H405" s="2">
        <v>1284</v>
      </c>
      <c r="I405" s="2">
        <v>2</v>
      </c>
      <c r="J405" s="1">
        <v>1774.9068</v>
      </c>
      <c r="K405" s="1">
        <v>888.43709999999999</v>
      </c>
      <c r="L405" s="9" t="s">
        <v>1606</v>
      </c>
      <c r="M405" s="2">
        <v>4.8499999999999996</v>
      </c>
      <c r="N405" s="4">
        <v>5597.89</v>
      </c>
      <c r="O405" s="1">
        <v>26.50722262724058</v>
      </c>
      <c r="P405" s="6">
        <v>52.8</v>
      </c>
      <c r="Q405" s="6">
        <v>27.2</v>
      </c>
      <c r="R405" s="6">
        <v>10.6</v>
      </c>
      <c r="S405" s="6">
        <v>11.2</v>
      </c>
      <c r="T405" s="5">
        <v>7.0999999999999998E-7</v>
      </c>
      <c r="U405" s="1">
        <v>4.7100000000000003E-2</v>
      </c>
      <c r="V405" s="1">
        <v>8.2518999999999991</v>
      </c>
    </row>
    <row r="406" spans="1:22" x14ac:dyDescent="0.25">
      <c r="A406" s="1">
        <v>0.99809999999999999</v>
      </c>
      <c r="B406" s="9" t="s">
        <v>1770</v>
      </c>
      <c r="C406" s="2">
        <v>5561</v>
      </c>
      <c r="D406" s="2" t="s">
        <v>1626</v>
      </c>
      <c r="E406" s="9" t="s">
        <v>1623</v>
      </c>
      <c r="F406" s="9" t="s">
        <v>1624</v>
      </c>
      <c r="G406" s="1">
        <v>2029.1758</v>
      </c>
      <c r="H406" s="2">
        <v>1285</v>
      </c>
      <c r="I406" s="2">
        <v>2</v>
      </c>
      <c r="J406" s="1">
        <v>2029.1850999999999</v>
      </c>
      <c r="K406" s="1">
        <v>1015.5952</v>
      </c>
      <c r="L406" s="9" t="s">
        <v>789</v>
      </c>
      <c r="M406" s="2">
        <v>8.75</v>
      </c>
      <c r="N406" s="4">
        <v>5705.04</v>
      </c>
      <c r="O406" s="1">
        <v>4.5785958815086953</v>
      </c>
      <c r="P406" s="6">
        <v>50.9</v>
      </c>
      <c r="Q406" s="6">
        <v>30</v>
      </c>
      <c r="R406" s="6">
        <v>12</v>
      </c>
      <c r="S406" s="6">
        <v>13.2</v>
      </c>
      <c r="T406" s="5">
        <v>2.4000000000000001E-5</v>
      </c>
      <c r="U406" s="1">
        <v>9.2999999999999992E-3</v>
      </c>
      <c r="V406" s="1">
        <v>5.8117999999999999</v>
      </c>
    </row>
    <row r="407" spans="1:22" x14ac:dyDescent="0.25">
      <c r="A407" s="1">
        <v>0.99960000000000004</v>
      </c>
      <c r="B407" s="9" t="s">
        <v>1771</v>
      </c>
      <c r="C407" s="2">
        <v>5566</v>
      </c>
      <c r="D407" s="2" t="s">
        <v>1772</v>
      </c>
      <c r="E407" s="9" t="s">
        <v>1643</v>
      </c>
      <c r="F407" s="9" t="s">
        <v>844</v>
      </c>
      <c r="G407" s="1">
        <v>2051.0796999999998</v>
      </c>
      <c r="H407" s="2">
        <v>853</v>
      </c>
      <c r="I407" s="2">
        <v>2</v>
      </c>
      <c r="J407" s="1">
        <v>2051.1037000000001</v>
      </c>
      <c r="K407" s="1">
        <v>1026.5471</v>
      </c>
      <c r="L407" s="9" t="s">
        <v>745</v>
      </c>
      <c r="M407" s="2">
        <v>8.59</v>
      </c>
      <c r="N407" s="4">
        <v>5832.29</v>
      </c>
      <c r="O407" s="1">
        <v>11.689673079783676</v>
      </c>
      <c r="P407" s="6">
        <v>54.2</v>
      </c>
      <c r="Q407" s="6">
        <v>27.9</v>
      </c>
      <c r="R407" s="6">
        <v>12.5</v>
      </c>
      <c r="S407" s="6">
        <v>11</v>
      </c>
      <c r="T407" s="5">
        <v>5.8000000000000004E-6</v>
      </c>
      <c r="U407" s="1">
        <v>2.4E-2</v>
      </c>
      <c r="V407" s="1">
        <v>6.7771999999999997</v>
      </c>
    </row>
    <row r="408" spans="1:22" x14ac:dyDescent="0.25">
      <c r="A408" s="1">
        <v>0.95699999999999996</v>
      </c>
      <c r="B408" s="9" t="s">
        <v>1773</v>
      </c>
      <c r="C408" s="2">
        <v>5567</v>
      </c>
      <c r="D408" s="2" t="s">
        <v>311</v>
      </c>
      <c r="E408" s="9" t="s">
        <v>1774</v>
      </c>
      <c r="F408" s="9" t="s">
        <v>1593</v>
      </c>
      <c r="G408" s="1">
        <v>1460.7797</v>
      </c>
      <c r="H408" s="2">
        <v>232</v>
      </c>
      <c r="I408" s="2">
        <v>2</v>
      </c>
      <c r="J408" s="1">
        <v>1460.7996000000001</v>
      </c>
      <c r="K408" s="1">
        <v>731.39710000000002</v>
      </c>
      <c r="L408" s="9" t="s">
        <v>1594</v>
      </c>
      <c r="M408" s="2">
        <v>4.75</v>
      </c>
      <c r="N408" s="4">
        <v>5832.29</v>
      </c>
      <c r="O408" s="1">
        <v>13.60410097332899</v>
      </c>
      <c r="P408" s="6">
        <v>36.200000000000003</v>
      </c>
      <c r="Q408" s="6">
        <v>29.8</v>
      </c>
      <c r="R408" s="6">
        <v>11.8</v>
      </c>
      <c r="S408" s="6">
        <v>9.6999999999999993</v>
      </c>
      <c r="T408" s="5">
        <v>3.2000000000000001E-2</v>
      </c>
      <c r="U408" s="1">
        <v>1.9900000000000001E-2</v>
      </c>
      <c r="V408" s="1">
        <v>2.8064</v>
      </c>
    </row>
    <row r="409" spans="1:22" x14ac:dyDescent="0.25">
      <c r="A409" s="1">
        <v>0.98219999999999996</v>
      </c>
      <c r="B409" s="9" t="s">
        <v>1775</v>
      </c>
      <c r="C409" s="2">
        <v>5570</v>
      </c>
      <c r="D409" s="2" t="s">
        <v>285</v>
      </c>
      <c r="E409" s="9" t="s">
        <v>1649</v>
      </c>
      <c r="F409" s="9" t="s">
        <v>222</v>
      </c>
      <c r="G409" s="1">
        <v>1457.7366999999999</v>
      </c>
      <c r="H409" s="2">
        <v>1286</v>
      </c>
      <c r="I409" s="2">
        <v>2</v>
      </c>
      <c r="J409" s="1">
        <v>1457.7736</v>
      </c>
      <c r="K409" s="1">
        <v>729.87559999999996</v>
      </c>
      <c r="L409" s="9" t="s">
        <v>223</v>
      </c>
      <c r="M409" s="2">
        <v>6</v>
      </c>
      <c r="N409" s="4">
        <v>5870.19</v>
      </c>
      <c r="O409" s="1">
        <v>25.27828029872488</v>
      </c>
      <c r="P409" s="6">
        <v>47.3</v>
      </c>
      <c r="Q409" s="6">
        <v>35</v>
      </c>
      <c r="R409" s="6">
        <v>12.4</v>
      </c>
      <c r="S409" s="6">
        <v>13.2</v>
      </c>
      <c r="T409" s="5">
        <v>0.01</v>
      </c>
      <c r="U409" s="1">
        <v>3.6900000000000002E-2</v>
      </c>
      <c r="V409" s="1">
        <v>3.7281</v>
      </c>
    </row>
    <row r="410" spans="1:22" x14ac:dyDescent="0.25">
      <c r="A410" s="1">
        <v>0.99990000000000001</v>
      </c>
      <c r="B410" s="9" t="s">
        <v>1776</v>
      </c>
      <c r="C410" s="2">
        <v>5571</v>
      </c>
      <c r="D410" s="2" t="s">
        <v>1768</v>
      </c>
      <c r="E410" s="9" t="s">
        <v>1665</v>
      </c>
      <c r="F410" s="9" t="s">
        <v>282</v>
      </c>
      <c r="G410" s="1">
        <v>1843.8957</v>
      </c>
      <c r="H410" s="2">
        <v>1287</v>
      </c>
      <c r="I410" s="2">
        <v>2</v>
      </c>
      <c r="J410" s="1">
        <v>1843.9122</v>
      </c>
      <c r="K410" s="1">
        <v>922.95510000000002</v>
      </c>
      <c r="L410" s="9" t="s">
        <v>283</v>
      </c>
      <c r="M410" s="2">
        <v>6.52</v>
      </c>
      <c r="N410" s="4">
        <v>5958.54</v>
      </c>
      <c r="O410" s="1">
        <v>8.938679682251065</v>
      </c>
      <c r="P410" s="6">
        <v>50.4</v>
      </c>
      <c r="Q410" s="6">
        <v>27.1</v>
      </c>
      <c r="R410" s="6">
        <v>10.9</v>
      </c>
      <c r="S410" s="6">
        <v>13.1</v>
      </c>
      <c r="T410" s="5">
        <v>2.2000000000000001E-7</v>
      </c>
      <c r="U410" s="1">
        <v>1.6500000000000001E-2</v>
      </c>
      <c r="V410" s="1">
        <v>8.3811</v>
      </c>
    </row>
    <row r="411" spans="1:22" x14ac:dyDescent="0.25">
      <c r="A411" s="1">
        <v>0.98919999999999997</v>
      </c>
      <c r="B411" s="9" t="s">
        <v>1777</v>
      </c>
      <c r="C411" s="2">
        <v>5573</v>
      </c>
      <c r="D411" s="2" t="s">
        <v>645</v>
      </c>
      <c r="E411" s="9" t="s">
        <v>646</v>
      </c>
      <c r="F411" s="9" t="s">
        <v>647</v>
      </c>
      <c r="G411" s="1">
        <v>1601.8516999999999</v>
      </c>
      <c r="H411" s="2">
        <v>854</v>
      </c>
      <c r="I411" s="2">
        <v>2</v>
      </c>
      <c r="J411" s="1">
        <v>1601.8722</v>
      </c>
      <c r="K411" s="1">
        <v>801.93309999999997</v>
      </c>
      <c r="L411" s="9" t="s">
        <v>118</v>
      </c>
      <c r="M411" s="2">
        <v>6.21</v>
      </c>
      <c r="N411" s="4">
        <v>5975.54</v>
      </c>
      <c r="O411" s="1">
        <v>12.78161482547609</v>
      </c>
      <c r="P411" s="6">
        <v>41.4</v>
      </c>
      <c r="Q411" s="6">
        <v>29.3</v>
      </c>
      <c r="R411" s="6">
        <v>11.5</v>
      </c>
      <c r="S411" s="6">
        <v>8.6999999999999993</v>
      </c>
      <c r="T411" s="5">
        <v>5.4000000000000003E-3</v>
      </c>
      <c r="U411" s="1">
        <v>2.0500000000000001E-2</v>
      </c>
      <c r="V411" s="1">
        <v>3.7645</v>
      </c>
    </row>
    <row r="412" spans="1:22" x14ac:dyDescent="0.25">
      <c r="A412" s="1">
        <v>0.99460000000000004</v>
      </c>
      <c r="B412" s="9" t="s">
        <v>1778</v>
      </c>
      <c r="C412" s="2">
        <v>5574</v>
      </c>
      <c r="D412" s="2" t="s">
        <v>423</v>
      </c>
      <c r="E412" s="9" t="s">
        <v>649</v>
      </c>
      <c r="F412" s="9" t="s">
        <v>650</v>
      </c>
      <c r="G412" s="1">
        <v>1519.7597000000001</v>
      </c>
      <c r="H412" s="2">
        <v>855</v>
      </c>
      <c r="I412" s="2">
        <v>2</v>
      </c>
      <c r="J412" s="1">
        <v>1519.7896000000001</v>
      </c>
      <c r="K412" s="1">
        <v>760.88710000000003</v>
      </c>
      <c r="L412" s="9" t="s">
        <v>296</v>
      </c>
      <c r="M412" s="2">
        <v>4.32</v>
      </c>
      <c r="N412" s="4">
        <v>6009.14</v>
      </c>
      <c r="O412" s="1">
        <v>19.648118623643374</v>
      </c>
      <c r="P412" s="6">
        <v>40.5</v>
      </c>
      <c r="Q412" s="6">
        <v>25.4</v>
      </c>
      <c r="R412" s="6">
        <v>12.6</v>
      </c>
      <c r="S412" s="6">
        <v>10.199999999999999</v>
      </c>
      <c r="T412" s="5">
        <v>9.5E-4</v>
      </c>
      <c r="U412" s="1">
        <v>2.9899999999999999E-2</v>
      </c>
      <c r="V412" s="1">
        <v>5.1426999999999996</v>
      </c>
    </row>
    <row r="413" spans="1:22" x14ac:dyDescent="0.25">
      <c r="A413" s="1">
        <v>0.99809999999999999</v>
      </c>
      <c r="B413" s="9" t="s">
        <v>1779</v>
      </c>
      <c r="C413" s="2">
        <v>5576</v>
      </c>
      <c r="D413" s="2" t="s">
        <v>270</v>
      </c>
      <c r="E413" s="9" t="s">
        <v>1703</v>
      </c>
      <c r="F413" s="9" t="s">
        <v>860</v>
      </c>
      <c r="G413" s="1">
        <v>1581.8547000000001</v>
      </c>
      <c r="H413" s="2">
        <v>1289</v>
      </c>
      <c r="I413" s="2">
        <v>2</v>
      </c>
      <c r="J413" s="1">
        <v>1581.867</v>
      </c>
      <c r="K413" s="1">
        <v>791.93460000000005</v>
      </c>
      <c r="L413" s="9" t="s">
        <v>673</v>
      </c>
      <c r="M413" s="2">
        <v>6</v>
      </c>
      <c r="N413" s="4">
        <v>6276.74</v>
      </c>
      <c r="O413" s="1">
        <v>7.7657927813736141</v>
      </c>
      <c r="P413" s="6">
        <v>45.6</v>
      </c>
      <c r="Q413" s="6">
        <v>26.7</v>
      </c>
      <c r="R413" s="6">
        <v>13.5</v>
      </c>
      <c r="S413" s="6">
        <v>11</v>
      </c>
      <c r="T413" s="5">
        <v>2.1000000000000001E-4</v>
      </c>
      <c r="U413" s="1">
        <v>1.23E-2</v>
      </c>
      <c r="V413" s="1">
        <v>5.7935999999999996</v>
      </c>
    </row>
    <row r="414" spans="1:22" x14ac:dyDescent="0.25">
      <c r="A414" s="1">
        <v>0.99519999999999997</v>
      </c>
      <c r="B414" s="9" t="s">
        <v>1780</v>
      </c>
      <c r="C414" s="2">
        <v>5578</v>
      </c>
      <c r="D414" s="2" t="s">
        <v>331</v>
      </c>
      <c r="E414" s="9" t="s">
        <v>1707</v>
      </c>
      <c r="F414" s="9" t="s">
        <v>860</v>
      </c>
      <c r="G414" s="1">
        <v>1439.7807</v>
      </c>
      <c r="H414" s="2">
        <v>1290</v>
      </c>
      <c r="I414" s="2">
        <v>2</v>
      </c>
      <c r="J414" s="1">
        <v>1439.8215</v>
      </c>
      <c r="K414" s="1">
        <v>720.89760000000001</v>
      </c>
      <c r="L414" s="9" t="s">
        <v>673</v>
      </c>
      <c r="M414" s="2">
        <v>6</v>
      </c>
      <c r="N414" s="4">
        <v>6313.24</v>
      </c>
      <c r="O414" s="1">
        <v>28.29805509131949</v>
      </c>
      <c r="P414" s="6">
        <v>41.4</v>
      </c>
      <c r="Q414" s="6">
        <v>27.2</v>
      </c>
      <c r="R414" s="6">
        <v>11.9</v>
      </c>
      <c r="S414" s="6">
        <v>12.8</v>
      </c>
      <c r="T414" s="5">
        <v>2.3E-3</v>
      </c>
      <c r="U414" s="1">
        <v>4.0800000000000003E-2</v>
      </c>
      <c r="V414" s="1">
        <v>4.7900999999999998</v>
      </c>
    </row>
    <row r="415" spans="1:22" x14ac:dyDescent="0.25">
      <c r="A415" s="1">
        <v>0.99990000000000001</v>
      </c>
      <c r="B415" s="9" t="s">
        <v>1781</v>
      </c>
      <c r="C415" s="2">
        <v>5579</v>
      </c>
      <c r="D415" s="2" t="s">
        <v>1782</v>
      </c>
      <c r="E415" s="9" t="s">
        <v>1721</v>
      </c>
      <c r="F415" s="9" t="s">
        <v>672</v>
      </c>
      <c r="G415" s="1">
        <v>2870.5327000000002</v>
      </c>
      <c r="H415" s="2">
        <v>859</v>
      </c>
      <c r="I415" s="2">
        <v>3</v>
      </c>
      <c r="J415" s="1">
        <v>2870.6282999999999</v>
      </c>
      <c r="K415" s="1">
        <v>957.85149999999999</v>
      </c>
      <c r="L415" s="9" t="s">
        <v>673</v>
      </c>
      <c r="M415" s="2">
        <v>6.3</v>
      </c>
      <c r="N415" s="4">
        <v>6428.49</v>
      </c>
      <c r="O415" s="1">
        <v>33.268900937845444</v>
      </c>
      <c r="P415" s="6">
        <v>48.9</v>
      </c>
      <c r="Q415" s="6">
        <v>23.9</v>
      </c>
      <c r="R415" s="6">
        <v>12.1</v>
      </c>
      <c r="S415" s="6">
        <v>9.9</v>
      </c>
      <c r="T415" s="5">
        <v>2.4999999999999999E-7</v>
      </c>
      <c r="U415" s="1">
        <v>9.5600000000000004E-2</v>
      </c>
      <c r="V415" s="1">
        <v>8.1678999999999995</v>
      </c>
    </row>
    <row r="416" spans="1:22" x14ac:dyDescent="0.25">
      <c r="A416" s="1">
        <v>0.99380000000000002</v>
      </c>
      <c r="B416" s="9" t="s">
        <v>1783</v>
      </c>
      <c r="C416" s="2">
        <v>5581</v>
      </c>
      <c r="D416" s="2" t="s">
        <v>1236</v>
      </c>
      <c r="E416" s="9" t="s">
        <v>1729</v>
      </c>
      <c r="F416" s="9" t="s">
        <v>860</v>
      </c>
      <c r="G416" s="1">
        <v>1986.0607</v>
      </c>
      <c r="H416" s="2">
        <v>1291</v>
      </c>
      <c r="I416" s="2">
        <v>2</v>
      </c>
      <c r="J416" s="1">
        <v>1986.0925999999999</v>
      </c>
      <c r="K416" s="1">
        <v>994.0376</v>
      </c>
      <c r="L416" s="9" t="s">
        <v>673</v>
      </c>
      <c r="M416" s="2">
        <v>6</v>
      </c>
      <c r="N416" s="4">
        <v>6796.99</v>
      </c>
      <c r="O416" s="1">
        <v>16.045670707023557</v>
      </c>
      <c r="P416" s="6">
        <v>41</v>
      </c>
      <c r="Q416" s="6">
        <v>26.3</v>
      </c>
      <c r="R416" s="6">
        <v>13.5</v>
      </c>
      <c r="S416" s="6">
        <v>7.1</v>
      </c>
      <c r="T416" s="5">
        <v>5.6999999999999998E-4</v>
      </c>
      <c r="U416" s="1">
        <v>3.1899999999999998E-2</v>
      </c>
      <c r="V416" s="1">
        <v>4.5692000000000004</v>
      </c>
    </row>
    <row r="417" spans="1:22" x14ac:dyDescent="0.25">
      <c r="A417" s="1">
        <v>0.98860000000000003</v>
      </c>
      <c r="B417" s="9" t="s">
        <v>1784</v>
      </c>
      <c r="C417" s="2">
        <v>5582</v>
      </c>
      <c r="D417" s="2" t="s">
        <v>630</v>
      </c>
      <c r="E417" s="9" t="s">
        <v>1731</v>
      </c>
      <c r="F417" s="9" t="s">
        <v>1732</v>
      </c>
      <c r="G417" s="1">
        <v>1898.9337</v>
      </c>
      <c r="H417" s="2">
        <v>1292</v>
      </c>
      <c r="I417" s="2">
        <v>2</v>
      </c>
      <c r="J417" s="1">
        <v>1898.9518</v>
      </c>
      <c r="K417" s="1">
        <v>950.47410000000002</v>
      </c>
      <c r="L417" s="9" t="s">
        <v>1733</v>
      </c>
      <c r="M417" s="2">
        <v>4.32</v>
      </c>
      <c r="N417" s="4">
        <v>6827.09</v>
      </c>
      <c r="O417" s="1">
        <v>9.5215640278888198</v>
      </c>
      <c r="P417" s="6">
        <v>38.799999999999997</v>
      </c>
      <c r="Q417" s="6">
        <v>26</v>
      </c>
      <c r="R417" s="6">
        <v>11.9</v>
      </c>
      <c r="S417" s="6">
        <v>8.4</v>
      </c>
      <c r="T417" s="5">
        <v>3.8E-3</v>
      </c>
      <c r="U417" s="1">
        <v>1.8100000000000002E-2</v>
      </c>
      <c r="V417" s="1">
        <v>4.0651000000000002</v>
      </c>
    </row>
    <row r="418" spans="1:22" x14ac:dyDescent="0.25">
      <c r="A418" s="1">
        <v>0.99780000000000002</v>
      </c>
      <c r="B418" s="9" t="s">
        <v>1785</v>
      </c>
      <c r="C418" s="2">
        <v>5583</v>
      </c>
      <c r="D418" s="2" t="s">
        <v>645</v>
      </c>
      <c r="E418" s="9" t="s">
        <v>1740</v>
      </c>
      <c r="F418" s="9" t="s">
        <v>1083</v>
      </c>
      <c r="G418" s="1">
        <v>1783.8996999999999</v>
      </c>
      <c r="H418" s="2">
        <v>234</v>
      </c>
      <c r="I418" s="2">
        <v>2</v>
      </c>
      <c r="J418" s="1">
        <v>1784.1208999999999</v>
      </c>
      <c r="K418" s="1">
        <v>892.95709999999997</v>
      </c>
      <c r="L418" s="9" t="s">
        <v>1084</v>
      </c>
      <c r="M418" s="2">
        <v>5.47</v>
      </c>
      <c r="N418" s="4">
        <v>7157.79</v>
      </c>
      <c r="O418" s="1">
        <v>123.85813383420101</v>
      </c>
      <c r="P418" s="6">
        <v>42.4</v>
      </c>
      <c r="Q418" s="6">
        <v>28.4</v>
      </c>
      <c r="R418" s="6">
        <v>11.1</v>
      </c>
      <c r="S418" s="6">
        <v>10</v>
      </c>
      <c r="T418" s="5">
        <v>2.9999999999999997E-4</v>
      </c>
      <c r="U418" s="1">
        <v>0.22120000000000001</v>
      </c>
      <c r="V418" s="1">
        <v>5.1151999999999997</v>
      </c>
    </row>
  </sheetData>
  <mergeCells count="1">
    <mergeCell ref="A2:I2"/>
  </mergeCells>
  <phoneticPr fontId="21" type="noConversion"/>
  <hyperlinks>
    <hyperlink ref="J1" location="'Supplementary Table 2'!A1" display="back to index"/>
  </hyperlinks>
  <pageMargins left="0.39000000000000007" right="0.39000000000000007" top="0.39000000000000007" bottom="0.39000000000000007" header="0" footer="0"/>
  <pageSetup orientation="landscape" r:id="rId1"/>
  <ignoredErrors>
    <ignoredError sqref="A5:N418 A4:N4 P4:V4 P5:V418" twoDigitTextYear="1"/>
  </ignoredErrors>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84"/>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1"/>
    <col min="16" max="19" width="15.7109375" style="6"/>
    <col min="20" max="20" width="15.7109375" style="5"/>
    <col min="21" max="22" width="15.7109375" style="1"/>
    <col min="23" max="16384" width="15.7109375" style="2"/>
  </cols>
  <sheetData>
    <row r="1" spans="1:22" ht="15" customHeight="1" x14ac:dyDescent="0.25">
      <c r="A1" s="12" t="s">
        <v>5397</v>
      </c>
      <c r="J1" s="26" t="s">
        <v>5405</v>
      </c>
    </row>
    <row r="2" spans="1:22" s="21" customFormat="1" ht="90" customHeight="1" x14ac:dyDescent="0.25">
      <c r="A2" s="34" t="s">
        <v>5384</v>
      </c>
      <c r="B2" s="34"/>
      <c r="C2" s="34"/>
      <c r="D2" s="34"/>
      <c r="E2" s="34"/>
      <c r="F2" s="34"/>
      <c r="G2" s="34"/>
      <c r="H2" s="34"/>
      <c r="I2" s="34"/>
      <c r="N2" s="22"/>
      <c r="O2" s="1"/>
      <c r="P2" s="23"/>
      <c r="Q2" s="23"/>
      <c r="R2" s="23"/>
      <c r="S2" s="23"/>
      <c r="T2" s="24"/>
      <c r="U2" s="25"/>
      <c r="V2" s="25"/>
    </row>
    <row r="3" spans="1:22" s="8" customFormat="1" ht="45" x14ac:dyDescent="0.25">
      <c r="A3" s="7" t="str">
        <f>'MMP1-G'!A3</f>
        <v>probability</v>
      </c>
      <c r="B3" s="7" t="str">
        <f>'MMP1-G'!B3</f>
        <v>spectrum</v>
      </c>
      <c r="C3" s="7" t="str">
        <f>'MMP1-G'!C3</f>
        <v>start scan</v>
      </c>
      <c r="D3" s="7" t="str">
        <f>'MMP1-G'!D3</f>
        <v>ions</v>
      </c>
      <c r="E3" s="7" t="str">
        <f>'MMP1-G'!E3</f>
        <v>peptide</v>
      </c>
      <c r="F3" s="7" t="str">
        <f>'MMP1-G'!F3</f>
        <v>protein</v>
      </c>
      <c r="G3" s="7" t="str">
        <f>'MMP1-G'!G3</f>
        <v>calculated neutral
peptide mass</v>
      </c>
      <c r="H3" s="7" t="str">
        <f>'MMP1-G'!H3</f>
        <v>index</v>
      </c>
      <c r="I3" s="7" t="str">
        <f>'MMP1-G'!I3</f>
        <v>assumed charge</v>
      </c>
      <c r="J3" s="7" t="str">
        <f>'MMP1-G'!J3</f>
        <v>precursor neutral mass</v>
      </c>
      <c r="K3" s="7" t="str">
        <f>'MMP1-G'!K3</f>
        <v>m/z ratio</v>
      </c>
      <c r="L3" s="7" t="str">
        <f>'MMP1-G'!L3</f>
        <v>protein description</v>
      </c>
      <c r="M3" s="7" t="str">
        <f>'MMP1-G'!M3</f>
        <v>pI</v>
      </c>
      <c r="N3" s="7" t="str">
        <f>'MMP1-G'!N3</f>
        <v>retention
time (sec)</v>
      </c>
      <c r="O3" s="7" t="str">
        <f>'MMP1-G'!O3</f>
        <v>ppm</v>
      </c>
      <c r="P3" s="7" t="str">
        <f>'MMP1-G'!P3</f>
        <v>hyperscore</v>
      </c>
      <c r="Q3" s="7" t="str">
        <f>'MMP1-G'!Q3</f>
        <v>nextscore</v>
      </c>
      <c r="R3" s="7" t="str">
        <f>'MMP1-G'!R3</f>
        <v>bscore</v>
      </c>
      <c r="S3" s="7" t="str">
        <f>'MMP1-G'!S3</f>
        <v>yscore</v>
      </c>
      <c r="T3" s="7" t="str">
        <f>'MMP1-G'!T3</f>
        <v>expect</v>
      </c>
      <c r="U3" s="7" t="str">
        <f>'MMP1-G'!U3</f>
        <v>mass diff</v>
      </c>
      <c r="V3" s="7" t="str">
        <f>'MMP1-G'!V3</f>
        <v>fval</v>
      </c>
    </row>
    <row r="4" spans="1:22" x14ac:dyDescent="0.25">
      <c r="A4" s="1">
        <v>0.98929999999999996</v>
      </c>
      <c r="B4" s="9" t="s">
        <v>1786</v>
      </c>
      <c r="C4" s="2">
        <v>1336</v>
      </c>
      <c r="D4" s="3" t="s">
        <v>1787</v>
      </c>
      <c r="E4" s="9" t="s">
        <v>1788</v>
      </c>
      <c r="F4" s="9" t="s">
        <v>1789</v>
      </c>
      <c r="G4" s="1">
        <v>2772.3827000000001</v>
      </c>
      <c r="H4" s="2">
        <v>262</v>
      </c>
      <c r="I4" s="2">
        <v>4</v>
      </c>
      <c r="J4" s="1">
        <v>2772.4139</v>
      </c>
      <c r="K4" s="1">
        <v>694.10299999999995</v>
      </c>
      <c r="L4" s="9" t="s">
        <v>898</v>
      </c>
      <c r="M4" s="2">
        <v>10</v>
      </c>
      <c r="N4" s="4">
        <v>1413.34</v>
      </c>
      <c r="O4" s="1">
        <v>11.237525266422995</v>
      </c>
      <c r="P4" s="6">
        <v>30.2</v>
      </c>
      <c r="Q4" s="6">
        <v>18.7</v>
      </c>
      <c r="R4" s="6">
        <v>7.2</v>
      </c>
      <c r="S4" s="6">
        <v>10.1</v>
      </c>
      <c r="T4" s="5">
        <v>1.6000000000000001E-3</v>
      </c>
      <c r="U4" s="1">
        <v>3.1199999999999999E-2</v>
      </c>
      <c r="V4" s="1">
        <v>4.3827999999999996</v>
      </c>
    </row>
    <row r="5" spans="1:22" x14ac:dyDescent="0.25">
      <c r="A5" s="1">
        <v>0.99970000000000003</v>
      </c>
      <c r="B5" s="9" t="s">
        <v>1790</v>
      </c>
      <c r="C5" s="2">
        <v>1359</v>
      </c>
      <c r="D5" s="3" t="s">
        <v>384</v>
      </c>
      <c r="E5" s="9" t="s">
        <v>16</v>
      </c>
      <c r="F5" s="9" t="s">
        <v>17</v>
      </c>
      <c r="G5" s="1">
        <v>1509.7827</v>
      </c>
      <c r="H5" s="2">
        <v>263</v>
      </c>
      <c r="I5" s="2">
        <v>3</v>
      </c>
      <c r="J5" s="1">
        <v>1509.7843</v>
      </c>
      <c r="K5" s="1">
        <v>504.26819999999998</v>
      </c>
      <c r="L5" s="9" t="s">
        <v>18</v>
      </c>
      <c r="M5" s="2">
        <v>6.77</v>
      </c>
      <c r="N5" s="4">
        <v>1455.34</v>
      </c>
      <c r="O5" s="1">
        <v>1.0576382435643046</v>
      </c>
      <c r="P5" s="6">
        <v>36.299999999999997</v>
      </c>
      <c r="Q5" s="6">
        <v>24.3</v>
      </c>
      <c r="R5" s="6">
        <v>13.7</v>
      </c>
      <c r="S5" s="6">
        <v>11.5</v>
      </c>
      <c r="T5" s="5">
        <v>1.6E-2</v>
      </c>
      <c r="U5" s="1">
        <v>1.6000000000000001E-3</v>
      </c>
      <c r="V5" s="1">
        <v>4.3274999999999997</v>
      </c>
    </row>
    <row r="6" spans="1:22" x14ac:dyDescent="0.25">
      <c r="A6" s="1">
        <v>0.99950000000000006</v>
      </c>
      <c r="B6" s="9" t="s">
        <v>1791</v>
      </c>
      <c r="C6" s="2">
        <v>1360</v>
      </c>
      <c r="D6" s="3" t="s">
        <v>384</v>
      </c>
      <c r="E6" s="9" t="s">
        <v>21</v>
      </c>
      <c r="F6" s="9" t="s">
        <v>22</v>
      </c>
      <c r="G6" s="1">
        <v>1525.7775999999999</v>
      </c>
      <c r="H6" s="2">
        <v>264</v>
      </c>
      <c r="I6" s="2">
        <v>3</v>
      </c>
      <c r="J6" s="1">
        <v>1525.7788</v>
      </c>
      <c r="K6" s="1">
        <v>509.59980000000002</v>
      </c>
      <c r="L6" s="9" t="s">
        <v>23</v>
      </c>
      <c r="M6" s="2">
        <v>6.77</v>
      </c>
      <c r="N6" s="4">
        <v>1455.34</v>
      </c>
      <c r="O6" s="1">
        <v>0.78492966441509582</v>
      </c>
      <c r="P6" s="6">
        <v>36.799999999999997</v>
      </c>
      <c r="Q6" s="6">
        <v>27</v>
      </c>
      <c r="R6" s="6">
        <v>13.7</v>
      </c>
      <c r="S6" s="6">
        <v>11.3</v>
      </c>
      <c r="T6" s="5">
        <v>1.7000000000000001E-2</v>
      </c>
      <c r="U6" s="1">
        <v>1.1999999999999999E-3</v>
      </c>
      <c r="V6" s="1">
        <v>3.9373</v>
      </c>
    </row>
    <row r="7" spans="1:22" x14ac:dyDescent="0.25">
      <c r="A7" s="1">
        <v>0.99770000000000003</v>
      </c>
      <c r="B7" s="9" t="s">
        <v>1792</v>
      </c>
      <c r="C7" s="2">
        <v>1367</v>
      </c>
      <c r="D7" s="3" t="s">
        <v>1793</v>
      </c>
      <c r="E7" s="9" t="s">
        <v>1794</v>
      </c>
      <c r="F7" s="9" t="s">
        <v>1795</v>
      </c>
      <c r="G7" s="1">
        <v>2283.1037000000001</v>
      </c>
      <c r="H7" s="2">
        <v>265</v>
      </c>
      <c r="I7" s="2">
        <v>4</v>
      </c>
      <c r="J7" s="1">
        <v>2283.1215000000002</v>
      </c>
      <c r="K7" s="1">
        <v>571.78319999999997</v>
      </c>
      <c r="L7" s="9" t="s">
        <v>678</v>
      </c>
      <c r="M7" s="2">
        <v>8.86</v>
      </c>
      <c r="N7" s="4">
        <v>1470.04</v>
      </c>
      <c r="O7" s="1">
        <v>7.7826700749514863</v>
      </c>
      <c r="P7" s="6">
        <v>34.5</v>
      </c>
      <c r="Q7" s="6">
        <v>21.8</v>
      </c>
      <c r="R7" s="6">
        <v>11.4</v>
      </c>
      <c r="S7" s="6">
        <v>13.5</v>
      </c>
      <c r="T7" s="5">
        <v>3.7000000000000002E-3</v>
      </c>
      <c r="U7" s="1">
        <v>1.78E-2</v>
      </c>
      <c r="V7" s="1">
        <v>4.5749000000000004</v>
      </c>
    </row>
    <row r="8" spans="1:22" x14ac:dyDescent="0.25">
      <c r="A8" s="1">
        <v>0.99860000000000004</v>
      </c>
      <c r="B8" s="9" t="s">
        <v>1796</v>
      </c>
      <c r="C8" s="2">
        <v>1371</v>
      </c>
      <c r="D8" s="3" t="s">
        <v>1797</v>
      </c>
      <c r="E8" s="9" t="s">
        <v>1798</v>
      </c>
      <c r="F8" s="9" t="s">
        <v>1799</v>
      </c>
      <c r="G8" s="1">
        <v>1747.0177000000001</v>
      </c>
      <c r="H8" s="2">
        <v>656</v>
      </c>
      <c r="I8" s="2">
        <v>4</v>
      </c>
      <c r="J8" s="1">
        <v>1747.0341000000001</v>
      </c>
      <c r="K8" s="1">
        <v>437.76170000000002</v>
      </c>
      <c r="L8" s="9" t="s">
        <v>1800</v>
      </c>
      <c r="M8" s="2">
        <v>10.48</v>
      </c>
      <c r="N8" s="4">
        <v>1477.39</v>
      </c>
      <c r="O8" s="1">
        <v>9.3658262017896963</v>
      </c>
      <c r="P8" s="6">
        <v>38.299999999999997</v>
      </c>
      <c r="Q8" s="6">
        <v>27.6</v>
      </c>
      <c r="R8" s="6">
        <v>10.4</v>
      </c>
      <c r="S8" s="6">
        <v>12.5</v>
      </c>
      <c r="T8" s="5">
        <v>3.0999999999999999E-3</v>
      </c>
      <c r="U8" s="1">
        <v>1.6400000000000001E-2</v>
      </c>
      <c r="V8" s="1">
        <v>4.6256000000000004</v>
      </c>
    </row>
    <row r="9" spans="1:22" x14ac:dyDescent="0.25">
      <c r="A9" s="1">
        <v>0.99590000000000001</v>
      </c>
      <c r="B9" s="9" t="s">
        <v>1801</v>
      </c>
      <c r="C9" s="2">
        <v>1375</v>
      </c>
      <c r="D9" s="3" t="s">
        <v>20</v>
      </c>
      <c r="E9" s="9" t="s">
        <v>1802</v>
      </c>
      <c r="F9" s="9" t="s">
        <v>1170</v>
      </c>
      <c r="G9" s="1">
        <v>1508.7483999999999</v>
      </c>
      <c r="H9" s="2">
        <v>266</v>
      </c>
      <c r="I9" s="2">
        <v>3</v>
      </c>
      <c r="J9" s="1">
        <v>1508.7582</v>
      </c>
      <c r="K9" s="1">
        <v>503.92340000000002</v>
      </c>
      <c r="L9" s="9" t="s">
        <v>1171</v>
      </c>
      <c r="M9" s="2">
        <v>8.75</v>
      </c>
      <c r="N9" s="4">
        <v>1484.74</v>
      </c>
      <c r="O9" s="1">
        <v>6.48246671352564</v>
      </c>
      <c r="P9" s="6">
        <v>32.299999999999997</v>
      </c>
      <c r="Q9" s="6">
        <v>24</v>
      </c>
      <c r="R9" s="6">
        <v>12.1</v>
      </c>
      <c r="S9" s="6">
        <v>11.4</v>
      </c>
      <c r="T9" s="5">
        <v>5.5999999999999999E-3</v>
      </c>
      <c r="U9" s="1">
        <v>9.7999999999999997E-3</v>
      </c>
      <c r="V9" s="1">
        <v>4.5015000000000001</v>
      </c>
    </row>
    <row r="10" spans="1:22" x14ac:dyDescent="0.25">
      <c r="A10" s="1">
        <v>0.996</v>
      </c>
      <c r="B10" s="9" t="s">
        <v>1803</v>
      </c>
      <c r="C10" s="2">
        <v>1383</v>
      </c>
      <c r="D10" s="3" t="s">
        <v>1804</v>
      </c>
      <c r="E10" s="9" t="s">
        <v>1805</v>
      </c>
      <c r="F10" s="9" t="s">
        <v>1799</v>
      </c>
      <c r="G10" s="1">
        <v>1962.1084000000001</v>
      </c>
      <c r="H10" s="2">
        <v>658</v>
      </c>
      <c r="I10" s="2">
        <v>4</v>
      </c>
      <c r="J10" s="1">
        <v>1962.1146000000001</v>
      </c>
      <c r="K10" s="1">
        <v>491.53440000000001</v>
      </c>
      <c r="L10" s="9" t="s">
        <v>1800</v>
      </c>
      <c r="M10" s="2">
        <v>10.48</v>
      </c>
      <c r="N10" s="4">
        <v>1499.44</v>
      </c>
      <c r="O10" s="1">
        <v>3.1533906884238414</v>
      </c>
      <c r="P10" s="6">
        <v>44.3</v>
      </c>
      <c r="Q10" s="6">
        <v>33.5</v>
      </c>
      <c r="R10" s="6">
        <v>11.6</v>
      </c>
      <c r="S10" s="6">
        <v>12.8</v>
      </c>
      <c r="T10" s="5">
        <v>3.5999999999999999E-3</v>
      </c>
      <c r="U10" s="1">
        <v>6.1999999999999998E-3</v>
      </c>
      <c r="V10" s="1">
        <v>4.0018000000000002</v>
      </c>
    </row>
    <row r="11" spans="1:22" x14ac:dyDescent="0.25">
      <c r="A11" s="1">
        <v>0.99560000000000004</v>
      </c>
      <c r="B11" s="9" t="s">
        <v>1806</v>
      </c>
      <c r="C11" s="2">
        <v>1419</v>
      </c>
      <c r="D11" s="3" t="s">
        <v>128</v>
      </c>
      <c r="E11" s="9" t="s">
        <v>1807</v>
      </c>
      <c r="F11" s="9" t="s">
        <v>43</v>
      </c>
      <c r="G11" s="1">
        <v>1351.7607</v>
      </c>
      <c r="H11" s="2">
        <v>269</v>
      </c>
      <c r="I11" s="2">
        <v>3</v>
      </c>
      <c r="J11" s="1">
        <v>1351.7731000000001</v>
      </c>
      <c r="K11" s="1">
        <v>451.5942</v>
      </c>
      <c r="L11" s="9" t="s">
        <v>44</v>
      </c>
      <c r="M11" s="2">
        <v>9.6999999999999993</v>
      </c>
      <c r="N11" s="4">
        <v>1565.6</v>
      </c>
      <c r="O11" s="1">
        <v>9.1527600073989746</v>
      </c>
      <c r="P11" s="6">
        <v>26</v>
      </c>
      <c r="Q11" s="6">
        <v>17.3</v>
      </c>
      <c r="R11" s="6">
        <v>8</v>
      </c>
      <c r="S11" s="6">
        <v>10.7</v>
      </c>
      <c r="T11" s="5">
        <v>2.4E-2</v>
      </c>
      <c r="U11" s="1">
        <v>1.24E-2</v>
      </c>
      <c r="V11" s="1">
        <v>4.4668999999999999</v>
      </c>
    </row>
    <row r="12" spans="1:22" x14ac:dyDescent="0.25">
      <c r="A12" s="1">
        <v>0.99939999999999996</v>
      </c>
      <c r="B12" s="9" t="s">
        <v>1808</v>
      </c>
      <c r="C12" s="2">
        <v>1427</v>
      </c>
      <c r="D12" s="3" t="s">
        <v>38</v>
      </c>
      <c r="E12" s="9" t="s">
        <v>1809</v>
      </c>
      <c r="F12" s="9" t="s">
        <v>211</v>
      </c>
      <c r="G12" s="1">
        <v>1573.865</v>
      </c>
      <c r="H12" s="2">
        <v>631</v>
      </c>
      <c r="I12" s="2">
        <v>3</v>
      </c>
      <c r="J12" s="1">
        <v>1573.8606</v>
      </c>
      <c r="K12" s="1">
        <v>525.62890000000004</v>
      </c>
      <c r="L12" s="9" t="s">
        <v>212</v>
      </c>
      <c r="M12" s="2">
        <v>9.11</v>
      </c>
      <c r="N12" s="4">
        <v>1582.4</v>
      </c>
      <c r="O12" s="1">
        <v>-2.7903082700868742</v>
      </c>
      <c r="P12" s="6">
        <v>34.4</v>
      </c>
      <c r="Q12" s="6">
        <v>27.9</v>
      </c>
      <c r="R12" s="6">
        <v>9.6</v>
      </c>
      <c r="S12" s="6">
        <v>10.5</v>
      </c>
      <c r="T12" s="5">
        <v>2.8E-3</v>
      </c>
      <c r="U12" s="1">
        <v>-4.4000000000000003E-3</v>
      </c>
      <c r="V12" s="1">
        <v>4.6847000000000003</v>
      </c>
    </row>
    <row r="13" spans="1:22" x14ac:dyDescent="0.25">
      <c r="A13" s="1">
        <v>0.99939999999999996</v>
      </c>
      <c r="B13" s="9" t="s">
        <v>1810</v>
      </c>
      <c r="C13" s="2">
        <v>1428</v>
      </c>
      <c r="D13" s="3" t="s">
        <v>278</v>
      </c>
      <c r="E13" s="9" t="s">
        <v>1811</v>
      </c>
      <c r="F13" s="9" t="s">
        <v>1812</v>
      </c>
      <c r="G13" s="1">
        <v>1739.8377</v>
      </c>
      <c r="H13" s="2">
        <v>270</v>
      </c>
      <c r="I13" s="2">
        <v>2</v>
      </c>
      <c r="J13" s="1">
        <v>1739.816</v>
      </c>
      <c r="K13" s="1">
        <v>870.92610000000002</v>
      </c>
      <c r="L13" s="9" t="s">
        <v>1813</v>
      </c>
      <c r="M13" s="2">
        <v>8.75</v>
      </c>
      <c r="N13" s="4">
        <v>1580.3</v>
      </c>
      <c r="O13" s="1">
        <v>-12.458003038374898</v>
      </c>
      <c r="P13" s="6">
        <v>53.6</v>
      </c>
      <c r="Q13" s="6">
        <v>30.7</v>
      </c>
      <c r="R13" s="6">
        <v>10.6</v>
      </c>
      <c r="S13" s="6">
        <v>12.9</v>
      </c>
      <c r="T13" s="5">
        <v>6.9E-6</v>
      </c>
      <c r="U13" s="1">
        <v>-2.1700000000000001E-2</v>
      </c>
      <c r="V13" s="1">
        <v>7.3087999999999997</v>
      </c>
    </row>
    <row r="14" spans="1:22" x14ac:dyDescent="0.25">
      <c r="A14" s="1">
        <v>0.98050000000000004</v>
      </c>
      <c r="B14" s="9" t="s">
        <v>1814</v>
      </c>
      <c r="C14" s="2">
        <v>1444</v>
      </c>
      <c r="D14" s="3" t="s">
        <v>425</v>
      </c>
      <c r="E14" s="9" t="s">
        <v>1815</v>
      </c>
      <c r="F14" s="9" t="s">
        <v>1816</v>
      </c>
      <c r="G14" s="1">
        <v>1255.5867000000001</v>
      </c>
      <c r="H14" s="2">
        <v>512</v>
      </c>
      <c r="I14" s="2">
        <v>2</v>
      </c>
      <c r="J14" s="1">
        <v>1255.5718999999999</v>
      </c>
      <c r="K14" s="1">
        <v>628.80060000000003</v>
      </c>
      <c r="L14" s="9" t="s">
        <v>1817</v>
      </c>
      <c r="M14" s="2">
        <v>5.84</v>
      </c>
      <c r="N14" s="4">
        <v>1613.9</v>
      </c>
      <c r="O14" s="1">
        <v>-11.768436607725883</v>
      </c>
      <c r="P14" s="6">
        <v>32.700000000000003</v>
      </c>
      <c r="Q14" s="6">
        <v>26.2</v>
      </c>
      <c r="R14" s="6">
        <v>10.6</v>
      </c>
      <c r="S14" s="6">
        <v>12.4</v>
      </c>
      <c r="T14" s="5">
        <v>5.3999999999999999E-2</v>
      </c>
      <c r="U14" s="1">
        <v>-1.4800000000000001E-2</v>
      </c>
      <c r="V14" s="1">
        <v>2.6661999999999999</v>
      </c>
    </row>
    <row r="15" spans="1:22" x14ac:dyDescent="0.25">
      <c r="A15" s="1">
        <v>0.99990000000000001</v>
      </c>
      <c r="B15" s="9" t="s">
        <v>1818</v>
      </c>
      <c r="C15" s="2">
        <v>1463</v>
      </c>
      <c r="D15" s="3" t="s">
        <v>779</v>
      </c>
      <c r="E15" s="9" t="s">
        <v>1819</v>
      </c>
      <c r="F15" s="9" t="s">
        <v>1820</v>
      </c>
      <c r="G15" s="1">
        <v>1419.6419000000001</v>
      </c>
      <c r="H15" s="2">
        <v>272</v>
      </c>
      <c r="I15" s="2">
        <v>3</v>
      </c>
      <c r="J15" s="1">
        <v>1419.6518000000001</v>
      </c>
      <c r="K15" s="1">
        <v>474.22120000000001</v>
      </c>
      <c r="L15" s="9" t="s">
        <v>1821</v>
      </c>
      <c r="M15" s="2">
        <v>5.96</v>
      </c>
      <c r="N15" s="4">
        <v>1646.45</v>
      </c>
      <c r="O15" s="1">
        <v>6.9587778867752021</v>
      </c>
      <c r="P15" s="6">
        <v>34.5</v>
      </c>
      <c r="Q15" s="6">
        <v>21.8</v>
      </c>
      <c r="R15" s="6">
        <v>9.4</v>
      </c>
      <c r="S15" s="6">
        <v>10.3</v>
      </c>
      <c r="T15" s="5">
        <v>3.2000000000000002E-3</v>
      </c>
      <c r="U15" s="1">
        <v>9.9000000000000008E-3</v>
      </c>
      <c r="V15" s="1">
        <v>5.8838999999999997</v>
      </c>
    </row>
    <row r="16" spans="1:22" x14ac:dyDescent="0.25">
      <c r="A16" s="1">
        <v>0.99690000000000001</v>
      </c>
      <c r="B16" s="9" t="s">
        <v>1822</v>
      </c>
      <c r="C16" s="2">
        <v>1465</v>
      </c>
      <c r="D16" s="3" t="s">
        <v>245</v>
      </c>
      <c r="E16" s="9" t="s">
        <v>1823</v>
      </c>
      <c r="F16" s="9" t="s">
        <v>1824</v>
      </c>
      <c r="G16" s="1">
        <v>1551.8158000000001</v>
      </c>
      <c r="H16" s="2">
        <v>632</v>
      </c>
      <c r="I16" s="2">
        <v>3</v>
      </c>
      <c r="J16" s="1">
        <v>1551.8178</v>
      </c>
      <c r="K16" s="1">
        <v>518.27919999999995</v>
      </c>
      <c r="L16" s="9" t="s">
        <v>1825</v>
      </c>
      <c r="M16" s="2">
        <v>6.93</v>
      </c>
      <c r="N16" s="4">
        <v>1652.75</v>
      </c>
      <c r="O16" s="1">
        <v>1.286307971970835</v>
      </c>
      <c r="P16" s="6">
        <v>36.1</v>
      </c>
      <c r="Q16" s="6">
        <v>27</v>
      </c>
      <c r="R16" s="6">
        <v>10.9</v>
      </c>
      <c r="S16" s="6">
        <v>10.7</v>
      </c>
      <c r="T16" s="5">
        <v>4.3E-3</v>
      </c>
      <c r="U16" s="1">
        <v>2E-3</v>
      </c>
      <c r="V16" s="1">
        <v>4.8014000000000001</v>
      </c>
    </row>
    <row r="17" spans="1:22" x14ac:dyDescent="0.25">
      <c r="A17" s="1">
        <v>0.98899999999999999</v>
      </c>
      <c r="B17" s="9" t="s">
        <v>1826</v>
      </c>
      <c r="C17" s="2">
        <v>1467</v>
      </c>
      <c r="D17" s="3" t="s">
        <v>1090</v>
      </c>
      <c r="E17" s="9" t="s">
        <v>1827</v>
      </c>
      <c r="F17" s="9" t="s">
        <v>1828</v>
      </c>
      <c r="G17" s="1">
        <v>1974.8207</v>
      </c>
      <c r="H17" s="2">
        <v>273</v>
      </c>
      <c r="I17" s="2">
        <v>3</v>
      </c>
      <c r="J17" s="1">
        <v>1974.8412000000001</v>
      </c>
      <c r="K17" s="1">
        <v>659.2808</v>
      </c>
      <c r="L17" s="9" t="s">
        <v>1829</v>
      </c>
      <c r="M17" s="2">
        <v>8.11</v>
      </c>
      <c r="N17" s="4">
        <v>1653.8</v>
      </c>
      <c r="O17" s="1">
        <v>10.364829877244011</v>
      </c>
      <c r="P17" s="6">
        <v>30.6</v>
      </c>
      <c r="Q17" s="6">
        <v>21</v>
      </c>
      <c r="R17" s="6">
        <v>11.9</v>
      </c>
      <c r="S17" s="6">
        <v>12.8</v>
      </c>
      <c r="T17" s="5">
        <v>5.0000000000000001E-3</v>
      </c>
      <c r="U17" s="1">
        <v>2.0500000000000001E-2</v>
      </c>
      <c r="V17" s="1">
        <v>4.5560999999999998</v>
      </c>
    </row>
    <row r="18" spans="1:22" x14ac:dyDescent="0.25">
      <c r="A18" s="1">
        <v>0.99980000000000002</v>
      </c>
      <c r="B18" s="9" t="s">
        <v>1830</v>
      </c>
      <c r="C18" s="2">
        <v>1472</v>
      </c>
      <c r="D18" s="3" t="s">
        <v>25</v>
      </c>
      <c r="E18" s="9" t="s">
        <v>1831</v>
      </c>
      <c r="F18" s="9" t="s">
        <v>1832</v>
      </c>
      <c r="G18" s="1">
        <v>1306.6663000000001</v>
      </c>
      <c r="H18" s="2">
        <v>274</v>
      </c>
      <c r="I18" s="2">
        <v>3</v>
      </c>
      <c r="J18" s="1">
        <v>1306.6705999999999</v>
      </c>
      <c r="K18" s="1">
        <v>436.56270000000001</v>
      </c>
      <c r="L18" s="9" t="s">
        <v>518</v>
      </c>
      <c r="M18" s="2">
        <v>10.84</v>
      </c>
      <c r="N18" s="4">
        <v>1661.2</v>
      </c>
      <c r="O18" s="1">
        <v>3.2832244562655797</v>
      </c>
      <c r="P18" s="6">
        <v>32.4</v>
      </c>
      <c r="Q18" s="6">
        <v>19.899999999999999</v>
      </c>
      <c r="R18" s="6">
        <v>5.2</v>
      </c>
      <c r="S18" s="6">
        <v>8.1</v>
      </c>
      <c r="T18" s="5">
        <v>4.4000000000000003E-3</v>
      </c>
      <c r="U18" s="1">
        <v>4.3E-3</v>
      </c>
      <c r="V18" s="1">
        <v>6.0717999999999996</v>
      </c>
    </row>
    <row r="19" spans="1:22" x14ac:dyDescent="0.25">
      <c r="A19" s="1">
        <v>0.99550000000000005</v>
      </c>
      <c r="B19" s="9" t="s">
        <v>1833</v>
      </c>
      <c r="C19" s="2">
        <v>1481</v>
      </c>
      <c r="D19" s="3" t="s">
        <v>128</v>
      </c>
      <c r="E19" s="9" t="s">
        <v>1834</v>
      </c>
      <c r="F19" s="9" t="s">
        <v>1835</v>
      </c>
      <c r="G19" s="1">
        <v>1367.6832999999999</v>
      </c>
      <c r="H19" s="2">
        <v>275</v>
      </c>
      <c r="I19" s="2">
        <v>3</v>
      </c>
      <c r="J19" s="1">
        <v>1367.6847</v>
      </c>
      <c r="K19" s="1">
        <v>456.90170000000001</v>
      </c>
      <c r="L19" s="9" t="s">
        <v>1836</v>
      </c>
      <c r="M19" s="2">
        <v>6</v>
      </c>
      <c r="N19" s="4">
        <v>1675.9</v>
      </c>
      <c r="O19" s="1">
        <v>1.0213721390545638</v>
      </c>
      <c r="P19" s="6">
        <v>26.9</v>
      </c>
      <c r="Q19" s="6">
        <v>20.8</v>
      </c>
      <c r="R19" s="6">
        <v>9.9</v>
      </c>
      <c r="S19" s="6">
        <v>7.6</v>
      </c>
      <c r="T19" s="5">
        <v>0.14000000000000001</v>
      </c>
      <c r="U19" s="1">
        <v>1.4E-3</v>
      </c>
      <c r="V19" s="1">
        <v>2.7530999999999999</v>
      </c>
    </row>
    <row r="20" spans="1:22" x14ac:dyDescent="0.25">
      <c r="A20" s="1">
        <v>0.96179999999999999</v>
      </c>
      <c r="B20" s="9" t="s">
        <v>1837</v>
      </c>
      <c r="C20" s="2">
        <v>1515</v>
      </c>
      <c r="D20" s="3" t="s">
        <v>331</v>
      </c>
      <c r="E20" s="9" t="s">
        <v>1838</v>
      </c>
      <c r="F20" s="9" t="s">
        <v>1839</v>
      </c>
      <c r="G20" s="1">
        <v>1461.6657</v>
      </c>
      <c r="H20" s="2">
        <v>871</v>
      </c>
      <c r="I20" s="2">
        <v>2</v>
      </c>
      <c r="J20" s="1">
        <v>1461.6576</v>
      </c>
      <c r="K20" s="1">
        <v>731.84010000000001</v>
      </c>
      <c r="L20" s="9" t="s">
        <v>1840</v>
      </c>
      <c r="M20" s="2">
        <v>4.62</v>
      </c>
      <c r="N20" s="4">
        <v>1744.4</v>
      </c>
      <c r="O20" s="1">
        <v>-5.5339957457920104</v>
      </c>
      <c r="P20" s="6">
        <v>36.299999999999997</v>
      </c>
      <c r="Q20" s="6">
        <v>28.9</v>
      </c>
      <c r="R20" s="6">
        <v>8.6999999999999993</v>
      </c>
      <c r="S20" s="6">
        <v>9.1</v>
      </c>
      <c r="T20" s="5">
        <v>1.7999999999999999E-2</v>
      </c>
      <c r="U20" s="1">
        <v>-8.0999999999999996E-3</v>
      </c>
      <c r="V20" s="1">
        <v>3.1970999999999998</v>
      </c>
    </row>
    <row r="21" spans="1:22" x14ac:dyDescent="0.25">
      <c r="A21" s="1">
        <v>0.99980000000000002</v>
      </c>
      <c r="B21" s="9" t="s">
        <v>1841</v>
      </c>
      <c r="C21" s="2">
        <v>1527</v>
      </c>
      <c r="D21" s="3" t="s">
        <v>1842</v>
      </c>
      <c r="E21" s="9" t="s">
        <v>1843</v>
      </c>
      <c r="F21" s="9" t="s">
        <v>1605</v>
      </c>
      <c r="G21" s="1">
        <v>1937.8687</v>
      </c>
      <c r="H21" s="2">
        <v>668</v>
      </c>
      <c r="I21" s="2">
        <v>3</v>
      </c>
      <c r="J21" s="1">
        <v>1937.8806999999999</v>
      </c>
      <c r="K21" s="1">
        <v>646.96349999999995</v>
      </c>
      <c r="L21" s="9" t="s">
        <v>1606</v>
      </c>
      <c r="M21" s="2">
        <v>6.79</v>
      </c>
      <c r="N21" s="4">
        <v>1764.35</v>
      </c>
      <c r="O21" s="1">
        <v>6.1827290102146417</v>
      </c>
      <c r="P21" s="6">
        <v>47</v>
      </c>
      <c r="Q21" s="6">
        <v>29.5</v>
      </c>
      <c r="R21" s="6">
        <v>12.3</v>
      </c>
      <c r="S21" s="6">
        <v>11.3</v>
      </c>
      <c r="T21" s="5">
        <v>9.2E-6</v>
      </c>
      <c r="U21" s="1">
        <v>1.2E-2</v>
      </c>
      <c r="V21" s="1">
        <v>6.8860999999999999</v>
      </c>
    </row>
    <row r="22" spans="1:22" x14ac:dyDescent="0.25">
      <c r="A22" s="1">
        <v>0.99950000000000006</v>
      </c>
      <c r="B22" s="9" t="s">
        <v>1844</v>
      </c>
      <c r="C22" s="2">
        <v>1539</v>
      </c>
      <c r="D22" s="3" t="s">
        <v>1845</v>
      </c>
      <c r="E22" s="9" t="s">
        <v>1846</v>
      </c>
      <c r="F22" s="9" t="s">
        <v>1847</v>
      </c>
      <c r="G22" s="1">
        <v>1451.5632000000001</v>
      </c>
      <c r="H22" s="2">
        <v>281</v>
      </c>
      <c r="I22" s="2">
        <v>3</v>
      </c>
      <c r="J22" s="1">
        <v>1451.5664999999999</v>
      </c>
      <c r="K22" s="1">
        <v>484.86169999999998</v>
      </c>
      <c r="L22" s="9" t="s">
        <v>1848</v>
      </c>
      <c r="M22" s="2">
        <v>5.21</v>
      </c>
      <c r="N22" s="4">
        <v>1786.4</v>
      </c>
      <c r="O22" s="1">
        <v>2.2686881640682284</v>
      </c>
      <c r="P22" s="6">
        <v>32.4</v>
      </c>
      <c r="Q22" s="6">
        <v>24</v>
      </c>
      <c r="R22" s="6">
        <v>14</v>
      </c>
      <c r="S22" s="6">
        <v>12.4</v>
      </c>
      <c r="T22" s="5">
        <v>2.5999999999999999E-3</v>
      </c>
      <c r="U22" s="1">
        <v>3.3E-3</v>
      </c>
      <c r="V22" s="1">
        <v>5.3526999999999996</v>
      </c>
    </row>
    <row r="23" spans="1:22" x14ac:dyDescent="0.25">
      <c r="A23" s="1">
        <v>0.98750000000000004</v>
      </c>
      <c r="B23" s="9" t="s">
        <v>1849</v>
      </c>
      <c r="C23" s="2">
        <v>1567</v>
      </c>
      <c r="D23" s="3" t="s">
        <v>1850</v>
      </c>
      <c r="E23" s="9" t="s">
        <v>1851</v>
      </c>
      <c r="F23" s="9" t="s">
        <v>860</v>
      </c>
      <c r="G23" s="1">
        <v>1491.7967000000001</v>
      </c>
      <c r="H23" s="2">
        <v>927</v>
      </c>
      <c r="I23" s="2">
        <v>3</v>
      </c>
      <c r="J23" s="1">
        <v>1491.7973999999999</v>
      </c>
      <c r="K23" s="1">
        <v>498.27280000000002</v>
      </c>
      <c r="L23" s="9" t="s">
        <v>673</v>
      </c>
      <c r="M23" s="2">
        <v>9.6999999999999993</v>
      </c>
      <c r="N23" s="4">
        <v>1840.3</v>
      </c>
      <c r="O23" s="1">
        <v>0.4682843079801533</v>
      </c>
      <c r="P23" s="6">
        <v>45.6</v>
      </c>
      <c r="Q23" s="6">
        <v>45.6</v>
      </c>
      <c r="R23" s="6">
        <v>9</v>
      </c>
      <c r="S23" s="6">
        <v>9.9</v>
      </c>
      <c r="T23" s="5">
        <v>3.8000000000000002E-4</v>
      </c>
      <c r="U23" s="1">
        <v>6.9999999999999999E-4</v>
      </c>
      <c r="V23" s="1">
        <v>4.5685000000000002</v>
      </c>
    </row>
    <row r="24" spans="1:22" x14ac:dyDescent="0.25">
      <c r="A24" s="1">
        <v>0.99960000000000004</v>
      </c>
      <c r="B24" s="9" t="s">
        <v>1852</v>
      </c>
      <c r="C24" s="2">
        <v>1568</v>
      </c>
      <c r="D24" s="3" t="s">
        <v>1853</v>
      </c>
      <c r="E24" s="9" t="s">
        <v>1854</v>
      </c>
      <c r="F24" s="9" t="s">
        <v>239</v>
      </c>
      <c r="G24" s="1">
        <v>2010.8925999999999</v>
      </c>
      <c r="H24" s="2">
        <v>928</v>
      </c>
      <c r="I24" s="2">
        <v>3</v>
      </c>
      <c r="J24" s="1">
        <v>2010.8969999999999</v>
      </c>
      <c r="K24" s="1">
        <v>671.3048</v>
      </c>
      <c r="L24" s="9" t="s">
        <v>81</v>
      </c>
      <c r="M24" s="2">
        <v>6.75</v>
      </c>
      <c r="N24" s="4">
        <v>1842.4</v>
      </c>
      <c r="O24" s="1">
        <v>2.1847999100656907</v>
      </c>
      <c r="P24" s="6">
        <v>48.9</v>
      </c>
      <c r="Q24" s="6">
        <v>36.4</v>
      </c>
      <c r="R24" s="6">
        <v>10.8</v>
      </c>
      <c r="S24" s="6">
        <v>9.1999999999999993</v>
      </c>
      <c r="T24" s="5">
        <v>1.1000000000000001E-6</v>
      </c>
      <c r="U24" s="1">
        <v>4.4000000000000003E-3</v>
      </c>
      <c r="V24" s="1">
        <v>7.1402999999999999</v>
      </c>
    </row>
    <row r="25" spans="1:22" x14ac:dyDescent="0.25">
      <c r="A25" s="1">
        <v>0.99950000000000006</v>
      </c>
      <c r="B25" s="9" t="s">
        <v>1855</v>
      </c>
      <c r="C25" s="2">
        <v>1569</v>
      </c>
      <c r="D25" s="3" t="s">
        <v>770</v>
      </c>
      <c r="E25" s="9" t="s">
        <v>1856</v>
      </c>
      <c r="F25" s="9" t="s">
        <v>1857</v>
      </c>
      <c r="G25" s="1">
        <v>1694.8628000000001</v>
      </c>
      <c r="H25" s="2">
        <v>633</v>
      </c>
      <c r="I25" s="2">
        <v>3</v>
      </c>
      <c r="J25" s="1">
        <v>1694.8679</v>
      </c>
      <c r="K25" s="1">
        <v>565.9615</v>
      </c>
      <c r="L25" s="9" t="s">
        <v>1858</v>
      </c>
      <c r="M25" s="2">
        <v>5.58</v>
      </c>
      <c r="N25" s="4">
        <v>1844.5</v>
      </c>
      <c r="O25" s="1">
        <v>3.0037378867643825</v>
      </c>
      <c r="P25" s="6">
        <v>33.200000000000003</v>
      </c>
      <c r="Q25" s="6">
        <v>22.4</v>
      </c>
      <c r="R25" s="6">
        <v>10.9</v>
      </c>
      <c r="S25" s="6">
        <v>10.5</v>
      </c>
      <c r="T25" s="5">
        <v>2.7E-4</v>
      </c>
      <c r="U25" s="1">
        <v>5.1000000000000004E-3</v>
      </c>
      <c r="V25" s="1">
        <v>6.3310000000000004</v>
      </c>
    </row>
    <row r="26" spans="1:22" x14ac:dyDescent="0.25">
      <c r="A26" s="1">
        <v>0.95</v>
      </c>
      <c r="B26" s="9" t="s">
        <v>1859</v>
      </c>
      <c r="C26" s="2">
        <v>1581</v>
      </c>
      <c r="D26" s="3" t="s">
        <v>396</v>
      </c>
      <c r="E26" s="9" t="s">
        <v>1860</v>
      </c>
      <c r="F26" s="9" t="s">
        <v>1861</v>
      </c>
      <c r="G26" s="1">
        <v>1150.5904</v>
      </c>
      <c r="H26" s="2">
        <v>672</v>
      </c>
      <c r="I26" s="2">
        <v>2</v>
      </c>
      <c r="J26" s="1">
        <v>1150.587</v>
      </c>
      <c r="K26" s="1">
        <v>576.30250000000001</v>
      </c>
      <c r="L26" s="9" t="s">
        <v>1556</v>
      </c>
      <c r="M26" s="2">
        <v>8.31</v>
      </c>
      <c r="N26" s="4">
        <v>1860.35</v>
      </c>
      <c r="O26" s="1">
        <v>-2.9498397109157084</v>
      </c>
      <c r="P26" s="6">
        <v>40.6</v>
      </c>
      <c r="Q26" s="6">
        <v>32.6</v>
      </c>
      <c r="R26" s="6">
        <v>5.6</v>
      </c>
      <c r="S26" s="6">
        <v>8.6</v>
      </c>
      <c r="T26" s="5">
        <v>7.2999999999999995E-2</v>
      </c>
      <c r="U26" s="1">
        <v>-3.3999999999999998E-3</v>
      </c>
      <c r="V26" s="1">
        <v>2.8468</v>
      </c>
    </row>
    <row r="27" spans="1:22" x14ac:dyDescent="0.25">
      <c r="A27" s="1">
        <v>1</v>
      </c>
      <c r="B27" s="9" t="s">
        <v>1862</v>
      </c>
      <c r="C27" s="2">
        <v>1591</v>
      </c>
      <c r="D27" s="3" t="s">
        <v>1405</v>
      </c>
      <c r="E27" s="9" t="s">
        <v>1863</v>
      </c>
      <c r="F27" s="9" t="s">
        <v>1864</v>
      </c>
      <c r="G27" s="1">
        <v>1870.9576999999999</v>
      </c>
      <c r="H27" s="2">
        <v>284</v>
      </c>
      <c r="I27" s="2">
        <v>4</v>
      </c>
      <c r="J27" s="1">
        <v>1870.9655</v>
      </c>
      <c r="K27" s="1">
        <v>468.74669999999998</v>
      </c>
      <c r="L27" s="9" t="s">
        <v>1865</v>
      </c>
      <c r="M27" s="2">
        <v>6.77</v>
      </c>
      <c r="N27" s="4">
        <v>1882.55</v>
      </c>
      <c r="O27" s="1">
        <v>4.1600292866061777</v>
      </c>
      <c r="P27" s="6">
        <v>38.9</v>
      </c>
      <c r="Q27" s="6">
        <v>21.5</v>
      </c>
      <c r="R27" s="6">
        <v>0.1</v>
      </c>
      <c r="S27" s="6">
        <v>12.7</v>
      </c>
      <c r="T27" s="5">
        <v>9.2E-5</v>
      </c>
      <c r="U27" s="1">
        <v>7.7999999999999996E-3</v>
      </c>
      <c r="V27" s="1">
        <v>7.3090999999999999</v>
      </c>
    </row>
    <row r="28" spans="1:22" x14ac:dyDescent="0.25">
      <c r="A28" s="1">
        <v>0.99839999999999995</v>
      </c>
      <c r="B28" s="9" t="s">
        <v>1866</v>
      </c>
      <c r="C28" s="2">
        <v>1595</v>
      </c>
      <c r="D28" s="3" t="s">
        <v>154</v>
      </c>
      <c r="E28" s="9" t="s">
        <v>1867</v>
      </c>
      <c r="F28" s="9" t="s">
        <v>1868</v>
      </c>
      <c r="G28" s="1">
        <v>1003.4869</v>
      </c>
      <c r="H28" s="2">
        <v>286</v>
      </c>
      <c r="I28" s="2">
        <v>2</v>
      </c>
      <c r="J28" s="1">
        <v>1003.4926</v>
      </c>
      <c r="K28" s="1">
        <v>502.75069999999999</v>
      </c>
      <c r="L28" s="9" t="s">
        <v>939</v>
      </c>
      <c r="M28" s="2">
        <v>12</v>
      </c>
      <c r="N28" s="4">
        <v>1889.95</v>
      </c>
      <c r="O28" s="1">
        <v>5.6688135889219051</v>
      </c>
      <c r="P28" s="6">
        <v>36.5</v>
      </c>
      <c r="Q28" s="6">
        <v>25.3</v>
      </c>
      <c r="R28" s="6">
        <v>12.5</v>
      </c>
      <c r="S28" s="6">
        <v>11.9</v>
      </c>
      <c r="T28" s="5">
        <v>6.4000000000000003E-3</v>
      </c>
      <c r="U28" s="1">
        <v>5.7000000000000002E-3</v>
      </c>
      <c r="V28" s="1">
        <v>4.7305999999999999</v>
      </c>
    </row>
    <row r="29" spans="1:22" x14ac:dyDescent="0.25">
      <c r="A29" s="1">
        <v>1</v>
      </c>
      <c r="B29" s="9" t="s">
        <v>1869</v>
      </c>
      <c r="C29" s="2">
        <v>1621</v>
      </c>
      <c r="D29" s="3" t="s">
        <v>1870</v>
      </c>
      <c r="E29" s="9" t="s">
        <v>685</v>
      </c>
      <c r="F29" s="9" t="s">
        <v>686</v>
      </c>
      <c r="G29" s="1">
        <v>1699.9145000000001</v>
      </c>
      <c r="H29" s="2">
        <v>290</v>
      </c>
      <c r="I29" s="2">
        <v>3</v>
      </c>
      <c r="J29" s="1">
        <v>1699.9137000000001</v>
      </c>
      <c r="K29" s="1">
        <v>567.6454</v>
      </c>
      <c r="L29" s="9" t="s">
        <v>687</v>
      </c>
      <c r="M29" s="2">
        <v>6.49</v>
      </c>
      <c r="N29" s="4">
        <v>1934.41</v>
      </c>
      <c r="O29" s="1">
        <v>-0.46977684777621148</v>
      </c>
      <c r="P29" s="6">
        <v>48.1</v>
      </c>
      <c r="Q29" s="6">
        <v>29.5</v>
      </c>
      <c r="R29" s="6">
        <v>12.8</v>
      </c>
      <c r="S29" s="6">
        <v>13.7</v>
      </c>
      <c r="T29" s="5">
        <v>4.5000000000000003E-5</v>
      </c>
      <c r="U29" s="1">
        <v>-8.0000000000000004E-4</v>
      </c>
      <c r="V29" s="1">
        <v>7.6169000000000002</v>
      </c>
    </row>
    <row r="30" spans="1:22" x14ac:dyDescent="0.25">
      <c r="A30" s="1">
        <v>0.98029999999999995</v>
      </c>
      <c r="B30" s="9" t="s">
        <v>1871</v>
      </c>
      <c r="C30" s="2">
        <v>1627</v>
      </c>
      <c r="D30" s="3" t="s">
        <v>1872</v>
      </c>
      <c r="E30" s="9" t="s">
        <v>1873</v>
      </c>
      <c r="F30" s="9" t="s">
        <v>851</v>
      </c>
      <c r="G30" s="1">
        <v>1637.8236999999999</v>
      </c>
      <c r="H30" s="2">
        <v>291</v>
      </c>
      <c r="I30" s="2">
        <v>4</v>
      </c>
      <c r="J30" s="1">
        <v>1637.8375000000001</v>
      </c>
      <c r="K30" s="1">
        <v>410.46319999999997</v>
      </c>
      <c r="L30" s="9" t="s">
        <v>852</v>
      </c>
      <c r="M30" s="2">
        <v>6.76</v>
      </c>
      <c r="N30" s="4">
        <v>1949.2</v>
      </c>
      <c r="O30" s="1">
        <v>8.4051383899945247</v>
      </c>
      <c r="P30" s="6">
        <v>32.1</v>
      </c>
      <c r="Q30" s="6">
        <v>26.8</v>
      </c>
      <c r="R30" s="6">
        <v>10.199999999999999</v>
      </c>
      <c r="S30" s="6">
        <v>13.7</v>
      </c>
      <c r="T30" s="5">
        <v>1.4999999999999999E-2</v>
      </c>
      <c r="U30" s="1">
        <v>1.38E-2</v>
      </c>
      <c r="V30" s="1">
        <v>3.4453999999999998</v>
      </c>
    </row>
    <row r="31" spans="1:22" x14ac:dyDescent="0.25">
      <c r="A31" s="1">
        <v>0.97050000000000003</v>
      </c>
      <c r="B31" s="9" t="s">
        <v>1874</v>
      </c>
      <c r="C31" s="2">
        <v>1639</v>
      </c>
      <c r="D31" s="3" t="s">
        <v>1875</v>
      </c>
      <c r="E31" s="9" t="s">
        <v>1139</v>
      </c>
      <c r="F31" s="9" t="s">
        <v>1140</v>
      </c>
      <c r="G31" s="1">
        <v>1432.6946</v>
      </c>
      <c r="H31" s="2">
        <v>292</v>
      </c>
      <c r="I31" s="2">
        <v>3</v>
      </c>
      <c r="J31" s="1">
        <v>1432.694</v>
      </c>
      <c r="K31" s="1">
        <v>478.57209999999998</v>
      </c>
      <c r="L31" s="9" t="s">
        <v>745</v>
      </c>
      <c r="M31" s="2">
        <v>5.51</v>
      </c>
      <c r="N31" s="4">
        <v>1971.41</v>
      </c>
      <c r="O31" s="1">
        <v>-0.41790986143989584</v>
      </c>
      <c r="P31" s="6">
        <v>29.4</v>
      </c>
      <c r="Q31" s="6">
        <v>24.7</v>
      </c>
      <c r="R31" s="6">
        <v>11</v>
      </c>
      <c r="S31" s="6">
        <v>10.9</v>
      </c>
      <c r="T31" s="5">
        <v>0.52</v>
      </c>
      <c r="U31" s="1">
        <v>-5.9999999999999995E-4</v>
      </c>
      <c r="V31" s="1">
        <v>1.5004999999999999</v>
      </c>
    </row>
    <row r="32" spans="1:22" x14ac:dyDescent="0.25">
      <c r="A32" s="1">
        <v>0.95850000000000002</v>
      </c>
      <c r="B32" s="9" t="s">
        <v>1876</v>
      </c>
      <c r="C32" s="2">
        <v>1648</v>
      </c>
      <c r="D32" s="3" t="s">
        <v>1877</v>
      </c>
      <c r="E32" s="9" t="s">
        <v>689</v>
      </c>
      <c r="F32" s="9" t="s">
        <v>690</v>
      </c>
      <c r="G32" s="1">
        <v>1384.6506999999999</v>
      </c>
      <c r="H32" s="2">
        <v>1024</v>
      </c>
      <c r="I32" s="2">
        <v>3</v>
      </c>
      <c r="J32" s="1">
        <v>1384.6614999999999</v>
      </c>
      <c r="K32" s="1">
        <v>462.5575</v>
      </c>
      <c r="L32" s="9" t="s">
        <v>691</v>
      </c>
      <c r="M32" s="2">
        <v>4.4000000000000004</v>
      </c>
      <c r="N32" s="4">
        <v>1986.21</v>
      </c>
      <c r="O32" s="1">
        <v>7.7828161904195712</v>
      </c>
      <c r="P32" s="6">
        <v>22.7</v>
      </c>
      <c r="Q32" s="6">
        <v>19.7</v>
      </c>
      <c r="R32" s="6">
        <v>11.2</v>
      </c>
      <c r="S32" s="6">
        <v>10.3</v>
      </c>
      <c r="T32" s="5">
        <v>0.13</v>
      </c>
      <c r="U32" s="1">
        <v>1.0800000000000001E-2</v>
      </c>
      <c r="V32" s="1">
        <v>2.2271999999999998</v>
      </c>
    </row>
    <row r="33" spans="1:22" x14ac:dyDescent="0.25">
      <c r="A33" s="1">
        <v>0.94850000000000001</v>
      </c>
      <c r="B33" s="9" t="s">
        <v>1878</v>
      </c>
      <c r="C33" s="2">
        <v>1655</v>
      </c>
      <c r="D33" s="3" t="s">
        <v>206</v>
      </c>
      <c r="E33" s="9" t="s">
        <v>42</v>
      </c>
      <c r="F33" s="9" t="s">
        <v>43</v>
      </c>
      <c r="G33" s="1">
        <v>1808.9784999999999</v>
      </c>
      <c r="H33" s="2">
        <v>296</v>
      </c>
      <c r="I33" s="2">
        <v>3</v>
      </c>
      <c r="J33" s="1">
        <v>1808.9843000000001</v>
      </c>
      <c r="K33" s="1">
        <v>604.00009999999997</v>
      </c>
      <c r="L33" s="9" t="s">
        <v>44</v>
      </c>
      <c r="M33" s="2">
        <v>8.51</v>
      </c>
      <c r="N33" s="4">
        <v>2001.01</v>
      </c>
      <c r="O33" s="1">
        <v>3.2008824722600759</v>
      </c>
      <c r="P33" s="6">
        <v>27.2</v>
      </c>
      <c r="Q33" s="6">
        <v>22.2</v>
      </c>
      <c r="R33" s="6">
        <v>9.3000000000000007</v>
      </c>
      <c r="S33" s="6">
        <v>10.8</v>
      </c>
      <c r="T33" s="5">
        <v>0.56000000000000005</v>
      </c>
      <c r="U33" s="1">
        <v>5.7999999999999996E-3</v>
      </c>
      <c r="V33" s="1">
        <v>1.4487000000000001</v>
      </c>
    </row>
    <row r="34" spans="1:22" x14ac:dyDescent="0.25">
      <c r="A34" s="1">
        <v>0.98760000000000003</v>
      </c>
      <c r="B34" s="9" t="s">
        <v>1879</v>
      </c>
      <c r="C34" s="2">
        <v>1672</v>
      </c>
      <c r="D34" s="3" t="s">
        <v>15</v>
      </c>
      <c r="E34" s="9" t="s">
        <v>1880</v>
      </c>
      <c r="F34" s="9" t="s">
        <v>43</v>
      </c>
      <c r="G34" s="1">
        <v>1551.8773000000001</v>
      </c>
      <c r="H34" s="2">
        <v>298</v>
      </c>
      <c r="I34" s="2">
        <v>3</v>
      </c>
      <c r="J34" s="1">
        <v>1551.8747000000001</v>
      </c>
      <c r="K34" s="1">
        <v>518.29970000000003</v>
      </c>
      <c r="L34" s="9" t="s">
        <v>44</v>
      </c>
      <c r="M34" s="2">
        <v>9.6999999999999993</v>
      </c>
      <c r="N34" s="4">
        <v>2030.61</v>
      </c>
      <c r="O34" s="1">
        <v>-1.6721342240149215</v>
      </c>
      <c r="P34" s="6">
        <v>28.5</v>
      </c>
      <c r="Q34" s="6">
        <v>23.2</v>
      </c>
      <c r="R34" s="6">
        <v>8.8000000000000007</v>
      </c>
      <c r="S34" s="6">
        <v>9.9</v>
      </c>
      <c r="T34" s="5">
        <v>4.2999999999999997E-2</v>
      </c>
      <c r="U34" s="1">
        <v>-2.5999999999999999E-3</v>
      </c>
      <c r="V34" s="1">
        <v>2.9769000000000001</v>
      </c>
    </row>
    <row r="35" spans="1:22" x14ac:dyDescent="0.25">
      <c r="A35" s="1">
        <v>0.99980000000000002</v>
      </c>
      <c r="B35" s="9" t="s">
        <v>1881</v>
      </c>
      <c r="C35" s="2">
        <v>1695</v>
      </c>
      <c r="D35" s="3" t="s">
        <v>1882</v>
      </c>
      <c r="E35" s="9" t="s">
        <v>1883</v>
      </c>
      <c r="F35" s="9" t="s">
        <v>1605</v>
      </c>
      <c r="G35" s="1">
        <v>1921.8741</v>
      </c>
      <c r="H35" s="2">
        <v>680</v>
      </c>
      <c r="I35" s="2">
        <v>3</v>
      </c>
      <c r="J35" s="1">
        <v>1921.8785</v>
      </c>
      <c r="K35" s="1">
        <v>641.63199999999995</v>
      </c>
      <c r="L35" s="9" t="s">
        <v>1606</v>
      </c>
      <c r="M35" s="2">
        <v>6.79</v>
      </c>
      <c r="N35" s="4">
        <v>2075.0100000000002</v>
      </c>
      <c r="O35" s="1">
        <v>2.2858377803268337</v>
      </c>
      <c r="P35" s="6">
        <v>53</v>
      </c>
      <c r="Q35" s="6">
        <v>30.5</v>
      </c>
      <c r="R35" s="6">
        <v>11.8</v>
      </c>
      <c r="S35" s="6">
        <v>11.7</v>
      </c>
      <c r="T35" s="5">
        <v>8.1999999999999994E-6</v>
      </c>
      <c r="U35" s="1">
        <v>4.4000000000000003E-3</v>
      </c>
      <c r="V35" s="1">
        <v>7.1641000000000004</v>
      </c>
    </row>
    <row r="36" spans="1:22" x14ac:dyDescent="0.25">
      <c r="A36" s="1">
        <v>0.95220000000000005</v>
      </c>
      <c r="B36" s="9" t="s">
        <v>1884</v>
      </c>
      <c r="C36" s="2">
        <v>1699</v>
      </c>
      <c r="D36" s="3" t="s">
        <v>260</v>
      </c>
      <c r="E36" s="9" t="s">
        <v>1885</v>
      </c>
      <c r="F36" s="9" t="s">
        <v>1014</v>
      </c>
      <c r="G36" s="1">
        <v>982.45079999999996</v>
      </c>
      <c r="H36" s="2">
        <v>681</v>
      </c>
      <c r="I36" s="2">
        <v>2</v>
      </c>
      <c r="J36" s="1">
        <v>982.4511</v>
      </c>
      <c r="K36" s="1">
        <v>492.23270000000002</v>
      </c>
      <c r="L36" s="9" t="s">
        <v>1015</v>
      </c>
      <c r="M36" s="2">
        <v>5.08</v>
      </c>
      <c r="N36" s="4">
        <v>2082.41</v>
      </c>
      <c r="O36" s="1">
        <v>0.30473391954658841</v>
      </c>
      <c r="P36" s="6">
        <v>32.5</v>
      </c>
      <c r="Q36" s="6">
        <v>25.4</v>
      </c>
      <c r="R36" s="6">
        <v>11.3</v>
      </c>
      <c r="S36" s="6">
        <v>11.8</v>
      </c>
      <c r="T36" s="5">
        <v>8.5000000000000006E-2</v>
      </c>
      <c r="U36" s="1">
        <v>2.9999999999999997E-4</v>
      </c>
      <c r="V36" s="1">
        <v>2.8799000000000001</v>
      </c>
    </row>
    <row r="37" spans="1:22" x14ac:dyDescent="0.25">
      <c r="A37" s="1">
        <v>0.97909999999999997</v>
      </c>
      <c r="B37" s="9" t="s">
        <v>1886</v>
      </c>
      <c r="C37" s="2">
        <v>1703</v>
      </c>
      <c r="D37" s="3" t="s">
        <v>1887</v>
      </c>
      <c r="E37" s="9" t="s">
        <v>1888</v>
      </c>
      <c r="F37" s="9" t="s">
        <v>860</v>
      </c>
      <c r="G37" s="1">
        <v>1150.5904</v>
      </c>
      <c r="H37" s="2">
        <v>682</v>
      </c>
      <c r="I37" s="2">
        <v>2</v>
      </c>
      <c r="J37" s="1">
        <v>1150.5817</v>
      </c>
      <c r="K37" s="1">
        <v>576.30250000000001</v>
      </c>
      <c r="L37" s="9" t="s">
        <v>673</v>
      </c>
      <c r="M37" s="2">
        <v>8.56</v>
      </c>
      <c r="N37" s="4">
        <v>2089.81</v>
      </c>
      <c r="O37" s="1">
        <v>-7.5481192602843112</v>
      </c>
      <c r="P37" s="6">
        <v>56.9</v>
      </c>
      <c r="Q37" s="6">
        <v>56.9</v>
      </c>
      <c r="R37" s="6">
        <v>6.8</v>
      </c>
      <c r="S37" s="6">
        <v>10.6</v>
      </c>
      <c r="T37" s="5">
        <v>2.0999999999999999E-3</v>
      </c>
      <c r="U37" s="1">
        <v>-8.6999999999999994E-3</v>
      </c>
      <c r="V37" s="1">
        <v>3.5196999999999998</v>
      </c>
    </row>
    <row r="38" spans="1:22" x14ac:dyDescent="0.25">
      <c r="A38" s="1">
        <v>0.99939999999999996</v>
      </c>
      <c r="B38" s="9" t="s">
        <v>1889</v>
      </c>
      <c r="C38" s="2">
        <v>1705</v>
      </c>
      <c r="D38" s="3" t="s">
        <v>20</v>
      </c>
      <c r="E38" s="9" t="s">
        <v>47</v>
      </c>
      <c r="F38" s="9" t="s">
        <v>48</v>
      </c>
      <c r="G38" s="1">
        <v>1557.8336999999999</v>
      </c>
      <c r="H38" s="2">
        <v>299</v>
      </c>
      <c r="I38" s="2">
        <v>3</v>
      </c>
      <c r="J38" s="1">
        <v>1557.8235</v>
      </c>
      <c r="K38" s="1">
        <v>520.28520000000003</v>
      </c>
      <c r="L38" s="9" t="s">
        <v>49</v>
      </c>
      <c r="M38" s="2">
        <v>8.18</v>
      </c>
      <c r="N38" s="4">
        <v>2089.81</v>
      </c>
      <c r="O38" s="1">
        <v>-6.5348774095438422</v>
      </c>
      <c r="P38" s="6">
        <v>33.799999999999997</v>
      </c>
      <c r="Q38" s="6">
        <v>26.1</v>
      </c>
      <c r="R38" s="6">
        <v>8.1</v>
      </c>
      <c r="S38" s="6">
        <v>11.4</v>
      </c>
      <c r="T38" s="5">
        <v>8.6999999999999994E-3</v>
      </c>
      <c r="U38" s="1">
        <v>-1.0200000000000001E-2</v>
      </c>
      <c r="V38" s="1">
        <v>4.0953999999999997</v>
      </c>
    </row>
    <row r="39" spans="1:22" x14ac:dyDescent="0.25">
      <c r="A39" s="1">
        <v>0.99990000000000001</v>
      </c>
      <c r="B39" s="9" t="s">
        <v>1890</v>
      </c>
      <c r="C39" s="2">
        <v>1728</v>
      </c>
      <c r="D39" s="3" t="s">
        <v>100</v>
      </c>
      <c r="E39" s="9" t="s">
        <v>1891</v>
      </c>
      <c r="F39" s="9" t="s">
        <v>1832</v>
      </c>
      <c r="G39" s="1">
        <v>1469.7295999999999</v>
      </c>
      <c r="H39" s="2">
        <v>301</v>
      </c>
      <c r="I39" s="2">
        <v>3</v>
      </c>
      <c r="J39" s="1">
        <v>1469.7309</v>
      </c>
      <c r="K39" s="1">
        <v>490.9171</v>
      </c>
      <c r="L39" s="9" t="s">
        <v>518</v>
      </c>
      <c r="M39" s="2">
        <v>9.99</v>
      </c>
      <c r="N39" s="4">
        <v>2134.2600000000002</v>
      </c>
      <c r="O39" s="1">
        <v>0.88270164826878783</v>
      </c>
      <c r="P39" s="6">
        <v>32.4</v>
      </c>
      <c r="Q39" s="6">
        <v>23</v>
      </c>
      <c r="R39" s="6">
        <v>8.1</v>
      </c>
      <c r="S39" s="6">
        <v>9.6999999999999993</v>
      </c>
      <c r="T39" s="5">
        <v>1.1999999999999999E-3</v>
      </c>
      <c r="U39" s="1">
        <v>1.2999999999999999E-3</v>
      </c>
      <c r="V39" s="1">
        <v>6.0050999999999997</v>
      </c>
    </row>
    <row r="40" spans="1:22" x14ac:dyDescent="0.25">
      <c r="A40" s="1">
        <v>0.99550000000000005</v>
      </c>
      <c r="B40" s="9" t="s">
        <v>1892</v>
      </c>
      <c r="C40" s="2">
        <v>1740</v>
      </c>
      <c r="D40" s="3" t="s">
        <v>1893</v>
      </c>
      <c r="E40" s="9" t="s">
        <v>1894</v>
      </c>
      <c r="F40" s="9" t="s">
        <v>1895</v>
      </c>
      <c r="G40" s="1">
        <v>899.49770000000001</v>
      </c>
      <c r="H40" s="2">
        <v>522</v>
      </c>
      <c r="I40" s="2">
        <v>2</v>
      </c>
      <c r="J40" s="1">
        <v>899.4923</v>
      </c>
      <c r="K40" s="1">
        <v>450.7561</v>
      </c>
      <c r="L40" s="9" t="s">
        <v>1896</v>
      </c>
      <c r="M40" s="2">
        <v>8.75</v>
      </c>
      <c r="N40" s="4">
        <v>2160.71</v>
      </c>
      <c r="O40" s="1">
        <v>-5.9899355771336209</v>
      </c>
      <c r="P40" s="6">
        <v>26</v>
      </c>
      <c r="Q40" s="6">
        <v>23.1</v>
      </c>
      <c r="R40" s="6">
        <v>6.9</v>
      </c>
      <c r="S40" s="6">
        <v>9.6999999999999993</v>
      </c>
      <c r="T40" s="5">
        <v>0.02</v>
      </c>
      <c r="U40" s="1">
        <v>-5.4000000000000003E-3</v>
      </c>
      <c r="V40" s="1">
        <v>3.4403000000000001</v>
      </c>
    </row>
    <row r="41" spans="1:22" x14ac:dyDescent="0.25">
      <c r="A41" s="1">
        <v>0.99990000000000001</v>
      </c>
      <c r="B41" s="9" t="s">
        <v>1897</v>
      </c>
      <c r="C41" s="2">
        <v>1743</v>
      </c>
      <c r="D41" s="3" t="s">
        <v>56</v>
      </c>
      <c r="E41" s="9" t="s">
        <v>57</v>
      </c>
      <c r="F41" s="9" t="s">
        <v>58</v>
      </c>
      <c r="G41" s="1">
        <v>1470.7943</v>
      </c>
      <c r="H41" s="2">
        <v>634</v>
      </c>
      <c r="I41" s="2">
        <v>3</v>
      </c>
      <c r="J41" s="1">
        <v>1470.79</v>
      </c>
      <c r="K41" s="1">
        <v>491.27199999999999</v>
      </c>
      <c r="L41" s="9" t="s">
        <v>59</v>
      </c>
      <c r="M41" s="2">
        <v>8.6</v>
      </c>
      <c r="N41" s="4">
        <v>2166.0100000000002</v>
      </c>
      <c r="O41" s="1">
        <v>-2.9175962263946111</v>
      </c>
      <c r="P41" s="6">
        <v>43</v>
      </c>
      <c r="Q41" s="6">
        <v>29.7</v>
      </c>
      <c r="R41" s="6">
        <v>10.7</v>
      </c>
      <c r="S41" s="6">
        <v>10.6</v>
      </c>
      <c r="T41" s="5">
        <v>8.4999999999999995E-4</v>
      </c>
      <c r="U41" s="1">
        <v>-4.3E-3</v>
      </c>
      <c r="V41" s="1">
        <v>5.8376000000000001</v>
      </c>
    </row>
    <row r="42" spans="1:22" x14ac:dyDescent="0.25">
      <c r="A42" s="1">
        <v>0.97850000000000004</v>
      </c>
      <c r="B42" s="9" t="s">
        <v>1898</v>
      </c>
      <c r="C42" s="2">
        <v>1744</v>
      </c>
      <c r="D42" s="3" t="s">
        <v>752</v>
      </c>
      <c r="E42" s="9" t="s">
        <v>1899</v>
      </c>
      <c r="F42" s="9" t="s">
        <v>1900</v>
      </c>
      <c r="G42" s="1">
        <v>1141.6165000000001</v>
      </c>
      <c r="H42" s="2">
        <v>303</v>
      </c>
      <c r="I42" s="2">
        <v>2</v>
      </c>
      <c r="J42" s="1">
        <v>1141.6155000000001</v>
      </c>
      <c r="K42" s="1">
        <v>571.81550000000004</v>
      </c>
      <c r="L42" s="9" t="s">
        <v>1901</v>
      </c>
      <c r="M42" s="2">
        <v>8.59</v>
      </c>
      <c r="N42" s="4">
        <v>2163.86</v>
      </c>
      <c r="O42" s="1">
        <v>-0.87440791653951311</v>
      </c>
      <c r="P42" s="6">
        <v>47.4</v>
      </c>
      <c r="Q42" s="6">
        <v>36.700000000000003</v>
      </c>
      <c r="R42" s="6">
        <v>11.5</v>
      </c>
      <c r="S42" s="6">
        <v>11.7</v>
      </c>
      <c r="T42" s="5">
        <v>0.24</v>
      </c>
      <c r="U42" s="1">
        <v>-1E-3</v>
      </c>
      <c r="V42" s="1">
        <v>2.3651</v>
      </c>
    </row>
    <row r="43" spans="1:22" x14ac:dyDescent="0.25">
      <c r="A43" s="1">
        <v>1</v>
      </c>
      <c r="B43" s="9" t="s">
        <v>1902</v>
      </c>
      <c r="C43" s="2">
        <v>1764</v>
      </c>
      <c r="D43" s="3" t="s">
        <v>1903</v>
      </c>
      <c r="E43" s="9" t="s">
        <v>62</v>
      </c>
      <c r="F43" s="9" t="s">
        <v>63</v>
      </c>
      <c r="G43" s="1">
        <v>1674.7750000000001</v>
      </c>
      <c r="H43" s="2">
        <v>304</v>
      </c>
      <c r="I43" s="2">
        <v>3</v>
      </c>
      <c r="J43" s="1">
        <v>1674.7728</v>
      </c>
      <c r="K43" s="1">
        <v>559.26559999999995</v>
      </c>
      <c r="L43" s="9" t="s">
        <v>64</v>
      </c>
      <c r="M43" s="2">
        <v>6.76</v>
      </c>
      <c r="N43" s="4">
        <v>2200.86</v>
      </c>
      <c r="O43" s="1">
        <v>-1.3112434115978766</v>
      </c>
      <c r="P43" s="6">
        <v>40</v>
      </c>
      <c r="Q43" s="6">
        <v>22.7</v>
      </c>
      <c r="R43" s="6">
        <v>9.4</v>
      </c>
      <c r="S43" s="6">
        <v>9.6</v>
      </c>
      <c r="T43" s="5">
        <v>6.0999999999999999E-5</v>
      </c>
      <c r="U43" s="1">
        <v>-2.2000000000000001E-3</v>
      </c>
      <c r="V43" s="1">
        <v>7.4448999999999996</v>
      </c>
    </row>
    <row r="44" spans="1:22" x14ac:dyDescent="0.25">
      <c r="A44" s="1">
        <v>0.97950000000000004</v>
      </c>
      <c r="B44" s="9" t="s">
        <v>1904</v>
      </c>
      <c r="C44" s="2">
        <v>1777</v>
      </c>
      <c r="D44" s="3" t="s">
        <v>306</v>
      </c>
      <c r="E44" s="9" t="s">
        <v>1905</v>
      </c>
      <c r="F44" s="9" t="s">
        <v>1906</v>
      </c>
      <c r="G44" s="1">
        <v>1039.5119999999999</v>
      </c>
      <c r="H44" s="2">
        <v>190</v>
      </c>
      <c r="I44" s="2">
        <v>2</v>
      </c>
      <c r="J44" s="1">
        <v>1039.5213000000001</v>
      </c>
      <c r="K44" s="1">
        <v>520.76329999999996</v>
      </c>
      <c r="L44" s="9" t="s">
        <v>1907</v>
      </c>
      <c r="M44" s="2">
        <v>6.76</v>
      </c>
      <c r="N44" s="4">
        <v>2223.0700000000002</v>
      </c>
      <c r="O44" s="1">
        <v>8.929200656037013</v>
      </c>
      <c r="P44" s="6">
        <v>30.9</v>
      </c>
      <c r="Q44" s="6">
        <v>23.8</v>
      </c>
      <c r="R44" s="6">
        <v>10.199999999999999</v>
      </c>
      <c r="S44" s="6">
        <v>10</v>
      </c>
      <c r="T44" s="5">
        <v>0.16</v>
      </c>
      <c r="U44" s="1">
        <v>9.2999999999999992E-3</v>
      </c>
      <c r="V44" s="1">
        <v>2.7364999999999999</v>
      </c>
    </row>
    <row r="45" spans="1:22" x14ac:dyDescent="0.25">
      <c r="A45" s="1">
        <v>1</v>
      </c>
      <c r="B45" s="9" t="s">
        <v>1908</v>
      </c>
      <c r="C45" s="2">
        <v>1785</v>
      </c>
      <c r="D45" s="3" t="s">
        <v>1909</v>
      </c>
      <c r="E45" s="9" t="s">
        <v>1910</v>
      </c>
      <c r="F45" s="9" t="s">
        <v>1911</v>
      </c>
      <c r="G45" s="1">
        <v>2653.0376999999999</v>
      </c>
      <c r="H45" s="2">
        <v>305</v>
      </c>
      <c r="I45" s="2">
        <v>3</v>
      </c>
      <c r="J45" s="1">
        <v>2653.0189999999998</v>
      </c>
      <c r="K45" s="1">
        <v>885.35320000000002</v>
      </c>
      <c r="L45" s="9" t="s">
        <v>1912</v>
      </c>
      <c r="M45" s="2">
        <v>8.27</v>
      </c>
      <c r="N45" s="4">
        <v>2237.87</v>
      </c>
      <c r="O45" s="1">
        <v>-7.0405046633742714</v>
      </c>
      <c r="P45" s="6">
        <v>46.3</v>
      </c>
      <c r="Q45" s="6">
        <v>18.899999999999999</v>
      </c>
      <c r="R45" s="6">
        <v>11.4</v>
      </c>
      <c r="S45" s="6">
        <v>11.1</v>
      </c>
      <c r="T45" s="5">
        <v>1.8999999999999999E-10</v>
      </c>
      <c r="U45" s="1">
        <v>-1.8700000000000001E-2</v>
      </c>
      <c r="V45" s="1">
        <v>12.552</v>
      </c>
    </row>
    <row r="46" spans="1:22" x14ac:dyDescent="0.25">
      <c r="A46" s="1">
        <v>0.997</v>
      </c>
      <c r="B46" s="9" t="s">
        <v>1913</v>
      </c>
      <c r="C46" s="2">
        <v>1787</v>
      </c>
      <c r="D46" s="3" t="s">
        <v>396</v>
      </c>
      <c r="E46" s="9" t="s">
        <v>1914</v>
      </c>
      <c r="F46" s="9" t="s">
        <v>1915</v>
      </c>
      <c r="G46" s="1">
        <v>1093.5436999999999</v>
      </c>
      <c r="H46" s="2">
        <v>306</v>
      </c>
      <c r="I46" s="2">
        <v>2</v>
      </c>
      <c r="J46" s="1">
        <v>1093.5317</v>
      </c>
      <c r="K46" s="1">
        <v>547.77909999999997</v>
      </c>
      <c r="L46" s="9" t="s">
        <v>1916</v>
      </c>
      <c r="M46" s="2">
        <v>8.75</v>
      </c>
      <c r="N46" s="4">
        <v>2245.2600000000002</v>
      </c>
      <c r="O46" s="1">
        <v>-10.95332041693449</v>
      </c>
      <c r="P46" s="6">
        <v>39.5</v>
      </c>
      <c r="Q46" s="6">
        <v>28.3</v>
      </c>
      <c r="R46" s="6">
        <v>8.3000000000000007</v>
      </c>
      <c r="S46" s="6">
        <v>8.5</v>
      </c>
      <c r="T46" s="5">
        <v>1.2E-2</v>
      </c>
      <c r="U46" s="1">
        <v>-1.2E-2</v>
      </c>
      <c r="V46" s="1">
        <v>4.2710999999999997</v>
      </c>
    </row>
    <row r="47" spans="1:22" x14ac:dyDescent="0.25">
      <c r="A47" s="1">
        <v>1</v>
      </c>
      <c r="B47" s="9" t="s">
        <v>1917</v>
      </c>
      <c r="C47" s="2">
        <v>1793</v>
      </c>
      <c r="D47" s="3" t="s">
        <v>1882</v>
      </c>
      <c r="E47" s="9" t="s">
        <v>1918</v>
      </c>
      <c r="F47" s="9" t="s">
        <v>1919</v>
      </c>
      <c r="G47" s="1">
        <v>2623.0266999999999</v>
      </c>
      <c r="H47" s="2">
        <v>688</v>
      </c>
      <c r="I47" s="2">
        <v>3</v>
      </c>
      <c r="J47" s="1">
        <v>2623.0113999999999</v>
      </c>
      <c r="K47" s="1">
        <v>875.34950000000003</v>
      </c>
      <c r="L47" s="9" t="s">
        <v>1920</v>
      </c>
      <c r="M47" s="2">
        <v>8.27</v>
      </c>
      <c r="N47" s="4">
        <v>2252.67</v>
      </c>
      <c r="O47" s="1">
        <v>-5.8262442601498021</v>
      </c>
      <c r="P47" s="6">
        <v>48.8</v>
      </c>
      <c r="Q47" s="6">
        <v>29.4</v>
      </c>
      <c r="R47" s="6">
        <v>11.2</v>
      </c>
      <c r="S47" s="6">
        <v>10.6</v>
      </c>
      <c r="T47" s="5">
        <v>4.7E-7</v>
      </c>
      <c r="U47" s="1">
        <v>-1.5299999999999999E-2</v>
      </c>
      <c r="V47" s="1">
        <v>8.2941000000000003</v>
      </c>
    </row>
    <row r="48" spans="1:22" x14ac:dyDescent="0.25">
      <c r="A48" s="1">
        <v>0.99880000000000002</v>
      </c>
      <c r="B48" s="9" t="s">
        <v>1921</v>
      </c>
      <c r="C48" s="2">
        <v>1803</v>
      </c>
      <c r="D48" s="3" t="s">
        <v>100</v>
      </c>
      <c r="E48" s="9" t="s">
        <v>720</v>
      </c>
      <c r="F48" s="9" t="s">
        <v>721</v>
      </c>
      <c r="G48" s="1">
        <v>1323.7663</v>
      </c>
      <c r="H48" s="2">
        <v>307</v>
      </c>
      <c r="I48" s="2">
        <v>3</v>
      </c>
      <c r="J48" s="1">
        <v>1323.7621999999999</v>
      </c>
      <c r="K48" s="1">
        <v>442.2627</v>
      </c>
      <c r="L48" s="9" t="s">
        <v>118</v>
      </c>
      <c r="M48" s="2">
        <v>8.6</v>
      </c>
      <c r="N48" s="4">
        <v>2274.87</v>
      </c>
      <c r="O48" s="1">
        <v>-3.0901694098703483</v>
      </c>
      <c r="P48" s="6">
        <v>32</v>
      </c>
      <c r="Q48" s="6">
        <v>24.1</v>
      </c>
      <c r="R48" s="6">
        <v>10.7</v>
      </c>
      <c r="S48" s="6">
        <v>8.3000000000000007</v>
      </c>
      <c r="T48" s="5">
        <v>5.5E-2</v>
      </c>
      <c r="U48" s="1">
        <v>-4.1000000000000003E-3</v>
      </c>
      <c r="V48" s="1">
        <v>3.4377</v>
      </c>
    </row>
    <row r="49" spans="1:22" x14ac:dyDescent="0.25">
      <c r="A49" s="1">
        <v>0.998</v>
      </c>
      <c r="B49" s="9" t="s">
        <v>1922</v>
      </c>
      <c r="C49" s="2">
        <v>1819</v>
      </c>
      <c r="D49" s="3" t="s">
        <v>1246</v>
      </c>
      <c r="E49" s="9" t="s">
        <v>1923</v>
      </c>
      <c r="F49" s="9" t="s">
        <v>1924</v>
      </c>
      <c r="G49" s="1">
        <v>2191.0796999999998</v>
      </c>
      <c r="H49" s="2">
        <v>691</v>
      </c>
      <c r="I49" s="2">
        <v>3</v>
      </c>
      <c r="J49" s="1">
        <v>2191.0898999999999</v>
      </c>
      <c r="K49" s="1">
        <v>731.36720000000003</v>
      </c>
      <c r="L49" s="9" t="s">
        <v>898</v>
      </c>
      <c r="M49" s="2">
        <v>4.68</v>
      </c>
      <c r="N49" s="4">
        <v>2304.4699999999998</v>
      </c>
      <c r="O49" s="1">
        <v>4.6488275656879336</v>
      </c>
      <c r="P49" s="6">
        <v>37.5</v>
      </c>
      <c r="Q49" s="6">
        <v>24.9</v>
      </c>
      <c r="R49" s="6">
        <v>10.5</v>
      </c>
      <c r="S49" s="6">
        <v>9.3000000000000007</v>
      </c>
      <c r="T49" s="5">
        <v>1.1999999999999999E-3</v>
      </c>
      <c r="U49" s="1">
        <v>1.0200000000000001E-2</v>
      </c>
      <c r="V49" s="1">
        <v>5.0922000000000001</v>
      </c>
    </row>
    <row r="50" spans="1:22" x14ac:dyDescent="0.25">
      <c r="A50" s="1">
        <v>0.99970000000000003</v>
      </c>
      <c r="B50" s="9" t="s">
        <v>1925</v>
      </c>
      <c r="C50" s="2">
        <v>1823</v>
      </c>
      <c r="D50" s="3" t="s">
        <v>128</v>
      </c>
      <c r="E50" s="9" t="s">
        <v>724</v>
      </c>
      <c r="F50" s="9" t="s">
        <v>647</v>
      </c>
      <c r="G50" s="1">
        <v>1439.85</v>
      </c>
      <c r="H50" s="2">
        <v>635</v>
      </c>
      <c r="I50" s="2">
        <v>3</v>
      </c>
      <c r="J50" s="1">
        <v>1439.8448000000001</v>
      </c>
      <c r="K50" s="1">
        <v>480.95729999999998</v>
      </c>
      <c r="L50" s="9" t="s">
        <v>118</v>
      </c>
      <c r="M50" s="2">
        <v>8.48</v>
      </c>
      <c r="N50" s="4">
        <v>2314.02</v>
      </c>
      <c r="O50" s="1">
        <v>-3.603923536108784</v>
      </c>
      <c r="P50" s="6">
        <v>32.200000000000003</v>
      </c>
      <c r="Q50" s="6">
        <v>22</v>
      </c>
      <c r="R50" s="6">
        <v>3.6</v>
      </c>
      <c r="S50" s="6">
        <v>10.6</v>
      </c>
      <c r="T50" s="5">
        <v>6.6E-3</v>
      </c>
      <c r="U50" s="1">
        <v>-5.1999999999999998E-3</v>
      </c>
      <c r="V50" s="1">
        <v>5.1378000000000004</v>
      </c>
    </row>
    <row r="51" spans="1:22" x14ac:dyDescent="0.25">
      <c r="A51" s="1">
        <v>0.99890000000000001</v>
      </c>
      <c r="B51" s="9" t="s">
        <v>1926</v>
      </c>
      <c r="C51" s="2">
        <v>1836</v>
      </c>
      <c r="D51" s="3" t="s">
        <v>206</v>
      </c>
      <c r="E51" s="9" t="s">
        <v>1927</v>
      </c>
      <c r="F51" s="9" t="s">
        <v>911</v>
      </c>
      <c r="G51" s="1">
        <v>1974.0318</v>
      </c>
      <c r="H51" s="2">
        <v>692</v>
      </c>
      <c r="I51" s="2">
        <v>3</v>
      </c>
      <c r="J51" s="1">
        <v>1974.0363</v>
      </c>
      <c r="K51" s="1">
        <v>659.01790000000005</v>
      </c>
      <c r="L51" s="9" t="s">
        <v>912</v>
      </c>
      <c r="M51" s="2">
        <v>9.4</v>
      </c>
      <c r="N51" s="4">
        <v>2334.0700000000002</v>
      </c>
      <c r="O51" s="1">
        <v>2.2761141996294785</v>
      </c>
      <c r="P51" s="6">
        <v>31.6</v>
      </c>
      <c r="Q51" s="6">
        <v>22.4</v>
      </c>
      <c r="R51" s="6">
        <v>10.1</v>
      </c>
      <c r="S51" s="6">
        <v>8.1</v>
      </c>
      <c r="T51" s="5">
        <v>5.9999999999999995E-4</v>
      </c>
      <c r="U51" s="1">
        <v>4.4999999999999997E-3</v>
      </c>
      <c r="V51" s="1">
        <v>5.5343999999999998</v>
      </c>
    </row>
    <row r="52" spans="1:22" x14ac:dyDescent="0.25">
      <c r="A52" s="1">
        <v>0.98150000000000004</v>
      </c>
      <c r="B52" s="9" t="s">
        <v>1928</v>
      </c>
      <c r="C52" s="2">
        <v>1879</v>
      </c>
      <c r="D52" s="3" t="s">
        <v>1929</v>
      </c>
      <c r="E52" s="9" t="s">
        <v>1930</v>
      </c>
      <c r="F52" s="9" t="s">
        <v>1931</v>
      </c>
      <c r="G52" s="1">
        <v>1701.96</v>
      </c>
      <c r="H52" s="2">
        <v>312</v>
      </c>
      <c r="I52" s="2">
        <v>3</v>
      </c>
      <c r="J52" s="1">
        <v>1701.9639999999999</v>
      </c>
      <c r="K52" s="1">
        <v>568.32730000000004</v>
      </c>
      <c r="L52" s="9" t="s">
        <v>1932</v>
      </c>
      <c r="M52" s="2">
        <v>9.6999999999999993</v>
      </c>
      <c r="N52" s="4">
        <v>2415.4699999999998</v>
      </c>
      <c r="O52" s="1">
        <v>2.3460659611694408</v>
      </c>
      <c r="P52" s="6">
        <v>23</v>
      </c>
      <c r="Q52" s="6">
        <v>17.100000000000001</v>
      </c>
      <c r="R52" s="6">
        <v>11.4</v>
      </c>
      <c r="S52" s="6">
        <v>8.1</v>
      </c>
      <c r="T52" s="5">
        <v>6.6000000000000003E-2</v>
      </c>
      <c r="U52" s="1">
        <v>4.0000000000000001E-3</v>
      </c>
      <c r="V52" s="1">
        <v>3.0240999999999998</v>
      </c>
    </row>
    <row r="53" spans="1:22" x14ac:dyDescent="0.25">
      <c r="A53" s="1">
        <v>0.99019999999999997</v>
      </c>
      <c r="B53" s="9" t="s">
        <v>1933</v>
      </c>
      <c r="C53" s="2">
        <v>1884</v>
      </c>
      <c r="D53" s="3" t="s">
        <v>245</v>
      </c>
      <c r="E53" s="9" t="s">
        <v>1934</v>
      </c>
      <c r="F53" s="9" t="s">
        <v>1935</v>
      </c>
      <c r="G53" s="1">
        <v>1477.8657000000001</v>
      </c>
      <c r="H53" s="2">
        <v>313</v>
      </c>
      <c r="I53" s="2">
        <v>3</v>
      </c>
      <c r="J53" s="1">
        <v>1477.8534</v>
      </c>
      <c r="K53" s="1">
        <v>493.62920000000003</v>
      </c>
      <c r="L53" s="9" t="s">
        <v>1936</v>
      </c>
      <c r="M53" s="2">
        <v>8.51</v>
      </c>
      <c r="N53" s="4">
        <v>2422.87</v>
      </c>
      <c r="O53" s="1">
        <v>-8.3058295578948727</v>
      </c>
      <c r="P53" s="6">
        <v>34.4</v>
      </c>
      <c r="Q53" s="6">
        <v>27.4</v>
      </c>
      <c r="R53" s="6">
        <v>11.9</v>
      </c>
      <c r="S53" s="6">
        <v>13.2</v>
      </c>
      <c r="T53" s="5">
        <v>0.15</v>
      </c>
      <c r="U53" s="1">
        <v>-1.23E-2</v>
      </c>
      <c r="V53" s="1">
        <v>2.4701</v>
      </c>
    </row>
    <row r="54" spans="1:22" x14ac:dyDescent="0.25">
      <c r="A54" s="1">
        <v>0.99980000000000002</v>
      </c>
      <c r="B54" s="9" t="s">
        <v>1937</v>
      </c>
      <c r="C54" s="2">
        <v>1893</v>
      </c>
      <c r="D54" s="3" t="s">
        <v>201</v>
      </c>
      <c r="E54" s="9" t="s">
        <v>79</v>
      </c>
      <c r="F54" s="9" t="s">
        <v>80</v>
      </c>
      <c r="G54" s="1">
        <v>1140.5237</v>
      </c>
      <c r="H54" s="2">
        <v>530</v>
      </c>
      <c r="I54" s="2">
        <v>2</v>
      </c>
      <c r="J54" s="1">
        <v>1140.5138999999999</v>
      </c>
      <c r="K54" s="1">
        <v>571.26909999999998</v>
      </c>
      <c r="L54" s="9" t="s">
        <v>81</v>
      </c>
      <c r="M54" s="2">
        <v>5.47</v>
      </c>
      <c r="N54" s="4">
        <v>2444.02</v>
      </c>
      <c r="O54" s="1">
        <v>-8.5773937361569175</v>
      </c>
      <c r="P54" s="6">
        <v>48.5</v>
      </c>
      <c r="Q54" s="6">
        <v>27.5</v>
      </c>
      <c r="R54" s="6">
        <v>11.1</v>
      </c>
      <c r="S54" s="6">
        <v>11.7</v>
      </c>
      <c r="T54" s="5">
        <v>3.2000000000000003E-4</v>
      </c>
      <c r="U54" s="1">
        <v>-9.7999999999999997E-3</v>
      </c>
      <c r="V54" s="1">
        <v>6.6623999999999999</v>
      </c>
    </row>
    <row r="55" spans="1:22" x14ac:dyDescent="0.25">
      <c r="A55" s="1">
        <v>0.99509999999999998</v>
      </c>
      <c r="B55" s="9" t="s">
        <v>1938</v>
      </c>
      <c r="C55" s="2">
        <v>1905</v>
      </c>
      <c r="D55" s="3" t="s">
        <v>227</v>
      </c>
      <c r="E55" s="9" t="s">
        <v>1939</v>
      </c>
      <c r="F55" s="9" t="s">
        <v>1940</v>
      </c>
      <c r="G55" s="1">
        <v>888.43409999999994</v>
      </c>
      <c r="H55" s="2">
        <v>314</v>
      </c>
      <c r="I55" s="2">
        <v>2</v>
      </c>
      <c r="J55" s="1">
        <v>888.43190000000004</v>
      </c>
      <c r="K55" s="1">
        <v>445.22430000000003</v>
      </c>
      <c r="L55" s="9" t="s">
        <v>1941</v>
      </c>
      <c r="M55" s="2">
        <v>5.08</v>
      </c>
      <c r="N55" s="4">
        <v>2459.88</v>
      </c>
      <c r="O55" s="1">
        <v>-2.4706647862661582</v>
      </c>
      <c r="P55" s="6">
        <v>22</v>
      </c>
      <c r="Q55" s="6">
        <v>15.3</v>
      </c>
      <c r="R55" s="6">
        <v>4.0999999999999996</v>
      </c>
      <c r="S55" s="6">
        <v>6.9</v>
      </c>
      <c r="T55" s="5">
        <v>3.4000000000000002E-2</v>
      </c>
      <c r="U55" s="1">
        <v>-2.2000000000000001E-3</v>
      </c>
      <c r="V55" s="1">
        <v>4.0355999999999996</v>
      </c>
    </row>
    <row r="56" spans="1:22" x14ac:dyDescent="0.25">
      <c r="A56" s="1">
        <v>0.99980000000000002</v>
      </c>
      <c r="B56" s="9" t="s">
        <v>1942</v>
      </c>
      <c r="C56" s="2">
        <v>1911</v>
      </c>
      <c r="D56" s="3" t="s">
        <v>1002</v>
      </c>
      <c r="E56" s="9" t="s">
        <v>79</v>
      </c>
      <c r="F56" s="9" t="s">
        <v>80</v>
      </c>
      <c r="G56" s="1">
        <v>1140.5239999999999</v>
      </c>
      <c r="H56" s="2">
        <v>315</v>
      </c>
      <c r="I56" s="2">
        <v>2</v>
      </c>
      <c r="J56" s="1">
        <v>1140.5227</v>
      </c>
      <c r="K56" s="1">
        <v>571.26930000000004</v>
      </c>
      <c r="L56" s="9" t="s">
        <v>81</v>
      </c>
      <c r="M56" s="2">
        <v>5.47</v>
      </c>
      <c r="N56" s="4">
        <v>2474.6799999999998</v>
      </c>
      <c r="O56" s="1">
        <v>-1.1378171380818118</v>
      </c>
      <c r="P56" s="6">
        <v>51.6</v>
      </c>
      <c r="Q56" s="6">
        <v>31.6</v>
      </c>
      <c r="R56" s="6">
        <v>10.8</v>
      </c>
      <c r="S56" s="6">
        <v>12.2</v>
      </c>
      <c r="T56" s="5">
        <v>5.5000000000000003E-4</v>
      </c>
      <c r="U56" s="1">
        <v>-1.2999999999999999E-3</v>
      </c>
      <c r="V56" s="1">
        <v>6.1586999999999996</v>
      </c>
    </row>
    <row r="57" spans="1:22" x14ac:dyDescent="0.25">
      <c r="A57" s="1">
        <v>0.99590000000000001</v>
      </c>
      <c r="B57" s="9" t="s">
        <v>1943</v>
      </c>
      <c r="C57" s="2">
        <v>1912</v>
      </c>
      <c r="D57" s="3" t="s">
        <v>343</v>
      </c>
      <c r="E57" s="9" t="s">
        <v>1944</v>
      </c>
      <c r="F57" s="9" t="s">
        <v>1143</v>
      </c>
      <c r="G57" s="1">
        <v>987.46609999999998</v>
      </c>
      <c r="H57" s="2">
        <v>531</v>
      </c>
      <c r="I57" s="2">
        <v>2</v>
      </c>
      <c r="J57" s="1">
        <v>987.46709999999996</v>
      </c>
      <c r="K57" s="1">
        <v>494.74029999999999</v>
      </c>
      <c r="L57" s="9" t="s">
        <v>64</v>
      </c>
      <c r="M57" s="2">
        <v>5.08</v>
      </c>
      <c r="N57" s="4">
        <v>2478.9299999999998</v>
      </c>
      <c r="O57" s="1">
        <v>1.0106312342050972</v>
      </c>
      <c r="P57" s="6">
        <v>28</v>
      </c>
      <c r="Q57" s="6">
        <v>18.5</v>
      </c>
      <c r="R57" s="6">
        <v>11.8</v>
      </c>
      <c r="S57" s="6">
        <v>7.1</v>
      </c>
      <c r="T57" s="5">
        <v>8.6999999999999994E-2</v>
      </c>
      <c r="U57" s="1">
        <v>1E-3</v>
      </c>
      <c r="V57" s="1">
        <v>3.5118</v>
      </c>
    </row>
    <row r="58" spans="1:22" x14ac:dyDescent="0.25">
      <c r="A58" s="1">
        <v>0.99590000000000001</v>
      </c>
      <c r="B58" s="9" t="s">
        <v>1945</v>
      </c>
      <c r="C58" s="2">
        <v>1915</v>
      </c>
      <c r="D58" s="3" t="s">
        <v>146</v>
      </c>
      <c r="E58" s="9" t="s">
        <v>1946</v>
      </c>
      <c r="F58" s="9" t="s">
        <v>1947</v>
      </c>
      <c r="G58" s="1">
        <v>1288.6696999999999</v>
      </c>
      <c r="H58" s="2">
        <v>532</v>
      </c>
      <c r="I58" s="2">
        <v>2</v>
      </c>
      <c r="J58" s="1">
        <v>1288.6587</v>
      </c>
      <c r="K58" s="1">
        <v>645.34209999999996</v>
      </c>
      <c r="L58" s="9" t="s">
        <v>1840</v>
      </c>
      <c r="M58" s="2">
        <v>8.31</v>
      </c>
      <c r="N58" s="4">
        <v>2484.23</v>
      </c>
      <c r="O58" s="1">
        <v>-8.5226114955153243</v>
      </c>
      <c r="P58" s="6">
        <v>37.299999999999997</v>
      </c>
      <c r="Q58" s="6">
        <v>29.7</v>
      </c>
      <c r="R58" s="6">
        <v>9.6999999999999993</v>
      </c>
      <c r="S58" s="6">
        <v>9.9</v>
      </c>
      <c r="T58" s="5">
        <v>1.0999999999999999E-2</v>
      </c>
      <c r="U58" s="1">
        <v>-1.0999999999999999E-2</v>
      </c>
      <c r="V58" s="1">
        <v>3.5586000000000002</v>
      </c>
    </row>
    <row r="59" spans="1:22" x14ac:dyDescent="0.25">
      <c r="A59" s="1">
        <v>1</v>
      </c>
      <c r="B59" s="9" t="s">
        <v>1948</v>
      </c>
      <c r="C59" s="2">
        <v>1920</v>
      </c>
      <c r="D59" s="3" t="s">
        <v>1949</v>
      </c>
      <c r="E59" s="9" t="s">
        <v>1950</v>
      </c>
      <c r="F59" s="9" t="s">
        <v>1140</v>
      </c>
      <c r="G59" s="1">
        <v>1586.7689</v>
      </c>
      <c r="H59" s="2">
        <v>696</v>
      </c>
      <c r="I59" s="2">
        <v>3</v>
      </c>
      <c r="J59" s="1">
        <v>1586.7719</v>
      </c>
      <c r="K59" s="1">
        <v>529.93020000000001</v>
      </c>
      <c r="L59" s="9" t="s">
        <v>745</v>
      </c>
      <c r="M59" s="2">
        <v>5.3</v>
      </c>
      <c r="N59" s="4">
        <v>2489.48</v>
      </c>
      <c r="O59" s="1">
        <v>1.8870409725658208</v>
      </c>
      <c r="P59" s="6">
        <v>59.7</v>
      </c>
      <c r="Q59" s="6">
        <v>35.299999999999997</v>
      </c>
      <c r="R59" s="6">
        <v>11.9</v>
      </c>
      <c r="S59" s="6">
        <v>13.9</v>
      </c>
      <c r="T59" s="5">
        <v>7.7000000000000008E-6</v>
      </c>
      <c r="U59" s="1">
        <v>3.0000000000000001E-3</v>
      </c>
      <c r="V59" s="1">
        <v>8.9983000000000004</v>
      </c>
    </row>
    <row r="60" spans="1:22" x14ac:dyDescent="0.25">
      <c r="A60" s="1">
        <v>0.995</v>
      </c>
      <c r="B60" s="9" t="s">
        <v>1951</v>
      </c>
      <c r="C60" s="2">
        <v>1940</v>
      </c>
      <c r="D60" s="3" t="s">
        <v>621</v>
      </c>
      <c r="E60" s="9" t="s">
        <v>1952</v>
      </c>
      <c r="F60" s="9" t="s">
        <v>1953</v>
      </c>
      <c r="G60" s="1">
        <v>1183.6347000000001</v>
      </c>
      <c r="H60" s="2">
        <v>878</v>
      </c>
      <c r="I60" s="2">
        <v>2</v>
      </c>
      <c r="J60" s="1">
        <v>1183.6207999999999</v>
      </c>
      <c r="K60" s="1">
        <v>592.82460000000003</v>
      </c>
      <c r="L60" s="9" t="s">
        <v>1954</v>
      </c>
      <c r="M60" s="2">
        <v>6.75</v>
      </c>
      <c r="N60" s="4">
        <v>2530.73</v>
      </c>
      <c r="O60" s="1">
        <v>-11.723535089468283</v>
      </c>
      <c r="P60" s="6">
        <v>32.1</v>
      </c>
      <c r="Q60" s="6">
        <v>22</v>
      </c>
      <c r="R60" s="6">
        <v>6.7</v>
      </c>
      <c r="S60" s="6">
        <v>8.5</v>
      </c>
      <c r="T60" s="5">
        <v>2.2000000000000001E-3</v>
      </c>
      <c r="U60" s="1">
        <v>-1.3899999999999999E-2</v>
      </c>
      <c r="V60" s="1">
        <v>5.0880999999999998</v>
      </c>
    </row>
    <row r="61" spans="1:22" x14ac:dyDescent="0.25">
      <c r="A61" s="1">
        <v>0.99990000000000001</v>
      </c>
      <c r="B61" s="9" t="s">
        <v>1955</v>
      </c>
      <c r="C61" s="2">
        <v>1953</v>
      </c>
      <c r="D61" s="3" t="s">
        <v>56</v>
      </c>
      <c r="E61" s="9" t="s">
        <v>1956</v>
      </c>
      <c r="F61" s="9" t="s">
        <v>1957</v>
      </c>
      <c r="G61" s="1">
        <v>1570.7737</v>
      </c>
      <c r="H61" s="2">
        <v>936</v>
      </c>
      <c r="I61" s="2">
        <v>3</v>
      </c>
      <c r="J61" s="1">
        <v>1570.7904000000001</v>
      </c>
      <c r="K61" s="1">
        <v>524.59849999999994</v>
      </c>
      <c r="L61" s="9" t="s">
        <v>1958</v>
      </c>
      <c r="M61" s="2">
        <v>5.3</v>
      </c>
      <c r="N61" s="4">
        <v>2555.0300000000002</v>
      </c>
      <c r="O61" s="1">
        <v>10.611289713307734</v>
      </c>
      <c r="P61" s="6">
        <v>48.6</v>
      </c>
      <c r="Q61" s="6">
        <v>28.2</v>
      </c>
      <c r="R61" s="6">
        <v>12.9</v>
      </c>
      <c r="S61" s="6">
        <v>13.9</v>
      </c>
      <c r="T61" s="5">
        <v>2.4000000000000001E-5</v>
      </c>
      <c r="U61" s="1">
        <v>1.67E-2</v>
      </c>
      <c r="V61" s="1">
        <v>8.4290000000000003</v>
      </c>
    </row>
    <row r="62" spans="1:22" x14ac:dyDescent="0.25">
      <c r="A62" s="1">
        <v>0.99780000000000002</v>
      </c>
      <c r="B62" s="9" t="s">
        <v>1959</v>
      </c>
      <c r="C62" s="2">
        <v>1965</v>
      </c>
      <c r="D62" s="3" t="s">
        <v>1561</v>
      </c>
      <c r="E62" s="9" t="s">
        <v>1960</v>
      </c>
      <c r="F62" s="9" t="s">
        <v>1961</v>
      </c>
      <c r="G62" s="1">
        <v>1379.5962</v>
      </c>
      <c r="H62" s="2">
        <v>701</v>
      </c>
      <c r="I62" s="2">
        <v>2</v>
      </c>
      <c r="J62" s="1">
        <v>1379.59</v>
      </c>
      <c r="K62" s="1">
        <v>690.80539999999996</v>
      </c>
      <c r="L62" s="9" t="s">
        <v>1962</v>
      </c>
      <c r="M62" s="2">
        <v>5.95</v>
      </c>
      <c r="N62" s="4">
        <v>2570.88</v>
      </c>
      <c r="O62" s="1">
        <v>-4.487515586878736</v>
      </c>
      <c r="P62" s="6">
        <v>73.400000000000006</v>
      </c>
      <c r="Q62" s="6">
        <v>35.799999999999997</v>
      </c>
      <c r="R62" s="6">
        <v>10.8</v>
      </c>
      <c r="S62" s="6">
        <v>11.7</v>
      </c>
      <c r="T62" s="5">
        <v>9.9999999999999995E-8</v>
      </c>
      <c r="U62" s="1">
        <v>-6.1999999999999998E-3</v>
      </c>
      <c r="V62" s="1">
        <v>10.210699999999999</v>
      </c>
    </row>
    <row r="63" spans="1:22" x14ac:dyDescent="0.25">
      <c r="A63" s="1">
        <v>1</v>
      </c>
      <c r="B63" s="9" t="s">
        <v>1963</v>
      </c>
      <c r="C63" s="2">
        <v>1971</v>
      </c>
      <c r="D63" s="3" t="s">
        <v>56</v>
      </c>
      <c r="E63" s="9" t="s">
        <v>1956</v>
      </c>
      <c r="F63" s="9" t="s">
        <v>1957</v>
      </c>
      <c r="G63" s="1">
        <v>1570.7738999999999</v>
      </c>
      <c r="H63" s="2">
        <v>937</v>
      </c>
      <c r="I63" s="2">
        <v>3</v>
      </c>
      <c r="J63" s="1">
        <v>1570.7822000000001</v>
      </c>
      <c r="K63" s="1">
        <v>524.59860000000003</v>
      </c>
      <c r="L63" s="9" t="s">
        <v>1958</v>
      </c>
      <c r="M63" s="2">
        <v>5.3</v>
      </c>
      <c r="N63" s="4">
        <v>2587.83</v>
      </c>
      <c r="O63" s="1">
        <v>5.2738735228547444</v>
      </c>
      <c r="P63" s="6">
        <v>51</v>
      </c>
      <c r="Q63" s="6">
        <v>26</v>
      </c>
      <c r="R63" s="6">
        <v>12.7</v>
      </c>
      <c r="S63" s="6">
        <v>14</v>
      </c>
      <c r="T63" s="5">
        <v>5.7999999999999995E-7</v>
      </c>
      <c r="U63" s="1">
        <v>8.3000000000000001E-3</v>
      </c>
      <c r="V63" s="1">
        <v>10.8847</v>
      </c>
    </row>
    <row r="64" spans="1:22" x14ac:dyDescent="0.25">
      <c r="A64" s="1">
        <v>0.99980000000000002</v>
      </c>
      <c r="B64" s="9" t="s">
        <v>1964</v>
      </c>
      <c r="C64" s="2">
        <v>1999</v>
      </c>
      <c r="D64" s="3" t="s">
        <v>280</v>
      </c>
      <c r="E64" s="9" t="s">
        <v>1965</v>
      </c>
      <c r="F64" s="9" t="s">
        <v>1014</v>
      </c>
      <c r="G64" s="1">
        <v>1423.7095999999999</v>
      </c>
      <c r="H64" s="2">
        <v>321</v>
      </c>
      <c r="I64" s="2">
        <v>2</v>
      </c>
      <c r="J64" s="1">
        <v>1423.7066</v>
      </c>
      <c r="K64" s="1">
        <v>712.86210000000005</v>
      </c>
      <c r="L64" s="9" t="s">
        <v>1015</v>
      </c>
      <c r="M64" s="2">
        <v>5.08</v>
      </c>
      <c r="N64" s="4">
        <v>2637.49</v>
      </c>
      <c r="O64" s="1">
        <v>-2.1041937844640639</v>
      </c>
      <c r="P64" s="6">
        <v>43.1</v>
      </c>
      <c r="Q64" s="6">
        <v>20</v>
      </c>
      <c r="R64" s="6">
        <v>9.3000000000000007</v>
      </c>
      <c r="S64" s="6">
        <v>12.3</v>
      </c>
      <c r="T64" s="5">
        <v>9.5000000000000001E-7</v>
      </c>
      <c r="U64" s="1">
        <v>-3.0000000000000001E-3</v>
      </c>
      <c r="V64" s="1">
        <v>8.9319000000000006</v>
      </c>
    </row>
    <row r="65" spans="1:22" x14ac:dyDescent="0.25">
      <c r="A65" s="1">
        <v>0.97760000000000002</v>
      </c>
      <c r="B65" s="9" t="s">
        <v>1966</v>
      </c>
      <c r="C65" s="2">
        <v>2039</v>
      </c>
      <c r="D65" s="3" t="s">
        <v>100</v>
      </c>
      <c r="E65" s="9" t="s">
        <v>1967</v>
      </c>
      <c r="F65" s="9" t="s">
        <v>1968</v>
      </c>
      <c r="G65" s="1">
        <v>1436.836</v>
      </c>
      <c r="H65" s="2">
        <v>705</v>
      </c>
      <c r="I65" s="2">
        <v>3</v>
      </c>
      <c r="J65" s="1">
        <v>1436.8393000000001</v>
      </c>
      <c r="K65" s="1">
        <v>479.95260000000002</v>
      </c>
      <c r="L65" s="9" t="s">
        <v>1969</v>
      </c>
      <c r="M65" s="2">
        <v>11.17</v>
      </c>
      <c r="N65" s="4">
        <v>2711.49</v>
      </c>
      <c r="O65" s="1">
        <v>2.2918929910995378</v>
      </c>
      <c r="P65" s="6">
        <v>31.7</v>
      </c>
      <c r="Q65" s="6">
        <v>24.2</v>
      </c>
      <c r="R65" s="6">
        <v>9.1999999999999993</v>
      </c>
      <c r="S65" s="6">
        <v>11.2</v>
      </c>
      <c r="T65" s="5">
        <v>0.05</v>
      </c>
      <c r="U65" s="1">
        <v>3.3E-3</v>
      </c>
      <c r="V65" s="1">
        <v>3.4331999999999998</v>
      </c>
    </row>
    <row r="66" spans="1:22" x14ac:dyDescent="0.25">
      <c r="A66" s="1">
        <v>0.995</v>
      </c>
      <c r="B66" s="9" t="s">
        <v>1970</v>
      </c>
      <c r="C66" s="2">
        <v>2055</v>
      </c>
      <c r="D66" s="3" t="s">
        <v>697</v>
      </c>
      <c r="E66" s="9" t="s">
        <v>1971</v>
      </c>
      <c r="F66" s="9" t="s">
        <v>1972</v>
      </c>
      <c r="G66" s="1">
        <v>1551.8629000000001</v>
      </c>
      <c r="H66" s="2">
        <v>324</v>
      </c>
      <c r="I66" s="2">
        <v>3</v>
      </c>
      <c r="J66" s="1">
        <v>1551.8616</v>
      </c>
      <c r="K66" s="1">
        <v>518.29489999999998</v>
      </c>
      <c r="L66" s="9" t="s">
        <v>1969</v>
      </c>
      <c r="M66" s="2">
        <v>9.99</v>
      </c>
      <c r="N66" s="4">
        <v>2741.09</v>
      </c>
      <c r="O66" s="1">
        <v>-0.83607485493940481</v>
      </c>
      <c r="P66" s="6">
        <v>26.3</v>
      </c>
      <c r="Q66" s="6">
        <v>19.8</v>
      </c>
      <c r="R66" s="6">
        <v>8.5</v>
      </c>
      <c r="S66" s="6">
        <v>10.5</v>
      </c>
      <c r="T66" s="5">
        <v>3.5999999999999997E-2</v>
      </c>
      <c r="U66" s="1">
        <v>-1.2999999999999999E-3</v>
      </c>
      <c r="V66" s="1">
        <v>3.5461999999999998</v>
      </c>
    </row>
    <row r="67" spans="1:22" x14ac:dyDescent="0.25">
      <c r="A67" s="1">
        <v>0.98519999999999996</v>
      </c>
      <c r="B67" s="9" t="s">
        <v>1973</v>
      </c>
      <c r="C67" s="2">
        <v>2059</v>
      </c>
      <c r="D67" s="3" t="s">
        <v>1086</v>
      </c>
      <c r="E67" s="9" t="s">
        <v>1974</v>
      </c>
      <c r="F67" s="9" t="s">
        <v>1122</v>
      </c>
      <c r="G67" s="1">
        <v>1832.9666</v>
      </c>
      <c r="H67" s="2">
        <v>638</v>
      </c>
      <c r="I67" s="2">
        <v>3</v>
      </c>
      <c r="J67" s="1">
        <v>1832.9694999999999</v>
      </c>
      <c r="K67" s="1">
        <v>611.99609999999996</v>
      </c>
      <c r="L67" s="9" t="s">
        <v>456</v>
      </c>
      <c r="M67" s="2">
        <v>8.59</v>
      </c>
      <c r="N67" s="4">
        <v>2750.64</v>
      </c>
      <c r="O67" s="1">
        <v>1.5795307628049697</v>
      </c>
      <c r="P67" s="6">
        <v>35.6</v>
      </c>
      <c r="Q67" s="6">
        <v>25.8</v>
      </c>
      <c r="R67" s="6">
        <v>8.1</v>
      </c>
      <c r="S67" s="6">
        <v>10.5</v>
      </c>
      <c r="T67" s="5">
        <v>1.0999999999999999E-2</v>
      </c>
      <c r="U67" s="1">
        <v>2.8999999999999998E-3</v>
      </c>
      <c r="V67" s="1">
        <v>3.8313000000000001</v>
      </c>
    </row>
    <row r="68" spans="1:22" x14ac:dyDescent="0.25">
      <c r="A68" s="1">
        <v>0.99890000000000001</v>
      </c>
      <c r="B68" s="9" t="s">
        <v>1975</v>
      </c>
      <c r="C68" s="2">
        <v>2067</v>
      </c>
      <c r="D68" s="3" t="s">
        <v>141</v>
      </c>
      <c r="E68" s="9" t="s">
        <v>89</v>
      </c>
      <c r="F68" s="9" t="s">
        <v>90</v>
      </c>
      <c r="G68" s="1">
        <v>1263.6377</v>
      </c>
      <c r="H68" s="2">
        <v>538</v>
      </c>
      <c r="I68" s="2">
        <v>2</v>
      </c>
      <c r="J68" s="1">
        <v>1263.6278</v>
      </c>
      <c r="K68" s="1">
        <v>632.8261</v>
      </c>
      <c r="L68" s="9" t="s">
        <v>91</v>
      </c>
      <c r="M68" s="2">
        <v>6.22</v>
      </c>
      <c r="N68" s="4">
        <v>2765.44</v>
      </c>
      <c r="O68" s="1">
        <v>-7.8220541156567345</v>
      </c>
      <c r="P68" s="6">
        <v>46.2</v>
      </c>
      <c r="Q68" s="6">
        <v>29.7</v>
      </c>
      <c r="R68" s="6">
        <v>8.4</v>
      </c>
      <c r="S68" s="6">
        <v>9.6</v>
      </c>
      <c r="T68" s="5">
        <v>8.1999999999999998E-4</v>
      </c>
      <c r="U68" s="1">
        <v>-9.9000000000000008E-3</v>
      </c>
      <c r="V68" s="1">
        <v>5.5510999999999999</v>
      </c>
    </row>
    <row r="69" spans="1:22" x14ac:dyDescent="0.25">
      <c r="A69" s="1">
        <v>0.96650000000000003</v>
      </c>
      <c r="B69" s="9" t="s">
        <v>1976</v>
      </c>
      <c r="C69" s="2">
        <v>2087</v>
      </c>
      <c r="D69" s="3" t="s">
        <v>1977</v>
      </c>
      <c r="E69" s="9" t="s">
        <v>1978</v>
      </c>
      <c r="F69" s="9" t="s">
        <v>672</v>
      </c>
      <c r="G69" s="1">
        <v>2149.13</v>
      </c>
      <c r="H69" s="2">
        <v>326</v>
      </c>
      <c r="I69" s="2">
        <v>3</v>
      </c>
      <c r="J69" s="1">
        <v>2149.1262000000002</v>
      </c>
      <c r="K69" s="1">
        <v>717.38390000000004</v>
      </c>
      <c r="L69" s="9" t="s">
        <v>673</v>
      </c>
      <c r="M69" s="2">
        <v>8.4700000000000006</v>
      </c>
      <c r="N69" s="4">
        <v>2800.29</v>
      </c>
      <c r="O69" s="1">
        <v>-1.7656747895606055</v>
      </c>
      <c r="P69" s="6">
        <v>28.3</v>
      </c>
      <c r="Q69" s="6">
        <v>28.3</v>
      </c>
      <c r="R69" s="6">
        <v>7.6</v>
      </c>
      <c r="S69" s="6">
        <v>7.8</v>
      </c>
      <c r="T69" s="5">
        <v>6.7999999999999996E-3</v>
      </c>
      <c r="U69" s="1">
        <v>-3.8E-3</v>
      </c>
      <c r="V69" s="1">
        <v>2.4900000000000002</v>
      </c>
    </row>
    <row r="70" spans="1:22" x14ac:dyDescent="0.25">
      <c r="A70" s="1">
        <v>0.99609999999999999</v>
      </c>
      <c r="B70" s="9" t="s">
        <v>1979</v>
      </c>
      <c r="C70" s="2">
        <v>2193</v>
      </c>
      <c r="D70" s="3" t="s">
        <v>154</v>
      </c>
      <c r="E70" s="9" t="s">
        <v>765</v>
      </c>
      <c r="F70" s="9" t="s">
        <v>766</v>
      </c>
      <c r="G70" s="1">
        <v>1195.5654999999999</v>
      </c>
      <c r="H70" s="2">
        <v>334</v>
      </c>
      <c r="I70" s="2">
        <v>2</v>
      </c>
      <c r="J70" s="1">
        <v>1195.566</v>
      </c>
      <c r="K70" s="1">
        <v>598.79</v>
      </c>
      <c r="L70" s="9" t="s">
        <v>767</v>
      </c>
      <c r="M70" s="2">
        <v>5.55</v>
      </c>
      <c r="N70" s="4">
        <v>2992.7</v>
      </c>
      <c r="O70" s="1">
        <v>0.41750864242889829</v>
      </c>
      <c r="P70" s="6">
        <v>37.1</v>
      </c>
      <c r="Q70" s="6">
        <v>27.2</v>
      </c>
      <c r="R70" s="6">
        <v>9.6</v>
      </c>
      <c r="S70" s="6">
        <v>12.9</v>
      </c>
      <c r="T70" s="5">
        <v>3.4000000000000002E-2</v>
      </c>
      <c r="U70" s="1">
        <v>5.0000000000000001E-4</v>
      </c>
      <c r="V70" s="1">
        <v>3.6265999999999998</v>
      </c>
    </row>
    <row r="71" spans="1:22" x14ac:dyDescent="0.25">
      <c r="A71" s="1">
        <v>1</v>
      </c>
      <c r="B71" s="9" t="s">
        <v>1980</v>
      </c>
      <c r="C71" s="2">
        <v>2200</v>
      </c>
      <c r="D71" s="3" t="s">
        <v>1981</v>
      </c>
      <c r="E71" s="9" t="s">
        <v>126</v>
      </c>
      <c r="F71" s="9" t="s">
        <v>122</v>
      </c>
      <c r="G71" s="1">
        <v>1867.0237</v>
      </c>
      <c r="H71" s="2">
        <v>335</v>
      </c>
      <c r="I71" s="2">
        <v>3</v>
      </c>
      <c r="J71" s="1">
        <v>1867.0128999999999</v>
      </c>
      <c r="K71" s="1">
        <v>623.34849999999994</v>
      </c>
      <c r="L71" s="9" t="s">
        <v>123</v>
      </c>
      <c r="M71" s="2">
        <v>8.59</v>
      </c>
      <c r="N71" s="4">
        <v>3007.5</v>
      </c>
      <c r="O71" s="1">
        <v>-5.7752605484732866</v>
      </c>
      <c r="P71" s="6">
        <v>59.5</v>
      </c>
      <c r="Q71" s="6">
        <v>34</v>
      </c>
      <c r="R71" s="6">
        <v>12.3</v>
      </c>
      <c r="S71" s="6">
        <v>13.4</v>
      </c>
      <c r="T71" s="5">
        <v>8.9999999999999996E-7</v>
      </c>
      <c r="U71" s="1">
        <v>-1.0800000000000001E-2</v>
      </c>
      <c r="V71" s="1">
        <v>9.3033000000000001</v>
      </c>
    </row>
    <row r="72" spans="1:22" x14ac:dyDescent="0.25">
      <c r="A72" s="1">
        <v>1</v>
      </c>
      <c r="B72" s="9" t="s">
        <v>1982</v>
      </c>
      <c r="C72" s="2">
        <v>2205</v>
      </c>
      <c r="D72" s="3" t="s">
        <v>1983</v>
      </c>
      <c r="E72" s="9" t="s">
        <v>134</v>
      </c>
      <c r="F72" s="9" t="s">
        <v>122</v>
      </c>
      <c r="G72" s="1">
        <v>1996.0667000000001</v>
      </c>
      <c r="H72" s="2">
        <v>723</v>
      </c>
      <c r="I72" s="2">
        <v>3</v>
      </c>
      <c r="J72" s="1">
        <v>1996.0452</v>
      </c>
      <c r="K72" s="1">
        <v>666.36279999999999</v>
      </c>
      <c r="L72" s="9" t="s">
        <v>123</v>
      </c>
      <c r="M72" s="2">
        <v>6.33</v>
      </c>
      <c r="N72" s="4">
        <v>3014.9</v>
      </c>
      <c r="O72" s="1">
        <v>-10.754902084370055</v>
      </c>
      <c r="P72" s="6">
        <v>64</v>
      </c>
      <c r="Q72" s="6">
        <v>33.4</v>
      </c>
      <c r="R72" s="6">
        <v>12.1</v>
      </c>
      <c r="S72" s="6">
        <v>13.1</v>
      </c>
      <c r="T72" s="5">
        <v>4.8999999999999997E-6</v>
      </c>
      <c r="U72" s="1">
        <v>-2.1499999999999998E-2</v>
      </c>
      <c r="V72" s="1">
        <v>8.4498999999999995</v>
      </c>
    </row>
    <row r="73" spans="1:22" x14ac:dyDescent="0.25">
      <c r="A73" s="1">
        <v>0.96540000000000004</v>
      </c>
      <c r="B73" s="9" t="s">
        <v>1984</v>
      </c>
      <c r="C73" s="2">
        <v>2216</v>
      </c>
      <c r="D73" s="3" t="s">
        <v>1985</v>
      </c>
      <c r="E73" s="9" t="s">
        <v>1986</v>
      </c>
      <c r="F73" s="9" t="s">
        <v>1987</v>
      </c>
      <c r="G73" s="1">
        <v>946.47569999999996</v>
      </c>
      <c r="H73" s="2">
        <v>7</v>
      </c>
      <c r="I73" s="2">
        <v>2</v>
      </c>
      <c r="J73" s="1">
        <v>946.42169999999999</v>
      </c>
      <c r="K73" s="1">
        <v>474.24509999999998</v>
      </c>
      <c r="L73" s="9" t="s">
        <v>1988</v>
      </c>
      <c r="M73" s="2">
        <v>4.5999999999999996</v>
      </c>
      <c r="N73" s="4">
        <v>3037.1</v>
      </c>
      <c r="O73" s="1">
        <v>-56.932586124769664</v>
      </c>
      <c r="P73" s="6">
        <v>18.7</v>
      </c>
      <c r="Q73" s="6">
        <v>16.2</v>
      </c>
      <c r="R73" s="6">
        <v>8.4</v>
      </c>
      <c r="S73" s="6">
        <v>9.3000000000000007</v>
      </c>
      <c r="T73" s="5">
        <v>4.8000000000000001E-2</v>
      </c>
      <c r="U73" s="1">
        <v>-5.3999999999999999E-2</v>
      </c>
      <c r="V73" s="1">
        <v>2.8740000000000001</v>
      </c>
    </row>
    <row r="74" spans="1:22" x14ac:dyDescent="0.25">
      <c r="A74" s="1">
        <v>0.99929999999999997</v>
      </c>
      <c r="B74" s="9" t="s">
        <v>1989</v>
      </c>
      <c r="C74" s="2">
        <v>2228</v>
      </c>
      <c r="D74" s="3" t="s">
        <v>333</v>
      </c>
      <c r="E74" s="9" t="s">
        <v>1990</v>
      </c>
      <c r="F74" s="9" t="s">
        <v>97</v>
      </c>
      <c r="G74" s="1">
        <v>1769.877</v>
      </c>
      <c r="H74" s="2">
        <v>337</v>
      </c>
      <c r="I74" s="2">
        <v>3</v>
      </c>
      <c r="J74" s="1">
        <v>1769.8728000000001</v>
      </c>
      <c r="K74" s="1">
        <v>590.96630000000005</v>
      </c>
      <c r="L74" s="9" t="s">
        <v>98</v>
      </c>
      <c r="M74" s="2">
        <v>6.74</v>
      </c>
      <c r="N74" s="4">
        <v>3059.3</v>
      </c>
      <c r="O74" s="1">
        <v>-2.3690014134477719</v>
      </c>
      <c r="P74" s="6">
        <v>35.4</v>
      </c>
      <c r="Q74" s="6">
        <v>23.2</v>
      </c>
      <c r="R74" s="6">
        <v>11</v>
      </c>
      <c r="S74" s="6">
        <v>8.5</v>
      </c>
      <c r="T74" s="5">
        <v>4.0000000000000001E-3</v>
      </c>
      <c r="U74" s="1">
        <v>-4.1999999999999997E-3</v>
      </c>
      <c r="V74" s="1">
        <v>4.9935</v>
      </c>
    </row>
    <row r="75" spans="1:22" x14ac:dyDescent="0.25">
      <c r="A75" s="1">
        <v>0.99860000000000004</v>
      </c>
      <c r="B75" s="9" t="s">
        <v>1991</v>
      </c>
      <c r="C75" s="2">
        <v>2237</v>
      </c>
      <c r="D75" s="3" t="s">
        <v>280</v>
      </c>
      <c r="E75" s="9" t="s">
        <v>1210</v>
      </c>
      <c r="F75" s="9" t="s">
        <v>1211</v>
      </c>
      <c r="G75" s="1">
        <v>1401.6777</v>
      </c>
      <c r="H75" s="2">
        <v>338</v>
      </c>
      <c r="I75" s="2">
        <v>2</v>
      </c>
      <c r="J75" s="1">
        <v>1401.6627000000001</v>
      </c>
      <c r="K75" s="1">
        <v>701.84609999999998</v>
      </c>
      <c r="L75" s="9" t="s">
        <v>412</v>
      </c>
      <c r="M75" s="2">
        <v>4.71</v>
      </c>
      <c r="N75" s="4">
        <v>3074.11</v>
      </c>
      <c r="O75" s="1">
        <v>-10.686103406430554</v>
      </c>
      <c r="P75" s="6">
        <v>43.3</v>
      </c>
      <c r="Q75" s="6">
        <v>26.1</v>
      </c>
      <c r="R75" s="6">
        <v>10.1</v>
      </c>
      <c r="S75" s="6">
        <v>12.3</v>
      </c>
      <c r="T75" s="5">
        <v>2.2000000000000001E-4</v>
      </c>
      <c r="U75" s="1">
        <v>-1.4999999999999999E-2</v>
      </c>
      <c r="V75" s="1">
        <v>5.9</v>
      </c>
    </row>
    <row r="76" spans="1:22" x14ac:dyDescent="0.25">
      <c r="A76" s="1">
        <v>0.99639999999999995</v>
      </c>
      <c r="B76" s="9" t="s">
        <v>1992</v>
      </c>
      <c r="C76" s="2">
        <v>2251</v>
      </c>
      <c r="D76" s="3" t="s">
        <v>38</v>
      </c>
      <c r="E76" s="9" t="s">
        <v>1993</v>
      </c>
      <c r="F76" s="9" t="s">
        <v>781</v>
      </c>
      <c r="G76" s="1">
        <v>1474.8297</v>
      </c>
      <c r="H76" s="2">
        <v>342</v>
      </c>
      <c r="I76" s="2">
        <v>3</v>
      </c>
      <c r="J76" s="1">
        <v>1474.8525</v>
      </c>
      <c r="K76" s="1">
        <v>492.61720000000003</v>
      </c>
      <c r="L76" s="9" t="s">
        <v>782</v>
      </c>
      <c r="M76" s="2">
        <v>6.96</v>
      </c>
      <c r="N76" s="4">
        <v>3103.71</v>
      </c>
      <c r="O76" s="1">
        <v>15.427800734525713</v>
      </c>
      <c r="P76" s="6">
        <v>33.5</v>
      </c>
      <c r="Q76" s="6">
        <v>19.899999999999999</v>
      </c>
      <c r="R76" s="6">
        <v>14</v>
      </c>
      <c r="S76" s="6">
        <v>10.1</v>
      </c>
      <c r="T76" s="5">
        <v>6.1999999999999998E-3</v>
      </c>
      <c r="U76" s="1">
        <v>2.2800000000000001E-2</v>
      </c>
      <c r="V76" s="1">
        <v>5.4786999999999999</v>
      </c>
    </row>
    <row r="77" spans="1:22" x14ac:dyDescent="0.25">
      <c r="A77" s="1">
        <v>0.99970000000000003</v>
      </c>
      <c r="B77" s="9" t="s">
        <v>1994</v>
      </c>
      <c r="C77" s="2">
        <v>2260</v>
      </c>
      <c r="D77" s="3" t="s">
        <v>1995</v>
      </c>
      <c r="E77" s="9" t="s">
        <v>1996</v>
      </c>
      <c r="F77" s="9" t="s">
        <v>1997</v>
      </c>
      <c r="G77" s="1">
        <v>1619.8336999999999</v>
      </c>
      <c r="H77" s="2">
        <v>548</v>
      </c>
      <c r="I77" s="2">
        <v>2</v>
      </c>
      <c r="J77" s="1">
        <v>1619.8206</v>
      </c>
      <c r="K77" s="1">
        <v>810.92409999999995</v>
      </c>
      <c r="L77" s="9" t="s">
        <v>1998</v>
      </c>
      <c r="M77" s="2">
        <v>8.4700000000000006</v>
      </c>
      <c r="N77" s="4">
        <v>3122.76</v>
      </c>
      <c r="O77" s="1">
        <v>-8.07720475936034</v>
      </c>
      <c r="P77" s="6">
        <v>48.6</v>
      </c>
      <c r="Q77" s="6">
        <v>23.9</v>
      </c>
      <c r="R77" s="6">
        <v>9.4</v>
      </c>
      <c r="S77" s="6">
        <v>11</v>
      </c>
      <c r="T77" s="5">
        <v>1.1999999999999999E-7</v>
      </c>
      <c r="U77" s="1">
        <v>-1.3100000000000001E-2</v>
      </c>
      <c r="V77" s="1">
        <v>8.5562000000000005</v>
      </c>
    </row>
    <row r="78" spans="1:22" x14ac:dyDescent="0.25">
      <c r="A78" s="1">
        <v>0.96509999999999996</v>
      </c>
      <c r="B78" s="9" t="s">
        <v>1999</v>
      </c>
      <c r="C78" s="2">
        <v>2272</v>
      </c>
      <c r="D78" s="3" t="s">
        <v>752</v>
      </c>
      <c r="E78" s="9" t="s">
        <v>2000</v>
      </c>
      <c r="F78" s="9" t="s">
        <v>2001</v>
      </c>
      <c r="G78" s="1">
        <v>1171.6635000000001</v>
      </c>
      <c r="H78" s="2">
        <v>344</v>
      </c>
      <c r="I78" s="2">
        <v>2</v>
      </c>
      <c r="J78" s="1">
        <v>1171.6732</v>
      </c>
      <c r="K78" s="1">
        <v>586.83900000000006</v>
      </c>
      <c r="L78" s="9" t="s">
        <v>2002</v>
      </c>
      <c r="M78" s="2">
        <v>8.59</v>
      </c>
      <c r="N78" s="4">
        <v>3140.71</v>
      </c>
      <c r="O78" s="1">
        <v>8.2646177230892963</v>
      </c>
      <c r="P78" s="6">
        <v>43.8</v>
      </c>
      <c r="Q78" s="6">
        <v>32.700000000000003</v>
      </c>
      <c r="R78" s="6">
        <v>8.1</v>
      </c>
      <c r="S78" s="6">
        <v>9.5</v>
      </c>
      <c r="T78" s="5">
        <v>0.15</v>
      </c>
      <c r="U78" s="1">
        <v>9.7000000000000003E-3</v>
      </c>
      <c r="V78" s="1">
        <v>2.7633999999999999</v>
      </c>
    </row>
    <row r="79" spans="1:22" x14ac:dyDescent="0.25">
      <c r="A79" s="1">
        <v>0.99970000000000003</v>
      </c>
      <c r="B79" s="9" t="s">
        <v>2003</v>
      </c>
      <c r="C79" s="2">
        <v>2299</v>
      </c>
      <c r="D79" s="3" t="s">
        <v>770</v>
      </c>
      <c r="E79" s="9" t="s">
        <v>2004</v>
      </c>
      <c r="F79" s="9" t="s">
        <v>282</v>
      </c>
      <c r="G79" s="1">
        <v>1645.9192</v>
      </c>
      <c r="H79" s="2">
        <v>727</v>
      </c>
      <c r="I79" s="2">
        <v>3</v>
      </c>
      <c r="J79" s="1">
        <v>1645.9138</v>
      </c>
      <c r="K79" s="1">
        <v>549.64700000000005</v>
      </c>
      <c r="L79" s="9" t="s">
        <v>283</v>
      </c>
      <c r="M79" s="2">
        <v>6.74</v>
      </c>
      <c r="N79" s="4">
        <v>3192.51</v>
      </c>
      <c r="O79" s="1">
        <v>-3.2748291175972941</v>
      </c>
      <c r="P79" s="6">
        <v>39.1</v>
      </c>
      <c r="Q79" s="6">
        <v>24.7</v>
      </c>
      <c r="R79" s="6">
        <v>12.1</v>
      </c>
      <c r="S79" s="6">
        <v>11</v>
      </c>
      <c r="T79" s="5">
        <v>2.5999999999999998E-4</v>
      </c>
      <c r="U79" s="1">
        <v>-5.4000000000000003E-3</v>
      </c>
      <c r="V79" s="1">
        <v>6.5810000000000004</v>
      </c>
    </row>
    <row r="80" spans="1:22" x14ac:dyDescent="0.25">
      <c r="A80" s="1">
        <v>1</v>
      </c>
      <c r="B80" s="9" t="s">
        <v>2005</v>
      </c>
      <c r="C80" s="2">
        <v>2352</v>
      </c>
      <c r="D80" s="3" t="s">
        <v>1390</v>
      </c>
      <c r="E80" s="9" t="s">
        <v>169</v>
      </c>
      <c r="F80" s="9" t="s">
        <v>170</v>
      </c>
      <c r="G80" s="1">
        <v>1967.8857</v>
      </c>
      <c r="H80" s="2">
        <v>640</v>
      </c>
      <c r="I80" s="2">
        <v>3</v>
      </c>
      <c r="J80" s="1">
        <v>1967.8964000000001</v>
      </c>
      <c r="K80" s="1">
        <v>656.9692</v>
      </c>
      <c r="L80" s="9" t="s">
        <v>64</v>
      </c>
      <c r="M80" s="2">
        <v>4.3099999999999996</v>
      </c>
      <c r="N80" s="4">
        <v>3292.96</v>
      </c>
      <c r="O80" s="1">
        <v>5.4289708964539987</v>
      </c>
      <c r="P80" s="6">
        <v>43.5</v>
      </c>
      <c r="Q80" s="6">
        <v>24.7</v>
      </c>
      <c r="R80" s="6">
        <v>12.5</v>
      </c>
      <c r="S80" s="6">
        <v>9</v>
      </c>
      <c r="T80" s="5">
        <v>1.1999999999999999E-6</v>
      </c>
      <c r="U80" s="1">
        <v>1.0699999999999999E-2</v>
      </c>
      <c r="V80" s="1">
        <v>8.6640999999999995</v>
      </c>
    </row>
    <row r="81" spans="1:22" x14ac:dyDescent="0.25">
      <c r="A81" s="1">
        <v>1</v>
      </c>
      <c r="B81" s="9" t="s">
        <v>2006</v>
      </c>
      <c r="C81" s="2">
        <v>2353</v>
      </c>
      <c r="D81" s="3" t="s">
        <v>1316</v>
      </c>
      <c r="E81" s="9" t="s">
        <v>2007</v>
      </c>
      <c r="F81" s="9" t="s">
        <v>2008</v>
      </c>
      <c r="G81" s="1">
        <v>1981.9016999999999</v>
      </c>
      <c r="H81" s="2">
        <v>641</v>
      </c>
      <c r="I81" s="2">
        <v>3</v>
      </c>
      <c r="J81" s="1">
        <v>1981.9016999999999</v>
      </c>
      <c r="K81" s="1">
        <v>661.64120000000003</v>
      </c>
      <c r="L81" s="9" t="s">
        <v>1028</v>
      </c>
      <c r="M81" s="2">
        <v>4.4400000000000004</v>
      </c>
      <c r="N81" s="4">
        <v>3295.06</v>
      </c>
      <c r="O81" s="1">
        <v>0</v>
      </c>
      <c r="P81" s="6">
        <v>36.799999999999997</v>
      </c>
      <c r="Q81" s="6">
        <v>21.4</v>
      </c>
      <c r="R81" s="6">
        <v>11.9</v>
      </c>
      <c r="S81" s="6">
        <v>10.5</v>
      </c>
      <c r="T81" s="5">
        <v>2.3E-5</v>
      </c>
      <c r="U81" s="1">
        <v>0</v>
      </c>
      <c r="V81" s="1">
        <v>7.2073</v>
      </c>
    </row>
    <row r="82" spans="1:22" x14ac:dyDescent="0.25">
      <c r="A82" s="1">
        <v>0.94389999999999996</v>
      </c>
      <c r="B82" s="9" t="s">
        <v>2009</v>
      </c>
      <c r="C82" s="2">
        <v>2359</v>
      </c>
      <c r="D82" s="3" t="s">
        <v>343</v>
      </c>
      <c r="E82" s="9" t="s">
        <v>2010</v>
      </c>
      <c r="F82" s="9" t="s">
        <v>1847</v>
      </c>
      <c r="G82" s="1">
        <v>1124.5757000000001</v>
      </c>
      <c r="H82" s="2">
        <v>347</v>
      </c>
      <c r="I82" s="2">
        <v>2</v>
      </c>
      <c r="J82" s="1">
        <v>1124.5634</v>
      </c>
      <c r="K82" s="1">
        <v>563.29510000000005</v>
      </c>
      <c r="L82" s="9" t="s">
        <v>1848</v>
      </c>
      <c r="M82" s="2">
        <v>4.74</v>
      </c>
      <c r="N82" s="4">
        <v>3303.51</v>
      </c>
      <c r="O82" s="1">
        <v>-10.917900759300053</v>
      </c>
      <c r="P82" s="6">
        <v>29.1</v>
      </c>
      <c r="Q82" s="6">
        <v>26</v>
      </c>
      <c r="R82" s="6">
        <v>9.8000000000000007</v>
      </c>
      <c r="S82" s="6">
        <v>12.8</v>
      </c>
      <c r="T82" s="5">
        <v>0.16</v>
      </c>
      <c r="U82" s="1">
        <v>-1.23E-2</v>
      </c>
      <c r="V82" s="1">
        <v>1.9455</v>
      </c>
    </row>
    <row r="83" spans="1:22" x14ac:dyDescent="0.25">
      <c r="A83" s="1">
        <v>0.99980000000000002</v>
      </c>
      <c r="B83" s="9" t="s">
        <v>2011</v>
      </c>
      <c r="C83" s="2">
        <v>2367</v>
      </c>
      <c r="D83" s="3" t="s">
        <v>2012</v>
      </c>
      <c r="E83" s="9" t="s">
        <v>2013</v>
      </c>
      <c r="F83" s="9" t="s">
        <v>860</v>
      </c>
      <c r="G83" s="1">
        <v>2047.0657000000001</v>
      </c>
      <c r="H83" s="2">
        <v>642</v>
      </c>
      <c r="I83" s="2">
        <v>3</v>
      </c>
      <c r="J83" s="1">
        <v>2047.0777</v>
      </c>
      <c r="K83" s="1">
        <v>683.36249999999995</v>
      </c>
      <c r="L83" s="9" t="s">
        <v>673</v>
      </c>
      <c r="M83" s="2">
        <v>6.24</v>
      </c>
      <c r="N83" s="4">
        <v>3320.46</v>
      </c>
      <c r="O83" s="1">
        <v>5.8534086959702947</v>
      </c>
      <c r="P83" s="6">
        <v>44.4</v>
      </c>
      <c r="Q83" s="6">
        <v>24.4</v>
      </c>
      <c r="R83" s="6">
        <v>10</v>
      </c>
      <c r="S83" s="6">
        <v>10.4</v>
      </c>
      <c r="T83" s="5">
        <v>1.1E-5</v>
      </c>
      <c r="U83" s="1">
        <v>1.2E-2</v>
      </c>
      <c r="V83" s="1">
        <v>7.9234</v>
      </c>
    </row>
    <row r="84" spans="1:22" x14ac:dyDescent="0.25">
      <c r="A84" s="1">
        <v>0.99850000000000005</v>
      </c>
      <c r="B84" s="9" t="s">
        <v>2014</v>
      </c>
      <c r="C84" s="2">
        <v>2380</v>
      </c>
      <c r="D84" s="3" t="s">
        <v>680</v>
      </c>
      <c r="E84" s="9" t="s">
        <v>2015</v>
      </c>
      <c r="F84" s="9" t="s">
        <v>2016</v>
      </c>
      <c r="G84" s="1">
        <v>2018.9962</v>
      </c>
      <c r="H84" s="2">
        <v>348</v>
      </c>
      <c r="I84" s="2">
        <v>3</v>
      </c>
      <c r="J84" s="1">
        <v>2019.0019</v>
      </c>
      <c r="K84" s="1">
        <v>674.00599999999997</v>
      </c>
      <c r="L84" s="9" t="s">
        <v>2017</v>
      </c>
      <c r="M84" s="2">
        <v>5.36</v>
      </c>
      <c r="N84" s="4">
        <v>3340.52</v>
      </c>
      <c r="O84" s="1">
        <v>2.8189660032700008</v>
      </c>
      <c r="P84" s="6">
        <v>38.6</v>
      </c>
      <c r="Q84" s="6">
        <v>26.8</v>
      </c>
      <c r="R84" s="6">
        <v>13.6</v>
      </c>
      <c r="S84" s="6">
        <v>13.8</v>
      </c>
      <c r="T84" s="5">
        <v>1.9E-2</v>
      </c>
      <c r="U84" s="1">
        <v>5.7000000000000002E-3</v>
      </c>
      <c r="V84" s="1">
        <v>3.7101999999999999</v>
      </c>
    </row>
    <row r="85" spans="1:22" x14ac:dyDescent="0.25">
      <c r="A85" s="1">
        <v>0.97160000000000002</v>
      </c>
      <c r="B85" s="9" t="s">
        <v>2018</v>
      </c>
      <c r="C85" s="2">
        <v>2403</v>
      </c>
      <c r="D85" s="3" t="s">
        <v>621</v>
      </c>
      <c r="E85" s="9" t="s">
        <v>2019</v>
      </c>
      <c r="F85" s="9" t="s">
        <v>1972</v>
      </c>
      <c r="G85" s="1">
        <v>1248.6285</v>
      </c>
      <c r="H85" s="2">
        <v>350</v>
      </c>
      <c r="I85" s="2">
        <v>2</v>
      </c>
      <c r="J85" s="1">
        <v>1248.6261999999999</v>
      </c>
      <c r="K85" s="1">
        <v>625.32150000000001</v>
      </c>
      <c r="L85" s="9" t="s">
        <v>1969</v>
      </c>
      <c r="M85" s="2">
        <v>8.75</v>
      </c>
      <c r="N85" s="4">
        <v>3384.92</v>
      </c>
      <c r="O85" s="1">
        <v>-1.8390539906272212</v>
      </c>
      <c r="P85" s="6">
        <v>34.6</v>
      </c>
      <c r="Q85" s="6">
        <v>31.2</v>
      </c>
      <c r="R85" s="6">
        <v>10.4</v>
      </c>
      <c r="S85" s="6">
        <v>10.6</v>
      </c>
      <c r="T85" s="5">
        <v>7.8E-2</v>
      </c>
      <c r="U85" s="1">
        <v>-2.3E-3</v>
      </c>
      <c r="V85" s="1">
        <v>2.1879</v>
      </c>
    </row>
    <row r="86" spans="1:22" x14ac:dyDescent="0.25">
      <c r="A86" s="1">
        <v>0.97819999999999996</v>
      </c>
      <c r="B86" s="9" t="s">
        <v>2020</v>
      </c>
      <c r="C86" s="2">
        <v>2407</v>
      </c>
      <c r="D86" s="3" t="s">
        <v>250</v>
      </c>
      <c r="E86" s="9" t="s">
        <v>155</v>
      </c>
      <c r="F86" s="9" t="s">
        <v>156</v>
      </c>
      <c r="G86" s="1">
        <v>1064.5291</v>
      </c>
      <c r="H86" s="2">
        <v>555</v>
      </c>
      <c r="I86" s="2">
        <v>2</v>
      </c>
      <c r="J86" s="1">
        <v>1064.5193999999999</v>
      </c>
      <c r="K86" s="1">
        <v>533.27179999999998</v>
      </c>
      <c r="L86" s="9" t="s">
        <v>157</v>
      </c>
      <c r="M86" s="2">
        <v>6.46</v>
      </c>
      <c r="N86" s="4">
        <v>3394.47</v>
      </c>
      <c r="O86" s="1">
        <v>-9.094799312470677</v>
      </c>
      <c r="P86" s="6">
        <v>28</v>
      </c>
      <c r="Q86" s="6">
        <v>22.9</v>
      </c>
      <c r="R86" s="6">
        <v>10.3</v>
      </c>
      <c r="S86" s="6">
        <v>9.1</v>
      </c>
      <c r="T86" s="5">
        <v>0.25</v>
      </c>
      <c r="U86" s="1">
        <v>-9.7000000000000003E-3</v>
      </c>
      <c r="V86" s="1">
        <v>2.1107999999999998</v>
      </c>
    </row>
    <row r="87" spans="1:22" x14ac:dyDescent="0.25">
      <c r="A87" s="1">
        <v>0.99380000000000002</v>
      </c>
      <c r="B87" s="9" t="s">
        <v>2021</v>
      </c>
      <c r="C87" s="2">
        <v>2427</v>
      </c>
      <c r="D87" s="3" t="s">
        <v>61</v>
      </c>
      <c r="E87" s="9" t="s">
        <v>2022</v>
      </c>
      <c r="F87" s="9" t="s">
        <v>102</v>
      </c>
      <c r="G87" s="1">
        <v>1867.9106999999999</v>
      </c>
      <c r="H87" s="2">
        <v>351</v>
      </c>
      <c r="I87" s="2">
        <v>3</v>
      </c>
      <c r="J87" s="1">
        <v>1867.9248</v>
      </c>
      <c r="K87" s="1">
        <v>623.64419999999996</v>
      </c>
      <c r="L87" s="9" t="s">
        <v>103</v>
      </c>
      <c r="M87" s="2">
        <v>4.8099999999999996</v>
      </c>
      <c r="N87" s="4">
        <v>3429.32</v>
      </c>
      <c r="O87" s="1">
        <v>7.5363484499655424</v>
      </c>
      <c r="P87" s="6">
        <v>34.9</v>
      </c>
      <c r="Q87" s="6">
        <v>23.4</v>
      </c>
      <c r="R87" s="6">
        <v>9.8000000000000007</v>
      </c>
      <c r="S87" s="6">
        <v>12</v>
      </c>
      <c r="T87" s="5">
        <v>5.5999999999999999E-3</v>
      </c>
      <c r="U87" s="1">
        <v>1.41E-2</v>
      </c>
      <c r="V87" s="1">
        <v>4.5791000000000004</v>
      </c>
    </row>
    <row r="88" spans="1:22" x14ac:dyDescent="0.25">
      <c r="A88" s="1">
        <v>0.99380000000000002</v>
      </c>
      <c r="B88" s="9" t="s">
        <v>2023</v>
      </c>
      <c r="C88" s="2">
        <v>2429</v>
      </c>
      <c r="D88" s="3" t="s">
        <v>1246</v>
      </c>
      <c r="E88" s="9" t="s">
        <v>803</v>
      </c>
      <c r="F88" s="9" t="s">
        <v>804</v>
      </c>
      <c r="G88" s="1">
        <v>2087.0246999999999</v>
      </c>
      <c r="H88" s="2">
        <v>736</v>
      </c>
      <c r="I88" s="2">
        <v>3</v>
      </c>
      <c r="J88" s="1">
        <v>2087.0421000000001</v>
      </c>
      <c r="K88" s="1">
        <v>696.68219999999997</v>
      </c>
      <c r="L88" s="9" t="s">
        <v>805</v>
      </c>
      <c r="M88" s="2">
        <v>4.93</v>
      </c>
      <c r="N88" s="4">
        <v>3429.32</v>
      </c>
      <c r="O88" s="1">
        <v>8.325173228195009</v>
      </c>
      <c r="P88" s="6">
        <v>37.1</v>
      </c>
      <c r="Q88" s="6">
        <v>25.7</v>
      </c>
      <c r="R88" s="6">
        <v>13.1</v>
      </c>
      <c r="S88" s="6">
        <v>12.2</v>
      </c>
      <c r="T88" s="5">
        <v>4.7000000000000002E-3</v>
      </c>
      <c r="U88" s="1">
        <v>1.7399999999999999E-2</v>
      </c>
      <c r="V88" s="1">
        <v>4.2906000000000004</v>
      </c>
    </row>
    <row r="89" spans="1:22" x14ac:dyDescent="0.25">
      <c r="A89" s="1">
        <v>0.99970000000000003</v>
      </c>
      <c r="B89" s="9" t="s">
        <v>2024</v>
      </c>
      <c r="C89" s="2">
        <v>2451</v>
      </c>
      <c r="D89" s="3" t="s">
        <v>2025</v>
      </c>
      <c r="E89" s="9" t="s">
        <v>2026</v>
      </c>
      <c r="F89" s="9" t="s">
        <v>176</v>
      </c>
      <c r="G89" s="1">
        <v>1854.8716999999999</v>
      </c>
      <c r="H89" s="2">
        <v>354</v>
      </c>
      <c r="I89" s="2">
        <v>2</v>
      </c>
      <c r="J89" s="1">
        <v>1854.8525999999999</v>
      </c>
      <c r="K89" s="1">
        <v>928.44309999999996</v>
      </c>
      <c r="L89" s="9" t="s">
        <v>118</v>
      </c>
      <c r="M89" s="2">
        <v>6.76</v>
      </c>
      <c r="N89" s="4">
        <v>3473.72</v>
      </c>
      <c r="O89" s="1">
        <v>-10.286036914917027</v>
      </c>
      <c r="P89" s="6">
        <v>69.7</v>
      </c>
      <c r="Q89" s="6">
        <v>24.9</v>
      </c>
      <c r="R89" s="6">
        <v>12</v>
      </c>
      <c r="S89" s="6">
        <v>8</v>
      </c>
      <c r="T89" s="5">
        <v>4.4999999999999998E-9</v>
      </c>
      <c r="U89" s="1">
        <v>-1.9099999999999999E-2</v>
      </c>
      <c r="V89" s="1">
        <v>10.352399999999999</v>
      </c>
    </row>
    <row r="90" spans="1:22" x14ac:dyDescent="0.25">
      <c r="A90" s="1">
        <v>0.99970000000000003</v>
      </c>
      <c r="B90" s="9" t="s">
        <v>2027</v>
      </c>
      <c r="C90" s="2">
        <v>2468</v>
      </c>
      <c r="D90" s="3" t="s">
        <v>1419</v>
      </c>
      <c r="E90" s="9" t="s">
        <v>175</v>
      </c>
      <c r="F90" s="9" t="s">
        <v>176</v>
      </c>
      <c r="G90" s="1">
        <v>1740.8287</v>
      </c>
      <c r="H90" s="2">
        <v>355</v>
      </c>
      <c r="I90" s="2">
        <v>2</v>
      </c>
      <c r="J90" s="1">
        <v>1740.8071</v>
      </c>
      <c r="K90" s="1">
        <v>871.42160000000001</v>
      </c>
      <c r="L90" s="9" t="s">
        <v>118</v>
      </c>
      <c r="M90" s="2">
        <v>6.73</v>
      </c>
      <c r="N90" s="4">
        <v>3503.32</v>
      </c>
      <c r="O90" s="1">
        <v>-12.39354177128499</v>
      </c>
      <c r="P90" s="6">
        <v>53.9</v>
      </c>
      <c r="Q90" s="6">
        <v>25.8</v>
      </c>
      <c r="R90" s="6">
        <v>12</v>
      </c>
      <c r="S90" s="6">
        <v>11.2</v>
      </c>
      <c r="T90" s="5">
        <v>6.7000000000000004E-8</v>
      </c>
      <c r="U90" s="1">
        <v>-2.1600000000000001E-2</v>
      </c>
      <c r="V90" s="1">
        <v>9.0928000000000004</v>
      </c>
    </row>
    <row r="91" spans="1:22" x14ac:dyDescent="0.25">
      <c r="A91" s="1">
        <v>0.99929999999999997</v>
      </c>
      <c r="B91" s="9" t="s">
        <v>2028</v>
      </c>
      <c r="C91" s="2">
        <v>2489</v>
      </c>
      <c r="D91" s="3" t="s">
        <v>163</v>
      </c>
      <c r="E91" s="9" t="s">
        <v>2029</v>
      </c>
      <c r="F91" s="9" t="s">
        <v>788</v>
      </c>
      <c r="G91" s="1">
        <v>1832.0594000000001</v>
      </c>
      <c r="H91" s="2">
        <v>357</v>
      </c>
      <c r="I91" s="2">
        <v>3</v>
      </c>
      <c r="J91" s="1">
        <v>1832.0552</v>
      </c>
      <c r="K91" s="1">
        <v>611.69370000000004</v>
      </c>
      <c r="L91" s="9" t="s">
        <v>789</v>
      </c>
      <c r="M91" s="2">
        <v>9.6999999999999993</v>
      </c>
      <c r="N91" s="4">
        <v>3540.32</v>
      </c>
      <c r="O91" s="1">
        <v>-2.2887271848639275</v>
      </c>
      <c r="P91" s="6">
        <v>29.1</v>
      </c>
      <c r="Q91" s="6">
        <v>18.8</v>
      </c>
      <c r="R91" s="6">
        <v>7.6</v>
      </c>
      <c r="S91" s="6">
        <v>8.6</v>
      </c>
      <c r="T91" s="5">
        <v>4.0000000000000001E-3</v>
      </c>
      <c r="U91" s="1">
        <v>-4.1999999999999997E-3</v>
      </c>
      <c r="V91" s="1">
        <v>5.0433000000000003</v>
      </c>
    </row>
    <row r="92" spans="1:22" x14ac:dyDescent="0.25">
      <c r="A92" s="1">
        <v>0.99970000000000003</v>
      </c>
      <c r="B92" s="9" t="s">
        <v>2030</v>
      </c>
      <c r="C92" s="2">
        <v>2504</v>
      </c>
      <c r="D92" s="3" t="s">
        <v>2031</v>
      </c>
      <c r="E92" s="9" t="s">
        <v>2032</v>
      </c>
      <c r="F92" s="9" t="s">
        <v>97</v>
      </c>
      <c r="G92" s="1">
        <v>3113.6397000000002</v>
      </c>
      <c r="H92" s="2">
        <v>741</v>
      </c>
      <c r="I92" s="2">
        <v>4</v>
      </c>
      <c r="J92" s="1">
        <v>3113.6464000000001</v>
      </c>
      <c r="K92" s="1">
        <v>779.41719999999998</v>
      </c>
      <c r="L92" s="9" t="s">
        <v>98</v>
      </c>
      <c r="M92" s="2">
        <v>5.63</v>
      </c>
      <c r="N92" s="4">
        <v>3569.92</v>
      </c>
      <c r="O92" s="1">
        <v>2.1490416172494013</v>
      </c>
      <c r="P92" s="6">
        <v>47.3</v>
      </c>
      <c r="Q92" s="6">
        <v>28.6</v>
      </c>
      <c r="R92" s="6">
        <v>11.4</v>
      </c>
      <c r="S92" s="6">
        <v>9.6</v>
      </c>
      <c r="T92" s="5">
        <v>4.3999999999999999E-5</v>
      </c>
      <c r="U92" s="1">
        <v>6.7000000000000002E-3</v>
      </c>
      <c r="V92" s="1">
        <v>5.5827999999999998</v>
      </c>
    </row>
    <row r="93" spans="1:22" x14ac:dyDescent="0.25">
      <c r="A93" s="1">
        <v>0.97170000000000001</v>
      </c>
      <c r="B93" s="9" t="s">
        <v>2033</v>
      </c>
      <c r="C93" s="2">
        <v>2505</v>
      </c>
      <c r="D93" s="3" t="s">
        <v>423</v>
      </c>
      <c r="E93" s="9" t="s">
        <v>2034</v>
      </c>
      <c r="F93" s="9" t="s">
        <v>2035</v>
      </c>
      <c r="G93" s="1">
        <v>1396.7507000000001</v>
      </c>
      <c r="H93" s="2">
        <v>358</v>
      </c>
      <c r="I93" s="2">
        <v>2</v>
      </c>
      <c r="J93" s="1">
        <v>1396.7339999999999</v>
      </c>
      <c r="K93" s="1">
        <v>699.38260000000002</v>
      </c>
      <c r="L93" s="9" t="s">
        <v>2036</v>
      </c>
      <c r="M93" s="2">
        <v>6.74</v>
      </c>
      <c r="N93" s="4">
        <v>3569.92</v>
      </c>
      <c r="O93" s="1">
        <v>-11.93910171628519</v>
      </c>
      <c r="P93" s="6">
        <v>38.1</v>
      </c>
      <c r="Q93" s="6">
        <v>27.7</v>
      </c>
      <c r="R93" s="6">
        <v>11.5</v>
      </c>
      <c r="S93" s="6">
        <v>11.6</v>
      </c>
      <c r="T93" s="5">
        <v>4.9000000000000002E-2</v>
      </c>
      <c r="U93" s="1">
        <v>-1.67E-2</v>
      </c>
      <c r="V93" s="1">
        <v>2.9497</v>
      </c>
    </row>
    <row r="94" spans="1:22" x14ac:dyDescent="0.25">
      <c r="A94" s="1">
        <v>0.99990000000000001</v>
      </c>
      <c r="B94" s="9" t="s">
        <v>2037</v>
      </c>
      <c r="C94" s="2">
        <v>2512</v>
      </c>
      <c r="D94" s="3" t="s">
        <v>2038</v>
      </c>
      <c r="E94" s="9" t="s">
        <v>2039</v>
      </c>
      <c r="F94" s="9" t="s">
        <v>391</v>
      </c>
      <c r="G94" s="1">
        <v>2397.4609999999998</v>
      </c>
      <c r="H94" s="2">
        <v>359</v>
      </c>
      <c r="I94" s="2">
        <v>4</v>
      </c>
      <c r="J94" s="1">
        <v>2397.4706000000001</v>
      </c>
      <c r="K94" s="1">
        <v>600.37249999999995</v>
      </c>
      <c r="L94" s="9" t="s">
        <v>364</v>
      </c>
      <c r="M94" s="2">
        <v>9.4</v>
      </c>
      <c r="N94" s="4">
        <v>3584.72</v>
      </c>
      <c r="O94" s="1">
        <v>3.9975182074462099</v>
      </c>
      <c r="P94" s="6">
        <v>31.7</v>
      </c>
      <c r="Q94" s="6">
        <v>20.6</v>
      </c>
      <c r="R94" s="6">
        <v>10.1</v>
      </c>
      <c r="S94" s="6">
        <v>8.8000000000000007</v>
      </c>
      <c r="T94" s="5">
        <v>3.2000000000000003E-4</v>
      </c>
      <c r="U94" s="1">
        <v>9.5999999999999992E-3</v>
      </c>
      <c r="V94" s="1">
        <v>5.2403000000000004</v>
      </c>
    </row>
    <row r="95" spans="1:22" x14ac:dyDescent="0.25">
      <c r="A95" s="1">
        <v>0.97389999999999999</v>
      </c>
      <c r="B95" s="9" t="s">
        <v>2040</v>
      </c>
      <c r="C95" s="2">
        <v>2524</v>
      </c>
      <c r="D95" s="3" t="s">
        <v>1399</v>
      </c>
      <c r="E95" s="9" t="s">
        <v>2041</v>
      </c>
      <c r="F95" s="9" t="s">
        <v>2042</v>
      </c>
      <c r="G95" s="1">
        <v>1922.1277</v>
      </c>
      <c r="H95" s="2">
        <v>742</v>
      </c>
      <c r="I95" s="2">
        <v>3</v>
      </c>
      <c r="J95" s="1">
        <v>1922.1513</v>
      </c>
      <c r="K95" s="1">
        <v>641.7165</v>
      </c>
      <c r="L95" s="9" t="s">
        <v>2043</v>
      </c>
      <c r="M95" s="2">
        <v>10.3</v>
      </c>
      <c r="N95" s="4">
        <v>3606.92</v>
      </c>
      <c r="O95" s="1">
        <v>12.258788213590684</v>
      </c>
      <c r="P95" s="6">
        <v>42.9</v>
      </c>
      <c r="Q95" s="6">
        <v>32.4</v>
      </c>
      <c r="R95" s="6">
        <v>12.1</v>
      </c>
      <c r="S95" s="6">
        <v>13</v>
      </c>
      <c r="T95" s="5">
        <v>1.4999999999999999E-2</v>
      </c>
      <c r="U95" s="1">
        <v>2.3599999999999999E-2</v>
      </c>
      <c r="V95" s="1">
        <v>3.3334999999999999</v>
      </c>
    </row>
    <row r="96" spans="1:22" x14ac:dyDescent="0.25">
      <c r="A96" s="1">
        <v>0.99990000000000001</v>
      </c>
      <c r="B96" s="9" t="s">
        <v>2044</v>
      </c>
      <c r="C96" s="2">
        <v>2548</v>
      </c>
      <c r="D96" s="3" t="s">
        <v>2045</v>
      </c>
      <c r="E96" s="9" t="s">
        <v>2046</v>
      </c>
      <c r="F96" s="9" t="s">
        <v>841</v>
      </c>
      <c r="G96" s="1">
        <v>1461.6744000000001</v>
      </c>
      <c r="H96" s="2">
        <v>361</v>
      </c>
      <c r="I96" s="2">
        <v>2</v>
      </c>
      <c r="J96" s="1">
        <v>1461.6774</v>
      </c>
      <c r="K96" s="1">
        <v>731.84450000000004</v>
      </c>
      <c r="L96" s="9" t="s">
        <v>673</v>
      </c>
      <c r="M96" s="2">
        <v>6.48</v>
      </c>
      <c r="N96" s="4">
        <v>3651.33</v>
      </c>
      <c r="O96" s="1">
        <v>2.0496157312106602</v>
      </c>
      <c r="P96" s="6">
        <v>51.7</v>
      </c>
      <c r="Q96" s="6">
        <v>30.7</v>
      </c>
      <c r="R96" s="6">
        <v>9.4</v>
      </c>
      <c r="S96" s="6">
        <v>10.9</v>
      </c>
      <c r="T96" s="5">
        <v>1.4E-5</v>
      </c>
      <c r="U96" s="1">
        <v>3.0000000000000001E-3</v>
      </c>
      <c r="V96" s="1">
        <v>7.4382999999999999</v>
      </c>
    </row>
    <row r="97" spans="1:22" x14ac:dyDescent="0.25">
      <c r="A97" s="1">
        <v>1</v>
      </c>
      <c r="B97" s="9" t="s">
        <v>2047</v>
      </c>
      <c r="C97" s="2">
        <v>2556</v>
      </c>
      <c r="D97" s="3" t="s">
        <v>2048</v>
      </c>
      <c r="E97" s="9" t="s">
        <v>2049</v>
      </c>
      <c r="F97" s="9" t="s">
        <v>170</v>
      </c>
      <c r="G97" s="1">
        <v>2237.0717</v>
      </c>
      <c r="H97" s="2">
        <v>944</v>
      </c>
      <c r="I97" s="2">
        <v>3</v>
      </c>
      <c r="J97" s="1">
        <v>2237.0587999999998</v>
      </c>
      <c r="K97" s="1">
        <v>746.69780000000003</v>
      </c>
      <c r="L97" s="9" t="s">
        <v>64</v>
      </c>
      <c r="M97" s="2">
        <v>4.54</v>
      </c>
      <c r="N97" s="4">
        <v>3670.38</v>
      </c>
      <c r="O97" s="1">
        <v>-5.7586884546867552</v>
      </c>
      <c r="P97" s="6">
        <v>51.4</v>
      </c>
      <c r="Q97" s="6">
        <v>23.6</v>
      </c>
      <c r="R97" s="6">
        <v>10.7</v>
      </c>
      <c r="S97" s="6">
        <v>9.6999999999999993</v>
      </c>
      <c r="T97" s="5">
        <v>2.7E-8</v>
      </c>
      <c r="U97" s="1">
        <v>-1.29E-2</v>
      </c>
      <c r="V97" s="1">
        <v>10.412599999999999</v>
      </c>
    </row>
    <row r="98" spans="1:22" x14ac:dyDescent="0.25">
      <c r="A98" s="1">
        <v>0.9446</v>
      </c>
      <c r="B98" s="9" t="s">
        <v>2050</v>
      </c>
      <c r="C98" s="2">
        <v>2561</v>
      </c>
      <c r="D98" s="3" t="s">
        <v>702</v>
      </c>
      <c r="E98" s="9" t="s">
        <v>2051</v>
      </c>
      <c r="F98" s="9" t="s">
        <v>2052</v>
      </c>
      <c r="G98" s="1">
        <v>1341.7727</v>
      </c>
      <c r="H98" s="2">
        <v>746</v>
      </c>
      <c r="I98" s="2">
        <v>2</v>
      </c>
      <c r="J98" s="1">
        <v>1341.5589</v>
      </c>
      <c r="K98" s="1">
        <v>671.89359999999999</v>
      </c>
      <c r="L98" s="9" t="s">
        <v>2053</v>
      </c>
      <c r="M98" s="2">
        <v>5.24</v>
      </c>
      <c r="N98" s="4">
        <v>3673.53</v>
      </c>
      <c r="O98" s="1">
        <v>-159.10257219297816</v>
      </c>
      <c r="P98" s="6">
        <v>35.5</v>
      </c>
      <c r="Q98" s="6">
        <v>30.1</v>
      </c>
      <c r="R98" s="6">
        <v>10.1</v>
      </c>
      <c r="S98" s="6">
        <v>10.6</v>
      </c>
      <c r="T98" s="5">
        <v>0.26</v>
      </c>
      <c r="U98" s="1">
        <v>-0.21379999999999999</v>
      </c>
      <c r="V98" s="1">
        <v>1.7837000000000001</v>
      </c>
    </row>
    <row r="99" spans="1:22" x14ac:dyDescent="0.25">
      <c r="A99" s="1">
        <v>1</v>
      </c>
      <c r="B99" s="9" t="s">
        <v>2054</v>
      </c>
      <c r="C99" s="2">
        <v>2579</v>
      </c>
      <c r="D99" s="3" t="s">
        <v>784</v>
      </c>
      <c r="E99" s="9" t="s">
        <v>2055</v>
      </c>
      <c r="F99" s="9" t="s">
        <v>2056</v>
      </c>
      <c r="G99" s="1">
        <v>1545.7827</v>
      </c>
      <c r="H99" s="2">
        <v>749</v>
      </c>
      <c r="I99" s="2">
        <v>3</v>
      </c>
      <c r="J99" s="1">
        <v>1545.7905000000001</v>
      </c>
      <c r="K99" s="1">
        <v>516.26819999999998</v>
      </c>
      <c r="L99" s="9" t="s">
        <v>489</v>
      </c>
      <c r="M99" s="2">
        <v>5.21</v>
      </c>
      <c r="N99" s="4">
        <v>3710.53</v>
      </c>
      <c r="O99" s="1">
        <v>5.0361420672433432</v>
      </c>
      <c r="P99" s="6">
        <v>45.4</v>
      </c>
      <c r="Q99" s="6">
        <v>25.3</v>
      </c>
      <c r="R99" s="6">
        <v>6.1</v>
      </c>
      <c r="S99" s="6">
        <v>10.8</v>
      </c>
      <c r="T99" s="5">
        <v>2.6000000000000001E-6</v>
      </c>
      <c r="U99" s="1">
        <v>7.7999999999999996E-3</v>
      </c>
      <c r="V99" s="1">
        <v>10.1808</v>
      </c>
    </row>
    <row r="100" spans="1:22" x14ac:dyDescent="0.25">
      <c r="A100" s="1">
        <v>1</v>
      </c>
      <c r="B100" s="9" t="s">
        <v>2057</v>
      </c>
      <c r="C100" s="2">
        <v>2615</v>
      </c>
      <c r="D100" s="3" t="s">
        <v>1903</v>
      </c>
      <c r="E100" s="9" t="s">
        <v>207</v>
      </c>
      <c r="F100" s="9" t="s">
        <v>97</v>
      </c>
      <c r="G100" s="1">
        <v>1882.9607000000001</v>
      </c>
      <c r="H100" s="2">
        <v>364</v>
      </c>
      <c r="I100" s="2">
        <v>3</v>
      </c>
      <c r="J100" s="1">
        <v>1882.9791</v>
      </c>
      <c r="K100" s="1">
        <v>628.66079999999999</v>
      </c>
      <c r="L100" s="9" t="s">
        <v>98</v>
      </c>
      <c r="M100" s="2">
        <v>6.77</v>
      </c>
      <c r="N100" s="4">
        <v>3777.13</v>
      </c>
      <c r="O100" s="1">
        <v>9.7561886049413822</v>
      </c>
      <c r="P100" s="6">
        <v>42.6</v>
      </c>
      <c r="Q100" s="6">
        <v>25.5</v>
      </c>
      <c r="R100" s="6">
        <v>10.1</v>
      </c>
      <c r="S100" s="6">
        <v>8.9</v>
      </c>
      <c r="T100" s="5">
        <v>1.5999999999999999E-6</v>
      </c>
      <c r="U100" s="1">
        <v>1.84E-2</v>
      </c>
      <c r="V100" s="1">
        <v>9.1645000000000003</v>
      </c>
    </row>
    <row r="101" spans="1:22" x14ac:dyDescent="0.25">
      <c r="A101" s="1">
        <v>1</v>
      </c>
      <c r="B101" s="9" t="s">
        <v>2058</v>
      </c>
      <c r="C101" s="2">
        <v>2635</v>
      </c>
      <c r="D101" s="3" t="s">
        <v>120</v>
      </c>
      <c r="E101" s="9" t="s">
        <v>207</v>
      </c>
      <c r="F101" s="9" t="s">
        <v>97</v>
      </c>
      <c r="G101" s="1">
        <v>1882.9611</v>
      </c>
      <c r="H101" s="2">
        <v>756</v>
      </c>
      <c r="I101" s="2">
        <v>3</v>
      </c>
      <c r="J101" s="1">
        <v>1882.9664</v>
      </c>
      <c r="K101" s="1">
        <v>628.66099999999994</v>
      </c>
      <c r="L101" s="9" t="s">
        <v>98</v>
      </c>
      <c r="M101" s="2">
        <v>6.77</v>
      </c>
      <c r="N101" s="4">
        <v>3814.13</v>
      </c>
      <c r="O101" s="1">
        <v>2.8102056063071621</v>
      </c>
      <c r="P101" s="6">
        <v>47.8</v>
      </c>
      <c r="Q101" s="6">
        <v>28.1</v>
      </c>
      <c r="R101" s="6">
        <v>10.3</v>
      </c>
      <c r="S101" s="6">
        <v>9.6999999999999993</v>
      </c>
      <c r="T101" s="5">
        <v>9.1999999999999998E-7</v>
      </c>
      <c r="U101" s="1">
        <v>5.3E-3</v>
      </c>
      <c r="V101" s="1">
        <v>9.5055999999999994</v>
      </c>
    </row>
    <row r="102" spans="1:22" x14ac:dyDescent="0.25">
      <c r="A102" s="1">
        <v>0.98740000000000006</v>
      </c>
      <c r="B102" s="9" t="s">
        <v>2059</v>
      </c>
      <c r="C102" s="2">
        <v>2644</v>
      </c>
      <c r="D102" s="3" t="s">
        <v>2060</v>
      </c>
      <c r="E102" s="9" t="s">
        <v>2061</v>
      </c>
      <c r="F102" s="9" t="s">
        <v>2062</v>
      </c>
      <c r="G102" s="1">
        <v>2067.0922</v>
      </c>
      <c r="H102" s="2">
        <v>758</v>
      </c>
      <c r="I102" s="2">
        <v>4</v>
      </c>
      <c r="J102" s="1">
        <v>2067.0830999999998</v>
      </c>
      <c r="K102" s="1">
        <v>517.78030000000001</v>
      </c>
      <c r="L102" s="9" t="s">
        <v>2063</v>
      </c>
      <c r="M102" s="2">
        <v>5.57</v>
      </c>
      <c r="N102" s="4">
        <v>3828.93</v>
      </c>
      <c r="O102" s="1">
        <v>-4.3937554209768122</v>
      </c>
      <c r="P102" s="6">
        <v>37.299999999999997</v>
      </c>
      <c r="Q102" s="6">
        <v>28.3</v>
      </c>
      <c r="R102" s="6">
        <v>8.1999999999999993</v>
      </c>
      <c r="S102" s="6">
        <v>12.2</v>
      </c>
      <c r="T102" s="5">
        <v>1.7000000000000001E-2</v>
      </c>
      <c r="U102" s="1">
        <v>-9.1000000000000004E-3</v>
      </c>
      <c r="V102" s="1">
        <v>3.3469000000000002</v>
      </c>
    </row>
    <row r="103" spans="1:22" x14ac:dyDescent="0.25">
      <c r="A103" s="1">
        <v>0.99690000000000001</v>
      </c>
      <c r="B103" s="9" t="s">
        <v>2064</v>
      </c>
      <c r="C103" s="2">
        <v>2648</v>
      </c>
      <c r="D103" s="3" t="s">
        <v>146</v>
      </c>
      <c r="E103" s="9" t="s">
        <v>825</v>
      </c>
      <c r="F103" s="9" t="s">
        <v>829</v>
      </c>
      <c r="G103" s="1">
        <v>1243.6117999999999</v>
      </c>
      <c r="H103" s="2">
        <v>368</v>
      </c>
      <c r="I103" s="2">
        <v>2</v>
      </c>
      <c r="J103" s="1">
        <v>1243.6130000000001</v>
      </c>
      <c r="K103" s="1">
        <v>622.81320000000005</v>
      </c>
      <c r="L103" s="9" t="s">
        <v>827</v>
      </c>
      <c r="M103" s="2">
        <v>4.75</v>
      </c>
      <c r="N103" s="4">
        <v>3836.33</v>
      </c>
      <c r="O103" s="1">
        <v>0.96337071853968392</v>
      </c>
      <c r="P103" s="6">
        <v>39.4</v>
      </c>
      <c r="Q103" s="6">
        <v>32</v>
      </c>
      <c r="R103" s="6">
        <v>11.6</v>
      </c>
      <c r="S103" s="6">
        <v>11.4</v>
      </c>
      <c r="T103" s="5">
        <v>1.2999999999999999E-3</v>
      </c>
      <c r="U103" s="1">
        <v>1.1999999999999999E-3</v>
      </c>
      <c r="V103" s="1">
        <v>4.5118999999999998</v>
      </c>
    </row>
    <row r="104" spans="1:22" x14ac:dyDescent="0.25">
      <c r="A104" s="1">
        <v>0.99960000000000004</v>
      </c>
      <c r="B104" s="9" t="s">
        <v>2065</v>
      </c>
      <c r="C104" s="2">
        <v>2655</v>
      </c>
      <c r="D104" s="3" t="s">
        <v>61</v>
      </c>
      <c r="E104" s="9" t="s">
        <v>218</v>
      </c>
      <c r="F104" s="9" t="s">
        <v>156</v>
      </c>
      <c r="G104" s="1">
        <v>1698.0112999999999</v>
      </c>
      <c r="H104" s="2">
        <v>369</v>
      </c>
      <c r="I104" s="2">
        <v>3</v>
      </c>
      <c r="J104" s="1">
        <v>1698.0083999999999</v>
      </c>
      <c r="K104" s="1">
        <v>567.01099999999997</v>
      </c>
      <c r="L104" s="9" t="s">
        <v>157</v>
      </c>
      <c r="M104" s="2">
        <v>9.6999999999999993</v>
      </c>
      <c r="N104" s="4">
        <v>3851.13</v>
      </c>
      <c r="O104" s="1">
        <v>-1.7048464080355876</v>
      </c>
      <c r="P104" s="6">
        <v>34.5</v>
      </c>
      <c r="Q104" s="6">
        <v>22.3</v>
      </c>
      <c r="R104" s="6">
        <v>9.8000000000000007</v>
      </c>
      <c r="S104" s="6">
        <v>10.4</v>
      </c>
      <c r="T104" s="5">
        <v>1.8E-3</v>
      </c>
      <c r="U104" s="1">
        <v>-2.8999999999999998E-3</v>
      </c>
      <c r="V104" s="1">
        <v>5.2896999999999998</v>
      </c>
    </row>
    <row r="105" spans="1:22" x14ac:dyDescent="0.25">
      <c r="A105" s="1">
        <v>0.98209999999999997</v>
      </c>
      <c r="B105" s="9" t="s">
        <v>2066</v>
      </c>
      <c r="C105" s="2">
        <v>2659</v>
      </c>
      <c r="D105" s="3" t="s">
        <v>326</v>
      </c>
      <c r="E105" s="9" t="s">
        <v>846</v>
      </c>
      <c r="F105" s="9" t="s">
        <v>117</v>
      </c>
      <c r="G105" s="1">
        <v>1273.7315000000001</v>
      </c>
      <c r="H105" s="2">
        <v>370</v>
      </c>
      <c r="I105" s="2">
        <v>2</v>
      </c>
      <c r="J105" s="1">
        <v>1273.729</v>
      </c>
      <c r="K105" s="1">
        <v>637.87300000000005</v>
      </c>
      <c r="L105" s="9" t="s">
        <v>118</v>
      </c>
      <c r="M105" s="2">
        <v>8.59</v>
      </c>
      <c r="N105" s="4">
        <v>3858.53</v>
      </c>
      <c r="O105" s="1">
        <v>-1.9596377335300286</v>
      </c>
      <c r="P105" s="6">
        <v>39.6</v>
      </c>
      <c r="Q105" s="6">
        <v>29.6</v>
      </c>
      <c r="R105" s="6">
        <v>8.1999999999999993</v>
      </c>
      <c r="S105" s="6">
        <v>8.8000000000000007</v>
      </c>
      <c r="T105" s="5">
        <v>0.2</v>
      </c>
      <c r="U105" s="1">
        <v>-2.5000000000000001E-3</v>
      </c>
      <c r="V105" s="1">
        <v>2.492</v>
      </c>
    </row>
    <row r="106" spans="1:22" x14ac:dyDescent="0.25">
      <c r="A106" s="1">
        <v>0.99760000000000004</v>
      </c>
      <c r="B106" s="9" t="s">
        <v>2067</v>
      </c>
      <c r="C106" s="2">
        <v>2660</v>
      </c>
      <c r="D106" s="3" t="s">
        <v>141</v>
      </c>
      <c r="E106" s="9" t="s">
        <v>843</v>
      </c>
      <c r="F106" s="9" t="s">
        <v>540</v>
      </c>
      <c r="G106" s="1">
        <v>1325.6723</v>
      </c>
      <c r="H106" s="2">
        <v>371</v>
      </c>
      <c r="I106" s="2">
        <v>2</v>
      </c>
      <c r="J106" s="1">
        <v>1325.6723999999999</v>
      </c>
      <c r="K106" s="1">
        <v>663.84339999999997</v>
      </c>
      <c r="L106" s="9" t="s">
        <v>514</v>
      </c>
      <c r="M106" s="2">
        <v>8.59</v>
      </c>
      <c r="N106" s="4">
        <v>3858.53</v>
      </c>
      <c r="O106" s="1">
        <v>7.5318968298848807E-2</v>
      </c>
      <c r="P106" s="6">
        <v>42.9</v>
      </c>
      <c r="Q106" s="6">
        <v>29.8</v>
      </c>
      <c r="R106" s="6">
        <v>6.8</v>
      </c>
      <c r="S106" s="6">
        <v>8.8000000000000007</v>
      </c>
      <c r="T106" s="5">
        <v>1.4E-2</v>
      </c>
      <c r="U106" s="1">
        <v>1E-4</v>
      </c>
      <c r="V106" s="1">
        <v>3.9323999999999999</v>
      </c>
    </row>
    <row r="107" spans="1:22" x14ac:dyDescent="0.25">
      <c r="A107" s="1">
        <v>0.98440000000000005</v>
      </c>
      <c r="B107" s="9" t="s">
        <v>2068</v>
      </c>
      <c r="C107" s="2">
        <v>2664</v>
      </c>
      <c r="D107" s="3" t="s">
        <v>2069</v>
      </c>
      <c r="E107" s="9" t="s">
        <v>2070</v>
      </c>
      <c r="F107" s="9" t="s">
        <v>2071</v>
      </c>
      <c r="G107" s="1">
        <v>1744.8307</v>
      </c>
      <c r="H107" s="2">
        <v>759</v>
      </c>
      <c r="I107" s="2">
        <v>3</v>
      </c>
      <c r="J107" s="1">
        <v>1744.8444999999999</v>
      </c>
      <c r="K107" s="1">
        <v>582.61749999999995</v>
      </c>
      <c r="L107" s="9" t="s">
        <v>2072</v>
      </c>
      <c r="M107" s="2">
        <v>4.45</v>
      </c>
      <c r="N107" s="4">
        <v>3865.93</v>
      </c>
      <c r="O107" s="1">
        <v>7.8954030731998275</v>
      </c>
      <c r="P107" s="6">
        <v>41.6</v>
      </c>
      <c r="Q107" s="6">
        <v>31.1</v>
      </c>
      <c r="R107" s="6">
        <v>11.7</v>
      </c>
      <c r="S107" s="6">
        <v>12.4</v>
      </c>
      <c r="T107" s="5">
        <v>1.9E-2</v>
      </c>
      <c r="U107" s="1">
        <v>1.38E-2</v>
      </c>
      <c r="V107" s="1">
        <v>3.6676000000000002</v>
      </c>
    </row>
    <row r="108" spans="1:22" x14ac:dyDescent="0.25">
      <c r="A108" s="1">
        <v>0.98540000000000005</v>
      </c>
      <c r="B108" s="9" t="s">
        <v>2073</v>
      </c>
      <c r="C108" s="2">
        <v>2667</v>
      </c>
      <c r="D108" s="3" t="s">
        <v>702</v>
      </c>
      <c r="E108" s="9" t="s">
        <v>825</v>
      </c>
      <c r="F108" s="9" t="s">
        <v>829</v>
      </c>
      <c r="G108" s="1">
        <v>1243.6117999999999</v>
      </c>
      <c r="H108" s="2">
        <v>372</v>
      </c>
      <c r="I108" s="2">
        <v>2</v>
      </c>
      <c r="J108" s="1">
        <v>1243.6044999999999</v>
      </c>
      <c r="K108" s="1">
        <v>622.81320000000005</v>
      </c>
      <c r="L108" s="9" t="s">
        <v>827</v>
      </c>
      <c r="M108" s="2">
        <v>4.75</v>
      </c>
      <c r="N108" s="4">
        <v>3873.34</v>
      </c>
      <c r="O108" s="1">
        <v>-5.860505204449745</v>
      </c>
      <c r="P108" s="6">
        <v>37</v>
      </c>
      <c r="Q108" s="6">
        <v>32.1</v>
      </c>
      <c r="R108" s="6">
        <v>12.1</v>
      </c>
      <c r="S108" s="6">
        <v>11.4</v>
      </c>
      <c r="T108" s="5">
        <v>8.9999999999999993E-3</v>
      </c>
      <c r="U108" s="1">
        <v>-7.3000000000000001E-3</v>
      </c>
      <c r="V108" s="1">
        <v>3.3113000000000001</v>
      </c>
    </row>
    <row r="109" spans="1:22" x14ac:dyDescent="0.25">
      <c r="A109" s="1">
        <v>0.98029999999999995</v>
      </c>
      <c r="B109" s="9" t="s">
        <v>2074</v>
      </c>
      <c r="C109" s="2">
        <v>2679</v>
      </c>
      <c r="D109" s="3" t="s">
        <v>370</v>
      </c>
      <c r="E109" s="9" t="s">
        <v>843</v>
      </c>
      <c r="F109" s="9" t="s">
        <v>540</v>
      </c>
      <c r="G109" s="1">
        <v>1325.6723</v>
      </c>
      <c r="H109" s="2">
        <v>373</v>
      </c>
      <c r="I109" s="2">
        <v>2</v>
      </c>
      <c r="J109" s="1">
        <v>1325.6665</v>
      </c>
      <c r="K109" s="1">
        <v>663.84339999999997</v>
      </c>
      <c r="L109" s="9" t="s">
        <v>514</v>
      </c>
      <c r="M109" s="2">
        <v>8.59</v>
      </c>
      <c r="N109" s="4">
        <v>3895.54</v>
      </c>
      <c r="O109" s="1">
        <v>-4.3685001613332304</v>
      </c>
      <c r="P109" s="6">
        <v>38.9</v>
      </c>
      <c r="Q109" s="6">
        <v>29.3</v>
      </c>
      <c r="R109" s="6">
        <v>7.5</v>
      </c>
      <c r="S109" s="6">
        <v>8.5</v>
      </c>
      <c r="T109" s="5">
        <v>0.16</v>
      </c>
      <c r="U109" s="1">
        <v>-5.7999999999999996E-3</v>
      </c>
      <c r="V109" s="1">
        <v>2.4746000000000001</v>
      </c>
    </row>
    <row r="110" spans="1:22" x14ac:dyDescent="0.25">
      <c r="A110" s="1">
        <v>0.99970000000000003</v>
      </c>
      <c r="B110" s="9" t="s">
        <v>2075</v>
      </c>
      <c r="C110" s="2">
        <v>2683</v>
      </c>
      <c r="D110" s="3" t="s">
        <v>1678</v>
      </c>
      <c r="E110" s="9" t="s">
        <v>2076</v>
      </c>
      <c r="F110" s="9" t="s">
        <v>897</v>
      </c>
      <c r="G110" s="1">
        <v>1431.7391</v>
      </c>
      <c r="H110" s="2">
        <v>374</v>
      </c>
      <c r="I110" s="2">
        <v>2</v>
      </c>
      <c r="J110" s="1">
        <v>1431.7401</v>
      </c>
      <c r="K110" s="1">
        <v>716.8768</v>
      </c>
      <c r="L110" s="9" t="s">
        <v>898</v>
      </c>
      <c r="M110" s="2">
        <v>6.25</v>
      </c>
      <c r="N110" s="4">
        <v>3902.94</v>
      </c>
      <c r="O110" s="1">
        <v>0.69746991393779245</v>
      </c>
      <c r="P110" s="6">
        <v>55</v>
      </c>
      <c r="Q110" s="6">
        <v>29.4</v>
      </c>
      <c r="R110" s="6">
        <v>8.6</v>
      </c>
      <c r="S110" s="6">
        <v>9.6</v>
      </c>
      <c r="T110" s="5">
        <v>3.3E-4</v>
      </c>
      <c r="U110" s="1">
        <v>1E-3</v>
      </c>
      <c r="V110" s="1">
        <v>6.0228999999999999</v>
      </c>
    </row>
    <row r="111" spans="1:22" x14ac:dyDescent="0.25">
      <c r="A111" s="1">
        <v>0.99470000000000003</v>
      </c>
      <c r="B111" s="9" t="s">
        <v>2077</v>
      </c>
      <c r="C111" s="2">
        <v>2687</v>
      </c>
      <c r="D111" s="3" t="s">
        <v>702</v>
      </c>
      <c r="E111" s="9" t="s">
        <v>850</v>
      </c>
      <c r="F111" s="9" t="s">
        <v>851</v>
      </c>
      <c r="G111" s="1">
        <v>1358.654</v>
      </c>
      <c r="H111" s="2">
        <v>564</v>
      </c>
      <c r="I111" s="2">
        <v>2</v>
      </c>
      <c r="J111" s="1">
        <v>1358.6552999999999</v>
      </c>
      <c r="K111" s="1">
        <v>680.33429999999998</v>
      </c>
      <c r="L111" s="9" t="s">
        <v>852</v>
      </c>
      <c r="M111" s="2">
        <v>4.71</v>
      </c>
      <c r="N111" s="4">
        <v>3912.49</v>
      </c>
      <c r="O111" s="1">
        <v>0.95541265521964713</v>
      </c>
      <c r="P111" s="6">
        <v>34.1</v>
      </c>
      <c r="Q111" s="6">
        <v>26.6</v>
      </c>
      <c r="R111" s="6">
        <v>9.8000000000000007</v>
      </c>
      <c r="S111" s="6">
        <v>10.3</v>
      </c>
      <c r="T111" s="5">
        <v>1.0999999999999999E-2</v>
      </c>
      <c r="U111" s="1">
        <v>1.2999999999999999E-3</v>
      </c>
      <c r="V111" s="1">
        <v>3.6366999999999998</v>
      </c>
    </row>
    <row r="112" spans="1:22" x14ac:dyDescent="0.25">
      <c r="A112" s="1">
        <v>0.99970000000000003</v>
      </c>
      <c r="B112" s="9" t="s">
        <v>2078</v>
      </c>
      <c r="C112" s="2">
        <v>2688</v>
      </c>
      <c r="D112" s="3" t="s">
        <v>51</v>
      </c>
      <c r="E112" s="9" t="s">
        <v>848</v>
      </c>
      <c r="F112" s="9" t="s">
        <v>112</v>
      </c>
      <c r="G112" s="1">
        <v>1253.7417</v>
      </c>
      <c r="H112" s="2">
        <v>375</v>
      </c>
      <c r="I112" s="2">
        <v>2</v>
      </c>
      <c r="J112" s="1">
        <v>1253.7371000000001</v>
      </c>
      <c r="K112" s="1">
        <v>627.87810000000002</v>
      </c>
      <c r="L112" s="9" t="s">
        <v>113</v>
      </c>
      <c r="M112" s="2">
        <v>8.59</v>
      </c>
      <c r="N112" s="4">
        <v>3910.34</v>
      </c>
      <c r="O112" s="1">
        <v>-3.6631314263071126</v>
      </c>
      <c r="P112" s="6">
        <v>53.3</v>
      </c>
      <c r="Q112" s="6">
        <v>34</v>
      </c>
      <c r="R112" s="6">
        <v>11.3</v>
      </c>
      <c r="S112" s="6">
        <v>10.8</v>
      </c>
      <c r="T112" s="5">
        <v>6.9999999999999999E-4</v>
      </c>
      <c r="U112" s="1">
        <v>-4.5999999999999999E-3</v>
      </c>
      <c r="V112" s="1">
        <v>5.9076000000000004</v>
      </c>
    </row>
    <row r="113" spans="1:22" x14ac:dyDescent="0.25">
      <c r="A113" s="1">
        <v>0.99780000000000002</v>
      </c>
      <c r="B113" s="9" t="s">
        <v>2079</v>
      </c>
      <c r="C113" s="2">
        <v>2700</v>
      </c>
      <c r="D113" s="3" t="s">
        <v>1000</v>
      </c>
      <c r="E113" s="9" t="s">
        <v>2080</v>
      </c>
      <c r="F113" s="9" t="s">
        <v>2081</v>
      </c>
      <c r="G113" s="1">
        <v>1575.7217000000001</v>
      </c>
      <c r="H113" s="2">
        <v>762</v>
      </c>
      <c r="I113" s="2">
        <v>2</v>
      </c>
      <c r="J113" s="1">
        <v>1575.7035000000001</v>
      </c>
      <c r="K113" s="1">
        <v>788.86810000000003</v>
      </c>
      <c r="L113" s="9" t="s">
        <v>2082</v>
      </c>
      <c r="M113" s="2">
        <v>6.71</v>
      </c>
      <c r="N113" s="4">
        <v>3932.54</v>
      </c>
      <c r="O113" s="1">
        <v>-11.535515252803352</v>
      </c>
      <c r="P113" s="6">
        <v>43.2</v>
      </c>
      <c r="Q113" s="6">
        <v>27</v>
      </c>
      <c r="R113" s="6">
        <v>12.7</v>
      </c>
      <c r="S113" s="6">
        <v>11.3</v>
      </c>
      <c r="T113" s="5">
        <v>2.1000000000000001E-4</v>
      </c>
      <c r="U113" s="1">
        <v>-1.8200000000000001E-2</v>
      </c>
      <c r="V113" s="1">
        <v>6.0434000000000001</v>
      </c>
    </row>
    <row r="114" spans="1:22" x14ac:dyDescent="0.25">
      <c r="A114" s="1">
        <v>0.99819999999999998</v>
      </c>
      <c r="B114" s="9" t="s">
        <v>2083</v>
      </c>
      <c r="C114" s="2">
        <v>2715</v>
      </c>
      <c r="D114" s="3" t="s">
        <v>231</v>
      </c>
      <c r="E114" s="9" t="s">
        <v>232</v>
      </c>
      <c r="F114" s="9" t="s">
        <v>156</v>
      </c>
      <c r="G114" s="1">
        <v>2621.5189999999998</v>
      </c>
      <c r="H114" s="2">
        <v>377</v>
      </c>
      <c r="I114" s="2">
        <v>4</v>
      </c>
      <c r="J114" s="1">
        <v>2621.5239999999999</v>
      </c>
      <c r="K114" s="1">
        <v>656.38699999999994</v>
      </c>
      <c r="L114" s="9" t="s">
        <v>157</v>
      </c>
      <c r="M114" s="2">
        <v>9.5299999999999994</v>
      </c>
      <c r="N114" s="4">
        <v>3962.14</v>
      </c>
      <c r="O114" s="1">
        <v>1.9043643460336663</v>
      </c>
      <c r="P114" s="6">
        <v>37.4</v>
      </c>
      <c r="Q114" s="6">
        <v>25.4</v>
      </c>
      <c r="R114" s="6">
        <v>13.4</v>
      </c>
      <c r="S114" s="6">
        <v>7.6</v>
      </c>
      <c r="T114" s="5">
        <v>3.7000000000000002E-3</v>
      </c>
      <c r="U114" s="1">
        <v>5.0000000000000001E-3</v>
      </c>
      <c r="V114" s="1">
        <v>3.7231999999999998</v>
      </c>
    </row>
    <row r="115" spans="1:22" x14ac:dyDescent="0.25">
      <c r="A115" s="1">
        <v>0.99790000000000001</v>
      </c>
      <c r="B115" s="9" t="s">
        <v>2084</v>
      </c>
      <c r="C115" s="2">
        <v>2716</v>
      </c>
      <c r="D115" s="3" t="s">
        <v>316</v>
      </c>
      <c r="E115" s="9" t="s">
        <v>2085</v>
      </c>
      <c r="F115" s="9" t="s">
        <v>860</v>
      </c>
      <c r="G115" s="1">
        <v>1704.8757000000001</v>
      </c>
      <c r="H115" s="2">
        <v>764</v>
      </c>
      <c r="I115" s="2">
        <v>2</v>
      </c>
      <c r="J115" s="1">
        <v>1704.8623</v>
      </c>
      <c r="K115" s="1">
        <v>853.44510000000002</v>
      </c>
      <c r="L115" s="9" t="s">
        <v>673</v>
      </c>
      <c r="M115" s="2">
        <v>5.93</v>
      </c>
      <c r="N115" s="4">
        <v>3962.14</v>
      </c>
      <c r="O115" s="1">
        <v>-7.8505342640083118</v>
      </c>
      <c r="P115" s="6">
        <v>39.5</v>
      </c>
      <c r="Q115" s="6">
        <v>25.1</v>
      </c>
      <c r="R115" s="6">
        <v>8.8000000000000007</v>
      </c>
      <c r="S115" s="6">
        <v>11.4</v>
      </c>
      <c r="T115" s="5">
        <v>5.8999999999999998E-5</v>
      </c>
      <c r="U115" s="1">
        <v>-1.34E-2</v>
      </c>
      <c r="V115" s="1">
        <v>6.1230000000000002</v>
      </c>
    </row>
    <row r="116" spans="1:22" x14ac:dyDescent="0.25">
      <c r="A116" s="1">
        <v>0.99980000000000002</v>
      </c>
      <c r="B116" s="9" t="s">
        <v>2086</v>
      </c>
      <c r="C116" s="2">
        <v>2728</v>
      </c>
      <c r="D116" s="3" t="s">
        <v>168</v>
      </c>
      <c r="E116" s="9" t="s">
        <v>1317</v>
      </c>
      <c r="F116" s="9" t="s">
        <v>391</v>
      </c>
      <c r="G116" s="1">
        <v>2116.0987</v>
      </c>
      <c r="H116" s="2">
        <v>378</v>
      </c>
      <c r="I116" s="2">
        <v>3</v>
      </c>
      <c r="J116" s="1">
        <v>2116.0920000000001</v>
      </c>
      <c r="K116" s="1">
        <v>706.37350000000004</v>
      </c>
      <c r="L116" s="9" t="s">
        <v>364</v>
      </c>
      <c r="M116" s="2">
        <v>8.59</v>
      </c>
      <c r="N116" s="4">
        <v>3984.34</v>
      </c>
      <c r="O116" s="1">
        <v>-3.1616890120217325</v>
      </c>
      <c r="P116" s="6">
        <v>37.5</v>
      </c>
      <c r="Q116" s="6">
        <v>24.2</v>
      </c>
      <c r="R116" s="6">
        <v>9.1999999999999993</v>
      </c>
      <c r="S116" s="6">
        <v>11.1</v>
      </c>
      <c r="T116" s="5">
        <v>2.1000000000000001E-4</v>
      </c>
      <c r="U116" s="1">
        <v>-6.7000000000000002E-3</v>
      </c>
      <c r="V116" s="1">
        <v>5.8639999999999999</v>
      </c>
    </row>
    <row r="117" spans="1:22" x14ac:dyDescent="0.25">
      <c r="A117" s="1">
        <v>0.94969999999999999</v>
      </c>
      <c r="B117" s="9" t="s">
        <v>2087</v>
      </c>
      <c r="C117" s="2">
        <v>2753</v>
      </c>
      <c r="D117" s="3" t="s">
        <v>321</v>
      </c>
      <c r="E117" s="9" t="s">
        <v>2088</v>
      </c>
      <c r="F117" s="9" t="s">
        <v>1900</v>
      </c>
      <c r="G117" s="1">
        <v>1684.9376999999999</v>
      </c>
      <c r="H117" s="2">
        <v>381</v>
      </c>
      <c r="I117" s="2">
        <v>3</v>
      </c>
      <c r="J117" s="1">
        <v>1684.9509</v>
      </c>
      <c r="K117" s="1">
        <v>562.65319999999997</v>
      </c>
      <c r="L117" s="9" t="s">
        <v>1901</v>
      </c>
      <c r="M117" s="2">
        <v>10</v>
      </c>
      <c r="N117" s="4">
        <v>4028.74</v>
      </c>
      <c r="O117" s="1">
        <v>7.8200923766184935</v>
      </c>
      <c r="P117" s="6">
        <v>35</v>
      </c>
      <c r="Q117" s="6">
        <v>28.1</v>
      </c>
      <c r="R117" s="6">
        <v>11.7</v>
      </c>
      <c r="S117" s="6">
        <v>11.8</v>
      </c>
      <c r="T117" s="5">
        <v>4.9000000000000002E-2</v>
      </c>
      <c r="U117" s="1">
        <v>1.32E-2</v>
      </c>
      <c r="V117" s="1">
        <v>2.9664999999999999</v>
      </c>
    </row>
    <row r="118" spans="1:22" x14ac:dyDescent="0.25">
      <c r="A118" s="1">
        <v>0.99619999999999997</v>
      </c>
      <c r="B118" s="9" t="s">
        <v>2089</v>
      </c>
      <c r="C118" s="2">
        <v>2788</v>
      </c>
      <c r="D118" s="3" t="s">
        <v>231</v>
      </c>
      <c r="E118" s="9" t="s">
        <v>232</v>
      </c>
      <c r="F118" s="9" t="s">
        <v>156</v>
      </c>
      <c r="G118" s="1">
        <v>2621.5187000000001</v>
      </c>
      <c r="H118" s="2">
        <v>384</v>
      </c>
      <c r="I118" s="2">
        <v>4</v>
      </c>
      <c r="J118" s="1">
        <v>2622.5140999999999</v>
      </c>
      <c r="K118" s="1">
        <v>656.38699999999994</v>
      </c>
      <c r="L118" s="9" t="s">
        <v>157</v>
      </c>
      <c r="M118" s="2">
        <v>9.5299999999999994</v>
      </c>
      <c r="N118" s="4">
        <v>4095.34</v>
      </c>
      <c r="O118" s="1">
        <v>-3.0298436745395803</v>
      </c>
      <c r="P118" s="6">
        <v>40.1</v>
      </c>
      <c r="Q118" s="6">
        <v>28.3</v>
      </c>
      <c r="R118" s="6">
        <v>13.3</v>
      </c>
      <c r="S118" s="6">
        <v>7.7</v>
      </c>
      <c r="T118" s="5">
        <v>1.2999999999999999E-3</v>
      </c>
      <c r="U118" s="1">
        <v>0.99539999999999995</v>
      </c>
      <c r="V118" s="1">
        <v>4.0351999999999997</v>
      </c>
    </row>
    <row r="119" spans="1:22" x14ac:dyDescent="0.25">
      <c r="A119" s="1">
        <v>0.9909</v>
      </c>
      <c r="B119" s="9" t="s">
        <v>2090</v>
      </c>
      <c r="C119" s="2">
        <v>2789</v>
      </c>
      <c r="D119" s="3" t="s">
        <v>396</v>
      </c>
      <c r="E119" s="9" t="s">
        <v>2091</v>
      </c>
      <c r="F119" s="9" t="s">
        <v>2092</v>
      </c>
      <c r="G119" s="1">
        <v>1196.5933</v>
      </c>
      <c r="H119" s="2">
        <v>385</v>
      </c>
      <c r="I119" s="2">
        <v>2</v>
      </c>
      <c r="J119" s="1">
        <v>1196.588</v>
      </c>
      <c r="K119" s="1">
        <v>599.3039</v>
      </c>
      <c r="L119" s="9" t="s">
        <v>2093</v>
      </c>
      <c r="M119" s="2">
        <v>5.55</v>
      </c>
      <c r="N119" s="4">
        <v>4095.34</v>
      </c>
      <c r="O119" s="1">
        <v>-4.4217966877906179</v>
      </c>
      <c r="P119" s="6">
        <v>44.9</v>
      </c>
      <c r="Q119" s="6">
        <v>30.8</v>
      </c>
      <c r="R119" s="6">
        <v>12</v>
      </c>
      <c r="S119" s="6">
        <v>11.8</v>
      </c>
      <c r="T119" s="5">
        <v>0.19</v>
      </c>
      <c r="U119" s="1">
        <v>-5.3E-3</v>
      </c>
      <c r="V119" s="1">
        <v>2.9605999999999999</v>
      </c>
    </row>
    <row r="120" spans="1:22" x14ac:dyDescent="0.25">
      <c r="A120" s="1">
        <v>0.99080000000000001</v>
      </c>
      <c r="B120" s="9" t="s">
        <v>2094</v>
      </c>
      <c r="C120" s="2">
        <v>2827</v>
      </c>
      <c r="D120" s="3" t="s">
        <v>69</v>
      </c>
      <c r="E120" s="9" t="s">
        <v>873</v>
      </c>
      <c r="F120" s="9" t="s">
        <v>112</v>
      </c>
      <c r="G120" s="1">
        <v>1125.6831</v>
      </c>
      <c r="H120" s="2">
        <v>388</v>
      </c>
      <c r="I120" s="2">
        <v>2</v>
      </c>
      <c r="J120" s="1">
        <v>1125.6858999999999</v>
      </c>
      <c r="K120" s="1">
        <v>563.84879999999998</v>
      </c>
      <c r="L120" s="9" t="s">
        <v>113</v>
      </c>
      <c r="M120" s="2">
        <v>8.56</v>
      </c>
      <c r="N120" s="4">
        <v>4169.3500000000004</v>
      </c>
      <c r="O120" s="1">
        <v>2.4829351414776442</v>
      </c>
      <c r="P120" s="6">
        <v>38.5</v>
      </c>
      <c r="Q120" s="6">
        <v>32.700000000000003</v>
      </c>
      <c r="R120" s="6">
        <v>11.2</v>
      </c>
      <c r="S120" s="6">
        <v>10.8</v>
      </c>
      <c r="T120" s="5">
        <v>2.8000000000000001E-2</v>
      </c>
      <c r="U120" s="1">
        <v>2.8E-3</v>
      </c>
      <c r="V120" s="1">
        <v>3.1103999999999998</v>
      </c>
    </row>
    <row r="121" spans="1:22" x14ac:dyDescent="0.25">
      <c r="A121" s="1">
        <v>0.99919999999999998</v>
      </c>
      <c r="B121" s="9" t="s">
        <v>2095</v>
      </c>
      <c r="C121" s="2">
        <v>2840</v>
      </c>
      <c r="D121" s="3" t="s">
        <v>56</v>
      </c>
      <c r="E121" s="9" t="s">
        <v>2096</v>
      </c>
      <c r="F121" s="9" t="s">
        <v>1968</v>
      </c>
      <c r="G121" s="1">
        <v>1655.9217000000001</v>
      </c>
      <c r="H121" s="2">
        <v>773</v>
      </c>
      <c r="I121" s="2">
        <v>3</v>
      </c>
      <c r="J121" s="1">
        <v>1655.9328</v>
      </c>
      <c r="K121" s="1">
        <v>552.98119999999994</v>
      </c>
      <c r="L121" s="9" t="s">
        <v>1969</v>
      </c>
      <c r="M121" s="2">
        <v>10.84</v>
      </c>
      <c r="N121" s="4">
        <v>4191.55</v>
      </c>
      <c r="O121" s="1">
        <v>6.6910050468261852</v>
      </c>
      <c r="P121" s="6">
        <v>44.3</v>
      </c>
      <c r="Q121" s="6">
        <v>28.5</v>
      </c>
      <c r="R121" s="6">
        <v>11.8</v>
      </c>
      <c r="S121" s="6">
        <v>12.6</v>
      </c>
      <c r="T121" s="5">
        <v>1.4E-3</v>
      </c>
      <c r="U121" s="1">
        <v>1.11E-2</v>
      </c>
      <c r="V121" s="1">
        <v>5.8235000000000001</v>
      </c>
    </row>
    <row r="122" spans="1:22" x14ac:dyDescent="0.25">
      <c r="A122" s="1">
        <v>0.98280000000000001</v>
      </c>
      <c r="B122" s="9" t="s">
        <v>2097</v>
      </c>
      <c r="C122" s="2">
        <v>2848</v>
      </c>
      <c r="D122" s="3" t="s">
        <v>154</v>
      </c>
      <c r="E122" s="9" t="s">
        <v>873</v>
      </c>
      <c r="F122" s="9" t="s">
        <v>112</v>
      </c>
      <c r="G122" s="1">
        <v>1125.6831</v>
      </c>
      <c r="H122" s="2">
        <v>391</v>
      </c>
      <c r="I122" s="2">
        <v>2</v>
      </c>
      <c r="J122" s="1">
        <v>1125.6736000000001</v>
      </c>
      <c r="K122" s="1">
        <v>563.84879999999998</v>
      </c>
      <c r="L122" s="9" t="s">
        <v>113</v>
      </c>
      <c r="M122" s="2">
        <v>8.56</v>
      </c>
      <c r="N122" s="4">
        <v>4206.3500000000004</v>
      </c>
      <c r="O122" s="1">
        <v>-8.4242442300134375</v>
      </c>
      <c r="P122" s="6">
        <v>35.299999999999997</v>
      </c>
      <c r="Q122" s="6">
        <v>29.9</v>
      </c>
      <c r="R122" s="6">
        <v>11.3</v>
      </c>
      <c r="S122" s="6">
        <v>10.6</v>
      </c>
      <c r="T122" s="5">
        <v>5.0999999999999997E-2</v>
      </c>
      <c r="U122" s="1">
        <v>-9.4999999999999998E-3</v>
      </c>
      <c r="V122" s="1">
        <v>2.8029999999999999</v>
      </c>
    </row>
    <row r="123" spans="1:22" x14ac:dyDescent="0.25">
      <c r="A123" s="1">
        <v>0.997</v>
      </c>
      <c r="B123" s="9" t="s">
        <v>2098</v>
      </c>
      <c r="C123" s="2">
        <v>2849</v>
      </c>
      <c r="D123" s="3" t="s">
        <v>61</v>
      </c>
      <c r="E123" s="9" t="s">
        <v>2099</v>
      </c>
      <c r="F123" s="9" t="s">
        <v>1968</v>
      </c>
      <c r="G123" s="1">
        <v>1906.0896</v>
      </c>
      <c r="H123" s="2">
        <v>775</v>
      </c>
      <c r="I123" s="2">
        <v>3</v>
      </c>
      <c r="J123" s="1">
        <v>1906.0915</v>
      </c>
      <c r="K123" s="1">
        <v>636.37049999999999</v>
      </c>
      <c r="L123" s="9" t="s">
        <v>1969</v>
      </c>
      <c r="M123" s="2">
        <v>9.99</v>
      </c>
      <c r="N123" s="4">
        <v>4206.3500000000004</v>
      </c>
      <c r="O123" s="1">
        <v>0.9952273610001301</v>
      </c>
      <c r="P123" s="6">
        <v>34</v>
      </c>
      <c r="Q123" s="6">
        <v>24.8</v>
      </c>
      <c r="R123" s="6">
        <v>7.1</v>
      </c>
      <c r="S123" s="6">
        <v>7.4</v>
      </c>
      <c r="T123" s="5">
        <v>2E-3</v>
      </c>
      <c r="U123" s="1">
        <v>1.9E-3</v>
      </c>
      <c r="V123" s="1">
        <v>4.8064999999999998</v>
      </c>
    </row>
    <row r="124" spans="1:22" x14ac:dyDescent="0.25">
      <c r="A124" s="1">
        <v>1</v>
      </c>
      <c r="B124" s="9" t="s">
        <v>2100</v>
      </c>
      <c r="C124" s="2">
        <v>2852</v>
      </c>
      <c r="D124" s="3" t="s">
        <v>2101</v>
      </c>
      <c r="E124" s="9" t="s">
        <v>2102</v>
      </c>
      <c r="F124" s="9" t="s">
        <v>156</v>
      </c>
      <c r="G124" s="1">
        <v>2848.6460000000002</v>
      </c>
      <c r="H124" s="2">
        <v>392</v>
      </c>
      <c r="I124" s="2">
        <v>4</v>
      </c>
      <c r="J124" s="1">
        <v>2848.6487000000002</v>
      </c>
      <c r="K124" s="1">
        <v>713.16880000000003</v>
      </c>
      <c r="L124" s="9" t="s">
        <v>157</v>
      </c>
      <c r="M124" s="2">
        <v>9.5299999999999994</v>
      </c>
      <c r="N124" s="4">
        <v>4213.75</v>
      </c>
      <c r="O124" s="1">
        <v>0.94647999183363041</v>
      </c>
      <c r="P124" s="6">
        <v>47.3</v>
      </c>
      <c r="Q124" s="6">
        <v>27.5</v>
      </c>
      <c r="R124" s="6">
        <v>14.2</v>
      </c>
      <c r="S124" s="6">
        <v>9.6999999999999993</v>
      </c>
      <c r="T124" s="5">
        <v>1.1E-5</v>
      </c>
      <c r="U124" s="1">
        <v>2.7000000000000001E-3</v>
      </c>
      <c r="V124" s="1">
        <v>6.2058999999999997</v>
      </c>
    </row>
    <row r="125" spans="1:22" x14ac:dyDescent="0.25">
      <c r="A125" s="1">
        <v>0.97240000000000004</v>
      </c>
      <c r="B125" s="9" t="s">
        <v>2103</v>
      </c>
      <c r="C125" s="2">
        <v>2853</v>
      </c>
      <c r="D125" s="3" t="s">
        <v>2104</v>
      </c>
      <c r="E125" s="9" t="s">
        <v>2105</v>
      </c>
      <c r="F125" s="9" t="s">
        <v>2106</v>
      </c>
      <c r="G125" s="1">
        <v>1295.7999</v>
      </c>
      <c r="H125" s="2">
        <v>647</v>
      </c>
      <c r="I125" s="2">
        <v>3</v>
      </c>
      <c r="J125" s="1">
        <v>1295.8077000000001</v>
      </c>
      <c r="K125" s="1">
        <v>432.94060000000002</v>
      </c>
      <c r="L125" s="9" t="s">
        <v>2107</v>
      </c>
      <c r="M125" s="2">
        <v>9.99</v>
      </c>
      <c r="N125" s="4">
        <v>4220.1000000000004</v>
      </c>
      <c r="O125" s="1">
        <v>6.0054427789863079</v>
      </c>
      <c r="P125" s="6">
        <v>27.3</v>
      </c>
      <c r="Q125" s="6">
        <v>23</v>
      </c>
      <c r="R125" s="6">
        <v>12.3</v>
      </c>
      <c r="S125" s="6">
        <v>11.5</v>
      </c>
      <c r="T125" s="5">
        <v>0.17</v>
      </c>
      <c r="U125" s="1">
        <v>7.7999999999999996E-3</v>
      </c>
      <c r="V125" s="1">
        <v>2.3169</v>
      </c>
    </row>
    <row r="126" spans="1:22" x14ac:dyDescent="0.25">
      <c r="A126" s="1">
        <v>0.99729999999999996</v>
      </c>
      <c r="B126" s="9" t="s">
        <v>2108</v>
      </c>
      <c r="C126" s="2">
        <v>2859</v>
      </c>
      <c r="D126" s="3" t="s">
        <v>875</v>
      </c>
      <c r="E126" s="9" t="s">
        <v>2109</v>
      </c>
      <c r="F126" s="9" t="s">
        <v>647</v>
      </c>
      <c r="G126" s="1">
        <v>960.52149999999995</v>
      </c>
      <c r="H126" s="2">
        <v>394</v>
      </c>
      <c r="I126" s="2">
        <v>2</v>
      </c>
      <c r="J126" s="1">
        <v>960.5204</v>
      </c>
      <c r="K126" s="1">
        <v>481.26799999999997</v>
      </c>
      <c r="L126" s="9" t="s">
        <v>118</v>
      </c>
      <c r="M126" s="2">
        <v>11</v>
      </c>
      <c r="N126" s="4">
        <v>4228.55</v>
      </c>
      <c r="O126" s="1">
        <v>-1.142814398630285</v>
      </c>
      <c r="P126" s="6">
        <v>32.799999999999997</v>
      </c>
      <c r="Q126" s="6">
        <v>26.4</v>
      </c>
      <c r="R126" s="6">
        <v>11.8</v>
      </c>
      <c r="S126" s="6">
        <v>11.9</v>
      </c>
      <c r="T126" s="5">
        <v>2.4E-2</v>
      </c>
      <c r="U126" s="1">
        <v>-1.1000000000000001E-3</v>
      </c>
      <c r="V126" s="1">
        <v>3.8355000000000001</v>
      </c>
    </row>
    <row r="127" spans="1:22" x14ac:dyDescent="0.25">
      <c r="A127" s="1">
        <v>0.99529999999999996</v>
      </c>
      <c r="B127" s="9" t="s">
        <v>2110</v>
      </c>
      <c r="C127" s="2">
        <v>2865</v>
      </c>
      <c r="D127" s="3" t="s">
        <v>298</v>
      </c>
      <c r="E127" s="9" t="s">
        <v>2111</v>
      </c>
      <c r="F127" s="9" t="s">
        <v>80</v>
      </c>
      <c r="G127" s="1">
        <v>991.5127</v>
      </c>
      <c r="H127" s="2">
        <v>395</v>
      </c>
      <c r="I127" s="2">
        <v>2</v>
      </c>
      <c r="J127" s="1">
        <v>991.51689999999996</v>
      </c>
      <c r="K127" s="1">
        <v>496.7636</v>
      </c>
      <c r="L127" s="9" t="s">
        <v>81</v>
      </c>
      <c r="M127" s="2">
        <v>6.4</v>
      </c>
      <c r="N127" s="4">
        <v>4235.95</v>
      </c>
      <c r="O127" s="1">
        <v>4.2273628744135037</v>
      </c>
      <c r="P127" s="6">
        <v>34.200000000000003</v>
      </c>
      <c r="Q127" s="6">
        <v>24.5</v>
      </c>
      <c r="R127" s="6">
        <v>9.8000000000000007</v>
      </c>
      <c r="S127" s="6">
        <v>9.9</v>
      </c>
      <c r="T127" s="5">
        <v>5.2999999999999999E-2</v>
      </c>
      <c r="U127" s="1">
        <v>4.1999999999999997E-3</v>
      </c>
      <c r="V127" s="1">
        <v>3.6661000000000001</v>
      </c>
    </row>
    <row r="128" spans="1:22" x14ac:dyDescent="0.25">
      <c r="A128" s="1">
        <v>0.94359999999999999</v>
      </c>
      <c r="B128" s="9" t="s">
        <v>2112</v>
      </c>
      <c r="C128" s="2">
        <v>2877</v>
      </c>
      <c r="D128" s="3" t="s">
        <v>250</v>
      </c>
      <c r="E128" s="9" t="s">
        <v>880</v>
      </c>
      <c r="F128" s="9" t="s">
        <v>282</v>
      </c>
      <c r="G128" s="1">
        <v>1129.5624</v>
      </c>
      <c r="H128" s="2">
        <v>1055</v>
      </c>
      <c r="I128" s="2">
        <v>2</v>
      </c>
      <c r="J128" s="1">
        <v>1129.5645999999999</v>
      </c>
      <c r="K128" s="1">
        <v>565.7885</v>
      </c>
      <c r="L128" s="9" t="s">
        <v>283</v>
      </c>
      <c r="M128" s="2">
        <v>8.23</v>
      </c>
      <c r="N128" s="4">
        <v>4258.1499999999996</v>
      </c>
      <c r="O128" s="1">
        <v>1.944189392325931</v>
      </c>
      <c r="P128" s="6">
        <v>33.9</v>
      </c>
      <c r="Q128" s="6">
        <v>26.1</v>
      </c>
      <c r="R128" s="6">
        <v>7.4</v>
      </c>
      <c r="S128" s="6">
        <v>11.5</v>
      </c>
      <c r="T128" s="5">
        <v>1.6999999999999999E-3</v>
      </c>
      <c r="U128" s="1">
        <v>2.2000000000000001E-3</v>
      </c>
      <c r="V128" s="1">
        <v>5.0282999999999998</v>
      </c>
    </row>
    <row r="129" spans="1:22" x14ac:dyDescent="0.25">
      <c r="A129" s="1">
        <v>0.99729999999999996</v>
      </c>
      <c r="B129" s="9" t="s">
        <v>2113</v>
      </c>
      <c r="C129" s="2">
        <v>2881</v>
      </c>
      <c r="D129" s="3" t="s">
        <v>630</v>
      </c>
      <c r="E129" s="9" t="s">
        <v>2114</v>
      </c>
      <c r="F129" s="9" t="s">
        <v>2115</v>
      </c>
      <c r="G129" s="1">
        <v>1587.7827</v>
      </c>
      <c r="H129" s="2">
        <v>776</v>
      </c>
      <c r="I129" s="2">
        <v>2</v>
      </c>
      <c r="J129" s="1">
        <v>1587.7748999999999</v>
      </c>
      <c r="K129" s="1">
        <v>794.89859999999999</v>
      </c>
      <c r="L129" s="9" t="s">
        <v>2116</v>
      </c>
      <c r="M129" s="2">
        <v>9.75</v>
      </c>
      <c r="N129" s="4">
        <v>4265.55</v>
      </c>
      <c r="O129" s="1">
        <v>-4.9062861602725176</v>
      </c>
      <c r="P129" s="6">
        <v>44</v>
      </c>
      <c r="Q129" s="6">
        <v>28.4</v>
      </c>
      <c r="R129" s="6">
        <v>9.8000000000000007</v>
      </c>
      <c r="S129" s="6">
        <v>12</v>
      </c>
      <c r="T129" s="5">
        <v>9.2E-5</v>
      </c>
      <c r="U129" s="1">
        <v>-7.7999999999999996E-3</v>
      </c>
      <c r="V129" s="1">
        <v>5.7041000000000004</v>
      </c>
    </row>
    <row r="130" spans="1:22" x14ac:dyDescent="0.25">
      <c r="A130" s="1">
        <v>0.97940000000000005</v>
      </c>
      <c r="B130" s="9" t="s">
        <v>2117</v>
      </c>
      <c r="C130" s="2">
        <v>2916</v>
      </c>
      <c r="D130" s="3" t="s">
        <v>2118</v>
      </c>
      <c r="E130" s="9" t="s">
        <v>2119</v>
      </c>
      <c r="F130" s="9" t="s">
        <v>2120</v>
      </c>
      <c r="G130" s="1">
        <v>1076.5972999999999</v>
      </c>
      <c r="H130" s="2">
        <v>575</v>
      </c>
      <c r="I130" s="2">
        <v>2</v>
      </c>
      <c r="J130" s="1">
        <v>1076.588</v>
      </c>
      <c r="K130" s="1">
        <v>539.30589999999995</v>
      </c>
      <c r="L130" s="9" t="s">
        <v>2121</v>
      </c>
      <c r="M130" s="2">
        <v>8.56</v>
      </c>
      <c r="N130" s="4">
        <v>4336.41</v>
      </c>
      <c r="O130" s="1">
        <v>-8.622193823579531</v>
      </c>
      <c r="P130" s="6">
        <v>40.5</v>
      </c>
      <c r="Q130" s="6">
        <v>34.200000000000003</v>
      </c>
      <c r="R130" s="6">
        <v>11.9</v>
      </c>
      <c r="S130" s="6">
        <v>11.1</v>
      </c>
      <c r="T130" s="5">
        <v>0.16</v>
      </c>
      <c r="U130" s="1">
        <v>-9.2999999999999992E-3</v>
      </c>
      <c r="V130" s="1">
        <v>2.3166000000000002</v>
      </c>
    </row>
    <row r="131" spans="1:22" x14ac:dyDescent="0.25">
      <c r="A131" s="1">
        <v>0.99609999999999999</v>
      </c>
      <c r="B131" s="9" t="s">
        <v>2122</v>
      </c>
      <c r="C131" s="2">
        <v>2935</v>
      </c>
      <c r="D131" s="3" t="s">
        <v>568</v>
      </c>
      <c r="E131" s="9" t="s">
        <v>1355</v>
      </c>
      <c r="F131" s="9" t="s">
        <v>1083</v>
      </c>
      <c r="G131" s="1">
        <v>1670.8086000000001</v>
      </c>
      <c r="H131" s="2">
        <v>217</v>
      </c>
      <c r="I131" s="2">
        <v>2</v>
      </c>
      <c r="J131" s="1">
        <v>1670.8067000000001</v>
      </c>
      <c r="K131" s="1">
        <v>836.41160000000002</v>
      </c>
      <c r="L131" s="9" t="s">
        <v>1084</v>
      </c>
      <c r="M131" s="2">
        <v>5.51</v>
      </c>
      <c r="N131" s="4">
        <v>4369.16</v>
      </c>
      <c r="O131" s="1">
        <v>-1.1358044293025109</v>
      </c>
      <c r="P131" s="6">
        <v>31.5</v>
      </c>
      <c r="Q131" s="6">
        <v>23.8</v>
      </c>
      <c r="R131" s="6">
        <v>10.6</v>
      </c>
      <c r="S131" s="6">
        <v>8.9</v>
      </c>
      <c r="T131" s="5">
        <v>3.2000000000000002E-3</v>
      </c>
      <c r="U131" s="1">
        <v>-1.9E-3</v>
      </c>
      <c r="V131" s="1">
        <v>3.9018000000000002</v>
      </c>
    </row>
    <row r="132" spans="1:22" x14ac:dyDescent="0.25">
      <c r="A132" s="1">
        <v>0.99690000000000001</v>
      </c>
      <c r="B132" s="9" t="s">
        <v>2123</v>
      </c>
      <c r="C132" s="2">
        <v>2952</v>
      </c>
      <c r="D132" s="3" t="s">
        <v>178</v>
      </c>
      <c r="E132" s="9" t="s">
        <v>281</v>
      </c>
      <c r="F132" s="9" t="s">
        <v>282</v>
      </c>
      <c r="G132" s="1">
        <v>1468.7344000000001</v>
      </c>
      <c r="H132" s="2">
        <v>400</v>
      </c>
      <c r="I132" s="2">
        <v>2</v>
      </c>
      <c r="J132" s="1">
        <v>1468.7265</v>
      </c>
      <c r="K132" s="1">
        <v>735.37450000000001</v>
      </c>
      <c r="L132" s="9" t="s">
        <v>283</v>
      </c>
      <c r="M132" s="2">
        <v>6.09</v>
      </c>
      <c r="N132" s="4">
        <v>4398.75</v>
      </c>
      <c r="O132" s="1">
        <v>-5.371412797153015</v>
      </c>
      <c r="P132" s="6">
        <v>39.4</v>
      </c>
      <c r="Q132" s="6">
        <v>26.7</v>
      </c>
      <c r="R132" s="6">
        <v>9.6</v>
      </c>
      <c r="S132" s="6">
        <v>12.9</v>
      </c>
      <c r="T132" s="5">
        <v>9.1000000000000004E-3</v>
      </c>
      <c r="U132" s="1">
        <v>-7.9000000000000008E-3</v>
      </c>
      <c r="V132" s="1">
        <v>3.9157999999999999</v>
      </c>
    </row>
    <row r="133" spans="1:22" x14ac:dyDescent="0.25">
      <c r="A133" s="1">
        <v>0.99780000000000002</v>
      </c>
      <c r="B133" s="9" t="s">
        <v>2124</v>
      </c>
      <c r="C133" s="2">
        <v>2972</v>
      </c>
      <c r="D133" s="3" t="s">
        <v>163</v>
      </c>
      <c r="E133" s="9" t="s">
        <v>2125</v>
      </c>
      <c r="F133" s="9" t="s">
        <v>1820</v>
      </c>
      <c r="G133" s="1">
        <v>1708.8759</v>
      </c>
      <c r="H133" s="2">
        <v>402</v>
      </c>
      <c r="I133" s="2">
        <v>3</v>
      </c>
      <c r="J133" s="1">
        <v>1708.8735999999999</v>
      </c>
      <c r="K133" s="1">
        <v>570.63260000000002</v>
      </c>
      <c r="L133" s="9" t="s">
        <v>1821</v>
      </c>
      <c r="M133" s="2">
        <v>6.91</v>
      </c>
      <c r="N133" s="4">
        <v>4435.76</v>
      </c>
      <c r="O133" s="1">
        <v>-1.3435381481301045</v>
      </c>
      <c r="P133" s="6">
        <v>29.4</v>
      </c>
      <c r="Q133" s="6">
        <v>21.6</v>
      </c>
      <c r="R133" s="6">
        <v>9.5</v>
      </c>
      <c r="S133" s="6">
        <v>11.7</v>
      </c>
      <c r="T133" s="5">
        <v>0.01</v>
      </c>
      <c r="U133" s="1">
        <v>-2.3E-3</v>
      </c>
      <c r="V133" s="1">
        <v>4.0796999999999999</v>
      </c>
    </row>
    <row r="134" spans="1:22" x14ac:dyDescent="0.25">
      <c r="A134" s="1">
        <v>0.96240000000000003</v>
      </c>
      <c r="B134" s="9" t="s">
        <v>2126</v>
      </c>
      <c r="C134" s="2">
        <v>2975</v>
      </c>
      <c r="D134" s="3" t="s">
        <v>260</v>
      </c>
      <c r="E134" s="9" t="s">
        <v>2127</v>
      </c>
      <c r="F134" s="9" t="s">
        <v>902</v>
      </c>
      <c r="G134" s="1">
        <v>981.56470000000002</v>
      </c>
      <c r="H134" s="2">
        <v>580</v>
      </c>
      <c r="I134" s="2">
        <v>2</v>
      </c>
      <c r="J134" s="1">
        <v>981.56089999999995</v>
      </c>
      <c r="K134" s="1">
        <v>491.78960000000001</v>
      </c>
      <c r="L134" s="9" t="s">
        <v>412</v>
      </c>
      <c r="M134" s="2">
        <v>6.74</v>
      </c>
      <c r="N134" s="4">
        <v>4445.3100000000004</v>
      </c>
      <c r="O134" s="1">
        <v>-3.8634407884997972</v>
      </c>
      <c r="P134" s="6">
        <v>30.9</v>
      </c>
      <c r="Q134" s="6">
        <v>25.1</v>
      </c>
      <c r="R134" s="6">
        <v>10.3</v>
      </c>
      <c r="S134" s="6">
        <v>9.6</v>
      </c>
      <c r="T134" s="5">
        <v>0.38</v>
      </c>
      <c r="U134" s="1">
        <v>-3.8E-3</v>
      </c>
      <c r="V134" s="1">
        <v>1.9171</v>
      </c>
    </row>
    <row r="135" spans="1:22" x14ac:dyDescent="0.25">
      <c r="A135" s="1">
        <v>1</v>
      </c>
      <c r="B135" s="9" t="s">
        <v>2128</v>
      </c>
      <c r="C135" s="2">
        <v>2988</v>
      </c>
      <c r="D135" s="3" t="s">
        <v>2129</v>
      </c>
      <c r="E135" s="9" t="s">
        <v>2130</v>
      </c>
      <c r="F135" s="9" t="s">
        <v>97</v>
      </c>
      <c r="G135" s="1">
        <v>3173.6066999999998</v>
      </c>
      <c r="H135" s="2">
        <v>778</v>
      </c>
      <c r="I135" s="2">
        <v>4</v>
      </c>
      <c r="J135" s="1">
        <v>3173.6030999999998</v>
      </c>
      <c r="K135" s="1">
        <v>794.40899999999999</v>
      </c>
      <c r="L135" s="9" t="s">
        <v>98</v>
      </c>
      <c r="M135" s="2">
        <v>5.63</v>
      </c>
      <c r="N135" s="4">
        <v>4465.3500000000004</v>
      </c>
      <c r="O135" s="1">
        <v>-1.1329176784250934</v>
      </c>
      <c r="P135" s="6">
        <v>57.6</v>
      </c>
      <c r="Q135" s="6">
        <v>31.4</v>
      </c>
      <c r="R135" s="6">
        <v>12.2</v>
      </c>
      <c r="S135" s="6">
        <v>10.1</v>
      </c>
      <c r="T135" s="5">
        <v>8.9999999999999996E-7</v>
      </c>
      <c r="U135" s="1">
        <v>-3.5999999999999999E-3</v>
      </c>
      <c r="V135" s="1">
        <v>7.3089000000000004</v>
      </c>
    </row>
    <row r="136" spans="1:22" x14ac:dyDescent="0.25">
      <c r="A136" s="1">
        <v>0.99990000000000001</v>
      </c>
      <c r="B136" s="9" t="s">
        <v>2131</v>
      </c>
      <c r="C136" s="2">
        <v>3008</v>
      </c>
      <c r="D136" s="3" t="s">
        <v>2069</v>
      </c>
      <c r="E136" s="9" t="s">
        <v>289</v>
      </c>
      <c r="F136" s="9" t="s">
        <v>290</v>
      </c>
      <c r="G136" s="1">
        <v>1831.9753000000001</v>
      </c>
      <c r="H136" s="2">
        <v>404</v>
      </c>
      <c r="I136" s="2">
        <v>3</v>
      </c>
      <c r="J136" s="1">
        <v>1831.9842000000001</v>
      </c>
      <c r="K136" s="1">
        <v>611.66570000000002</v>
      </c>
      <c r="L136" s="9" t="s">
        <v>291</v>
      </c>
      <c r="M136" s="2">
        <v>6.17</v>
      </c>
      <c r="N136" s="4">
        <v>4502.3599999999997</v>
      </c>
      <c r="O136" s="1">
        <v>4.8501439048595767</v>
      </c>
      <c r="P136" s="6">
        <v>44.5</v>
      </c>
      <c r="Q136" s="6">
        <v>28.2</v>
      </c>
      <c r="R136" s="6">
        <v>11.8</v>
      </c>
      <c r="S136" s="6">
        <v>11.3</v>
      </c>
      <c r="T136" s="5">
        <v>7.6000000000000004E-5</v>
      </c>
      <c r="U136" s="1">
        <v>8.8999999999999999E-3</v>
      </c>
      <c r="V136" s="1">
        <v>7.2276999999999996</v>
      </c>
    </row>
    <row r="137" spans="1:22" x14ac:dyDescent="0.25">
      <c r="A137" s="1">
        <v>0.97929999999999995</v>
      </c>
      <c r="B137" s="9" t="s">
        <v>2132</v>
      </c>
      <c r="C137" s="2">
        <v>3023</v>
      </c>
      <c r="D137" s="3" t="s">
        <v>69</v>
      </c>
      <c r="E137" s="9" t="s">
        <v>2133</v>
      </c>
      <c r="F137" s="9" t="s">
        <v>340</v>
      </c>
      <c r="G137" s="1">
        <v>1134.5379</v>
      </c>
      <c r="H137" s="2">
        <v>407</v>
      </c>
      <c r="I137" s="2">
        <v>2</v>
      </c>
      <c r="J137" s="1">
        <v>1134.5300999999999</v>
      </c>
      <c r="K137" s="1">
        <v>568.27620000000002</v>
      </c>
      <c r="L137" s="9" t="s">
        <v>341</v>
      </c>
      <c r="M137" s="2">
        <v>6.22</v>
      </c>
      <c r="N137" s="4">
        <v>4531.96</v>
      </c>
      <c r="O137" s="1">
        <v>-6.8628599966002444</v>
      </c>
      <c r="P137" s="6">
        <v>37.9</v>
      </c>
      <c r="Q137" s="6">
        <v>28.4</v>
      </c>
      <c r="R137" s="6">
        <v>9.3000000000000007</v>
      </c>
      <c r="S137" s="6">
        <v>11.2</v>
      </c>
      <c r="T137" s="5">
        <v>0.22</v>
      </c>
      <c r="U137" s="1">
        <v>-7.7999999999999996E-3</v>
      </c>
      <c r="V137" s="1">
        <v>2.5444</v>
      </c>
    </row>
    <row r="138" spans="1:22" x14ac:dyDescent="0.25">
      <c r="A138" s="1">
        <v>1</v>
      </c>
      <c r="B138" s="9" t="s">
        <v>2134</v>
      </c>
      <c r="C138" s="2">
        <v>3027</v>
      </c>
      <c r="D138" s="3" t="s">
        <v>904</v>
      </c>
      <c r="E138" s="9" t="s">
        <v>289</v>
      </c>
      <c r="F138" s="9" t="s">
        <v>290</v>
      </c>
      <c r="G138" s="1">
        <v>1831.9753000000001</v>
      </c>
      <c r="H138" s="2">
        <v>409</v>
      </c>
      <c r="I138" s="2">
        <v>3</v>
      </c>
      <c r="J138" s="1">
        <v>1831.9757</v>
      </c>
      <c r="K138" s="1">
        <v>611.66570000000002</v>
      </c>
      <c r="L138" s="9" t="s">
        <v>291</v>
      </c>
      <c r="M138" s="2">
        <v>6.17</v>
      </c>
      <c r="N138" s="4">
        <v>4539.3599999999997</v>
      </c>
      <c r="O138" s="1">
        <v>0.21798399572402594</v>
      </c>
      <c r="P138" s="6">
        <v>47.8</v>
      </c>
      <c r="Q138" s="6">
        <v>28.6</v>
      </c>
      <c r="R138" s="6">
        <v>11.8</v>
      </c>
      <c r="S138" s="6">
        <v>11.1</v>
      </c>
      <c r="T138" s="5">
        <v>7.7999999999999999E-6</v>
      </c>
      <c r="U138" s="1">
        <v>4.0000000000000002E-4</v>
      </c>
      <c r="V138" s="1">
        <v>8.6338000000000008</v>
      </c>
    </row>
    <row r="139" spans="1:22" x14ac:dyDescent="0.25">
      <c r="A139" s="1">
        <v>0.9889</v>
      </c>
      <c r="B139" s="9" t="s">
        <v>2135</v>
      </c>
      <c r="C139" s="2">
        <v>3035</v>
      </c>
      <c r="D139" s="3" t="s">
        <v>105</v>
      </c>
      <c r="E139" s="9" t="s">
        <v>2136</v>
      </c>
      <c r="F139" s="9" t="s">
        <v>2137</v>
      </c>
      <c r="G139" s="1">
        <v>1681.9186999999999</v>
      </c>
      <c r="H139" s="2">
        <v>411</v>
      </c>
      <c r="I139" s="2">
        <v>2</v>
      </c>
      <c r="J139" s="1">
        <v>1681.903</v>
      </c>
      <c r="K139" s="1">
        <v>841.96659999999997</v>
      </c>
      <c r="L139" s="9" t="s">
        <v>2138</v>
      </c>
      <c r="M139" s="2">
        <v>8.75</v>
      </c>
      <c r="N139" s="4">
        <v>4554.16</v>
      </c>
      <c r="O139" s="1">
        <v>-9.3234102160346985</v>
      </c>
      <c r="P139" s="6">
        <v>49</v>
      </c>
      <c r="Q139" s="6">
        <v>36.5</v>
      </c>
      <c r="R139" s="6">
        <v>11.4</v>
      </c>
      <c r="S139" s="6">
        <v>12.3</v>
      </c>
      <c r="T139" s="5">
        <v>7.7999999999999996E-3</v>
      </c>
      <c r="U139" s="1">
        <v>-1.5699999999999999E-2</v>
      </c>
      <c r="V139" s="1">
        <v>3.5663999999999998</v>
      </c>
    </row>
    <row r="140" spans="1:22" x14ac:dyDescent="0.25">
      <c r="A140" s="1">
        <v>1</v>
      </c>
      <c r="B140" s="9" t="s">
        <v>2139</v>
      </c>
      <c r="C140" s="2">
        <v>3047</v>
      </c>
      <c r="D140" s="3" t="s">
        <v>558</v>
      </c>
      <c r="E140" s="9" t="s">
        <v>289</v>
      </c>
      <c r="F140" s="9" t="s">
        <v>290</v>
      </c>
      <c r="G140" s="1">
        <v>1831.9753000000001</v>
      </c>
      <c r="H140" s="2">
        <v>222</v>
      </c>
      <c r="I140" s="2">
        <v>3</v>
      </c>
      <c r="J140" s="1">
        <v>1831.9766</v>
      </c>
      <c r="K140" s="1">
        <v>611.66570000000002</v>
      </c>
      <c r="L140" s="9" t="s">
        <v>291</v>
      </c>
      <c r="M140" s="2">
        <v>6.17</v>
      </c>
      <c r="N140" s="4">
        <v>4576.3599999999997</v>
      </c>
      <c r="O140" s="1">
        <v>0.70844798610308435</v>
      </c>
      <c r="P140" s="6">
        <v>33.1</v>
      </c>
      <c r="Q140" s="6">
        <v>20.5</v>
      </c>
      <c r="R140" s="6">
        <v>11.4</v>
      </c>
      <c r="S140" s="6">
        <v>10.4</v>
      </c>
      <c r="T140" s="5">
        <v>4.6000000000000001E-4</v>
      </c>
      <c r="U140" s="1">
        <v>1.2999999999999999E-3</v>
      </c>
      <c r="V140" s="1">
        <v>6.3422000000000001</v>
      </c>
    </row>
    <row r="141" spans="1:22" x14ac:dyDescent="0.25">
      <c r="A141" s="1">
        <v>0.99909999999999999</v>
      </c>
      <c r="B141" s="9" t="s">
        <v>2140</v>
      </c>
      <c r="C141" s="2">
        <v>3051</v>
      </c>
      <c r="D141" s="3" t="s">
        <v>980</v>
      </c>
      <c r="E141" s="9" t="s">
        <v>2141</v>
      </c>
      <c r="F141" s="9" t="s">
        <v>290</v>
      </c>
      <c r="G141" s="1">
        <v>1930.0192999999999</v>
      </c>
      <c r="H141" s="2">
        <v>412</v>
      </c>
      <c r="I141" s="2">
        <v>3</v>
      </c>
      <c r="J141" s="1">
        <v>1930.0139999999999</v>
      </c>
      <c r="K141" s="1">
        <v>644.34699999999998</v>
      </c>
      <c r="L141" s="9" t="s">
        <v>291</v>
      </c>
      <c r="M141" s="2">
        <v>6.31</v>
      </c>
      <c r="N141" s="4">
        <v>4583.76</v>
      </c>
      <c r="O141" s="1">
        <v>-2.7417938884896906</v>
      </c>
      <c r="P141" s="6">
        <v>34.200000000000003</v>
      </c>
      <c r="Q141" s="6">
        <v>25.2</v>
      </c>
      <c r="R141" s="6">
        <v>6.8</v>
      </c>
      <c r="S141" s="6">
        <v>8.3000000000000007</v>
      </c>
      <c r="T141" s="5">
        <v>1.4E-3</v>
      </c>
      <c r="U141" s="1">
        <v>-5.3E-3</v>
      </c>
      <c r="V141" s="1">
        <v>4.8014000000000001</v>
      </c>
    </row>
    <row r="142" spans="1:22" x14ac:dyDescent="0.25">
      <c r="A142" s="1">
        <v>0.99399999999999999</v>
      </c>
      <c r="B142" s="9" t="s">
        <v>2142</v>
      </c>
      <c r="C142" s="2">
        <v>3063</v>
      </c>
      <c r="D142" s="3" t="s">
        <v>511</v>
      </c>
      <c r="E142" s="9" t="s">
        <v>2143</v>
      </c>
      <c r="F142" s="9" t="s">
        <v>1847</v>
      </c>
      <c r="G142" s="1">
        <v>1409.6319000000001</v>
      </c>
      <c r="H142" s="2">
        <v>582</v>
      </c>
      <c r="I142" s="2">
        <v>2</v>
      </c>
      <c r="J142" s="1">
        <v>1409.6397999999999</v>
      </c>
      <c r="K142" s="1">
        <v>705.82320000000004</v>
      </c>
      <c r="L142" s="9" t="s">
        <v>1848</v>
      </c>
      <c r="M142" s="2">
        <v>4.75</v>
      </c>
      <c r="N142" s="4">
        <v>4608.1099999999997</v>
      </c>
      <c r="O142" s="1">
        <v>5.5963023034663646</v>
      </c>
      <c r="P142" s="6">
        <v>30.2</v>
      </c>
      <c r="Q142" s="6">
        <v>23.7</v>
      </c>
      <c r="R142" s="6">
        <v>9.6</v>
      </c>
      <c r="S142" s="6">
        <v>9.1999999999999993</v>
      </c>
      <c r="T142" s="5">
        <v>7.4000000000000003E-3</v>
      </c>
      <c r="U142" s="1">
        <v>7.9000000000000008E-3</v>
      </c>
      <c r="V142" s="1">
        <v>3.9714</v>
      </c>
    </row>
    <row r="143" spans="1:22" x14ac:dyDescent="0.25">
      <c r="A143" s="1">
        <v>0.99980000000000002</v>
      </c>
      <c r="B143" s="9" t="s">
        <v>2144</v>
      </c>
      <c r="C143" s="2">
        <v>3067</v>
      </c>
      <c r="D143" s="3" t="s">
        <v>163</v>
      </c>
      <c r="E143" s="9" t="s">
        <v>289</v>
      </c>
      <c r="F143" s="9" t="s">
        <v>290</v>
      </c>
      <c r="G143" s="1">
        <v>1831.9753000000001</v>
      </c>
      <c r="H143" s="2">
        <v>414</v>
      </c>
      <c r="I143" s="2">
        <v>3</v>
      </c>
      <c r="J143" s="1">
        <v>1831.9767999999999</v>
      </c>
      <c r="K143" s="1">
        <v>611.66570000000002</v>
      </c>
      <c r="L143" s="9" t="s">
        <v>291</v>
      </c>
      <c r="M143" s="2">
        <v>6.17</v>
      </c>
      <c r="N143" s="4">
        <v>4613.3599999999997</v>
      </c>
      <c r="O143" s="1">
        <v>0.81743998396509721</v>
      </c>
      <c r="P143" s="6">
        <v>34.9</v>
      </c>
      <c r="Q143" s="6">
        <v>23.3</v>
      </c>
      <c r="R143" s="6">
        <v>11.5</v>
      </c>
      <c r="S143" s="6">
        <v>10</v>
      </c>
      <c r="T143" s="5">
        <v>5.6999999999999998E-4</v>
      </c>
      <c r="U143" s="1">
        <v>1.5E-3</v>
      </c>
      <c r="V143" s="1">
        <v>5.9695</v>
      </c>
    </row>
    <row r="144" spans="1:22" x14ac:dyDescent="0.25">
      <c r="A144" s="1">
        <v>1</v>
      </c>
      <c r="B144" s="9" t="s">
        <v>2145</v>
      </c>
      <c r="C144" s="2">
        <v>3072</v>
      </c>
      <c r="D144" s="3" t="s">
        <v>2146</v>
      </c>
      <c r="E144" s="9" t="s">
        <v>2147</v>
      </c>
      <c r="F144" s="9" t="s">
        <v>97</v>
      </c>
      <c r="G144" s="1">
        <v>3045.5477000000001</v>
      </c>
      <c r="H144" s="2">
        <v>783</v>
      </c>
      <c r="I144" s="2">
        <v>4</v>
      </c>
      <c r="J144" s="1">
        <v>3045.5381000000002</v>
      </c>
      <c r="K144" s="1">
        <v>762.39419999999996</v>
      </c>
      <c r="L144" s="9" t="s">
        <v>98</v>
      </c>
      <c r="M144" s="2">
        <v>5.63</v>
      </c>
      <c r="N144" s="4">
        <v>4620.76</v>
      </c>
      <c r="O144" s="1">
        <v>-3.1479777784248619</v>
      </c>
      <c r="P144" s="6">
        <v>60.1</v>
      </c>
      <c r="Q144" s="6">
        <v>28</v>
      </c>
      <c r="R144" s="6">
        <v>11.5</v>
      </c>
      <c r="S144" s="6">
        <v>8.4</v>
      </c>
      <c r="T144" s="5">
        <v>2.4999999999999999E-8</v>
      </c>
      <c r="U144" s="1">
        <v>-9.5999999999999992E-3</v>
      </c>
      <c r="V144" s="1">
        <v>9.1607000000000003</v>
      </c>
    </row>
    <row r="145" spans="1:22" x14ac:dyDescent="0.25">
      <c r="A145" s="1">
        <v>0.99719999999999998</v>
      </c>
      <c r="B145" s="9" t="s">
        <v>2148</v>
      </c>
      <c r="C145" s="2">
        <v>3081</v>
      </c>
      <c r="D145" s="3" t="s">
        <v>891</v>
      </c>
      <c r="E145" s="9" t="s">
        <v>307</v>
      </c>
      <c r="F145" s="9" t="s">
        <v>308</v>
      </c>
      <c r="G145" s="1">
        <v>1068.4916000000001</v>
      </c>
      <c r="H145" s="2">
        <v>416</v>
      </c>
      <c r="I145" s="2">
        <v>2</v>
      </c>
      <c r="J145" s="1">
        <v>1068.4902</v>
      </c>
      <c r="K145" s="1">
        <v>535.25310000000002</v>
      </c>
      <c r="L145" s="9" t="s">
        <v>309</v>
      </c>
      <c r="M145" s="2">
        <v>4.71</v>
      </c>
      <c r="N145" s="4">
        <v>4635.5600000000004</v>
      </c>
      <c r="O145" s="1">
        <v>-1.3077925190905013</v>
      </c>
      <c r="P145" s="6">
        <v>28.3</v>
      </c>
      <c r="Q145" s="6">
        <v>22.1</v>
      </c>
      <c r="R145" s="6">
        <v>6.5</v>
      </c>
      <c r="S145" s="6">
        <v>6.9</v>
      </c>
      <c r="T145" s="5">
        <v>3.3000000000000002E-2</v>
      </c>
      <c r="U145" s="1">
        <v>-1.4E-3</v>
      </c>
      <c r="V145" s="1">
        <v>3.569</v>
      </c>
    </row>
    <row r="146" spans="1:22" x14ac:dyDescent="0.25">
      <c r="A146" s="1">
        <v>0.99780000000000002</v>
      </c>
      <c r="B146" s="9" t="s">
        <v>2149</v>
      </c>
      <c r="C146" s="2">
        <v>3083</v>
      </c>
      <c r="D146" s="3" t="s">
        <v>511</v>
      </c>
      <c r="E146" s="9" t="s">
        <v>2143</v>
      </c>
      <c r="F146" s="9" t="s">
        <v>1847</v>
      </c>
      <c r="G146" s="1">
        <v>1409.6319000000001</v>
      </c>
      <c r="H146" s="2">
        <v>584</v>
      </c>
      <c r="I146" s="2">
        <v>2</v>
      </c>
      <c r="J146" s="1">
        <v>1409.6329000000001</v>
      </c>
      <c r="K146" s="1">
        <v>705.82320000000004</v>
      </c>
      <c r="L146" s="9" t="s">
        <v>1848</v>
      </c>
      <c r="M146" s="2">
        <v>4.75</v>
      </c>
      <c r="N146" s="4">
        <v>4645.1099999999997</v>
      </c>
      <c r="O146" s="1">
        <v>0.70839269664131188</v>
      </c>
      <c r="P146" s="6">
        <v>30.4</v>
      </c>
      <c r="Q146" s="6">
        <v>23.4</v>
      </c>
      <c r="R146" s="6">
        <v>9.8000000000000007</v>
      </c>
      <c r="S146" s="6">
        <v>9.3000000000000007</v>
      </c>
      <c r="T146" s="5">
        <v>2E-3</v>
      </c>
      <c r="U146" s="1">
        <v>1E-3</v>
      </c>
      <c r="V146" s="1">
        <v>4.7093999999999996</v>
      </c>
    </row>
    <row r="147" spans="1:22" x14ac:dyDescent="0.25">
      <c r="A147" s="1">
        <v>0.99939999999999996</v>
      </c>
      <c r="B147" s="9" t="s">
        <v>2150</v>
      </c>
      <c r="C147" s="2">
        <v>3085</v>
      </c>
      <c r="D147" s="3" t="s">
        <v>2151</v>
      </c>
      <c r="E147" s="9" t="s">
        <v>2152</v>
      </c>
      <c r="F147" s="9" t="s">
        <v>2153</v>
      </c>
      <c r="G147" s="1">
        <v>1990.1139000000001</v>
      </c>
      <c r="H147" s="2">
        <v>784</v>
      </c>
      <c r="I147" s="2">
        <v>3</v>
      </c>
      <c r="J147" s="1">
        <v>1990.1117999999999</v>
      </c>
      <c r="K147" s="1">
        <v>664.37860000000001</v>
      </c>
      <c r="L147" s="9" t="s">
        <v>2154</v>
      </c>
      <c r="M147" s="2">
        <v>5.32</v>
      </c>
      <c r="N147" s="4">
        <v>4642.96</v>
      </c>
      <c r="O147" s="1">
        <v>-1.0536161158712818</v>
      </c>
      <c r="P147" s="6">
        <v>52.3</v>
      </c>
      <c r="Q147" s="6">
        <v>34.5</v>
      </c>
      <c r="R147" s="6">
        <v>13.9</v>
      </c>
      <c r="S147" s="6">
        <v>12.9</v>
      </c>
      <c r="T147" s="5">
        <v>1.2E-4</v>
      </c>
      <c r="U147" s="1">
        <v>-2.0999999999999999E-3</v>
      </c>
      <c r="V147" s="1">
        <v>6.0602</v>
      </c>
    </row>
    <row r="148" spans="1:22" x14ac:dyDescent="0.25">
      <c r="A148" s="1">
        <v>0.99950000000000006</v>
      </c>
      <c r="B148" s="9" t="s">
        <v>2155</v>
      </c>
      <c r="C148" s="2">
        <v>3088</v>
      </c>
      <c r="D148" s="3" t="s">
        <v>807</v>
      </c>
      <c r="E148" s="9" t="s">
        <v>289</v>
      </c>
      <c r="F148" s="9" t="s">
        <v>290</v>
      </c>
      <c r="G148" s="1">
        <v>1831.9753000000001</v>
      </c>
      <c r="H148" s="2">
        <v>224</v>
      </c>
      <c r="I148" s="2">
        <v>3</v>
      </c>
      <c r="J148" s="1">
        <v>1831.982</v>
      </c>
      <c r="K148" s="1">
        <v>611.66570000000002</v>
      </c>
      <c r="L148" s="9" t="s">
        <v>291</v>
      </c>
      <c r="M148" s="2">
        <v>6.17</v>
      </c>
      <c r="N148" s="4">
        <v>4650.3599999999997</v>
      </c>
      <c r="O148" s="1">
        <v>3.6512319283774342</v>
      </c>
      <c r="P148" s="6">
        <v>32.200000000000003</v>
      </c>
      <c r="Q148" s="6">
        <v>23.1</v>
      </c>
      <c r="R148" s="6">
        <v>11.5</v>
      </c>
      <c r="S148" s="6">
        <v>11</v>
      </c>
      <c r="T148" s="5">
        <v>2.5000000000000001E-3</v>
      </c>
      <c r="U148" s="1">
        <v>6.7000000000000002E-3</v>
      </c>
      <c r="V148" s="1">
        <v>4.9131999999999998</v>
      </c>
    </row>
    <row r="149" spans="1:22" x14ac:dyDescent="0.25">
      <c r="A149" s="1">
        <v>0.99639999999999995</v>
      </c>
      <c r="B149" s="9" t="s">
        <v>2156</v>
      </c>
      <c r="C149" s="2">
        <v>3105</v>
      </c>
      <c r="D149" s="3" t="s">
        <v>511</v>
      </c>
      <c r="E149" s="9" t="s">
        <v>2143</v>
      </c>
      <c r="F149" s="9" t="s">
        <v>1847</v>
      </c>
      <c r="G149" s="1">
        <v>1409.6319000000001</v>
      </c>
      <c r="H149" s="2">
        <v>586</v>
      </c>
      <c r="I149" s="2">
        <v>2</v>
      </c>
      <c r="J149" s="1">
        <v>1409.6364000000001</v>
      </c>
      <c r="K149" s="1">
        <v>705.82320000000004</v>
      </c>
      <c r="L149" s="9" t="s">
        <v>1848</v>
      </c>
      <c r="M149" s="2">
        <v>4.75</v>
      </c>
      <c r="N149" s="4">
        <v>4686.3100000000004</v>
      </c>
      <c r="O149" s="1">
        <v>3.1877671348859029</v>
      </c>
      <c r="P149" s="6">
        <v>30.3</v>
      </c>
      <c r="Q149" s="6">
        <v>23.2</v>
      </c>
      <c r="R149" s="6">
        <v>9.8000000000000007</v>
      </c>
      <c r="S149" s="6">
        <v>9</v>
      </c>
      <c r="T149" s="5">
        <v>5.5999999999999999E-3</v>
      </c>
      <c r="U149" s="1">
        <v>4.4999999999999997E-3</v>
      </c>
      <c r="V149" s="1">
        <v>4.2089999999999996</v>
      </c>
    </row>
    <row r="150" spans="1:22" x14ac:dyDescent="0.25">
      <c r="A150" s="1">
        <v>0.99809999999999999</v>
      </c>
      <c r="B150" s="9" t="s">
        <v>2157</v>
      </c>
      <c r="C150" s="2">
        <v>3113</v>
      </c>
      <c r="D150" s="3" t="s">
        <v>2158</v>
      </c>
      <c r="E150" s="9" t="s">
        <v>2159</v>
      </c>
      <c r="F150" s="9" t="s">
        <v>2160</v>
      </c>
      <c r="G150" s="1">
        <v>2230.3526999999999</v>
      </c>
      <c r="H150" s="2">
        <v>787</v>
      </c>
      <c r="I150" s="2">
        <v>3</v>
      </c>
      <c r="J150" s="1">
        <v>2230.3867</v>
      </c>
      <c r="K150" s="1">
        <v>744.45820000000003</v>
      </c>
      <c r="L150" s="9" t="s">
        <v>2161</v>
      </c>
      <c r="M150" s="2">
        <v>11</v>
      </c>
      <c r="N150" s="4">
        <v>4694.76</v>
      </c>
      <c r="O150" s="1">
        <v>15.223599301254703</v>
      </c>
      <c r="P150" s="6">
        <v>46.8</v>
      </c>
      <c r="Q150" s="6">
        <v>46.8</v>
      </c>
      <c r="R150" s="6">
        <v>13.1</v>
      </c>
      <c r="S150" s="6">
        <v>10.8</v>
      </c>
      <c r="T150" s="5">
        <v>1.2E-5</v>
      </c>
      <c r="U150" s="1">
        <v>3.4000000000000002E-2</v>
      </c>
      <c r="V150" s="1">
        <v>5.1451000000000002</v>
      </c>
    </row>
    <row r="151" spans="1:22" x14ac:dyDescent="0.25">
      <c r="A151" s="1">
        <v>0.9909</v>
      </c>
      <c r="B151" s="9" t="s">
        <v>2162</v>
      </c>
      <c r="C151" s="2">
        <v>3115</v>
      </c>
      <c r="D151" s="3" t="s">
        <v>33</v>
      </c>
      <c r="E151" s="9" t="s">
        <v>299</v>
      </c>
      <c r="F151" s="9" t="s">
        <v>2163</v>
      </c>
      <c r="G151" s="1">
        <v>1122.5851</v>
      </c>
      <c r="H151" s="2">
        <v>418</v>
      </c>
      <c r="I151" s="2">
        <v>2</v>
      </c>
      <c r="J151" s="1">
        <v>1122.5796</v>
      </c>
      <c r="K151" s="1">
        <v>562.2998</v>
      </c>
      <c r="L151" s="9" t="s">
        <v>673</v>
      </c>
      <c r="M151" s="2">
        <v>8.35</v>
      </c>
      <c r="N151" s="4">
        <v>4702.16</v>
      </c>
      <c r="O151" s="1">
        <v>-4.8906295182747703</v>
      </c>
      <c r="P151" s="6">
        <v>44.4</v>
      </c>
      <c r="Q151" s="6">
        <v>36.6</v>
      </c>
      <c r="R151" s="6">
        <v>11.3</v>
      </c>
      <c r="S151" s="6">
        <v>11.6</v>
      </c>
      <c r="T151" s="5">
        <v>5.8999999999999997E-2</v>
      </c>
      <c r="U151" s="1">
        <v>-5.4999999999999997E-3</v>
      </c>
      <c r="V151" s="1">
        <v>2.9948000000000001</v>
      </c>
    </row>
    <row r="152" spans="1:22" x14ac:dyDescent="0.25">
      <c r="A152" s="1">
        <v>0.99550000000000005</v>
      </c>
      <c r="B152" s="9" t="s">
        <v>2164</v>
      </c>
      <c r="C152" s="2">
        <v>3136</v>
      </c>
      <c r="D152" s="3" t="s">
        <v>33</v>
      </c>
      <c r="E152" s="9" t="s">
        <v>299</v>
      </c>
      <c r="F152" s="9" t="s">
        <v>2163</v>
      </c>
      <c r="G152" s="1">
        <v>1122.5851</v>
      </c>
      <c r="H152" s="2">
        <v>420</v>
      </c>
      <c r="I152" s="2">
        <v>2</v>
      </c>
      <c r="J152" s="1">
        <v>1122.5858000000001</v>
      </c>
      <c r="K152" s="1">
        <v>562.2998</v>
      </c>
      <c r="L152" s="9" t="s">
        <v>673</v>
      </c>
      <c r="M152" s="2">
        <v>8.35</v>
      </c>
      <c r="N152" s="4">
        <v>4739.16</v>
      </c>
      <c r="O152" s="1">
        <v>0.62244375687133446</v>
      </c>
      <c r="P152" s="6">
        <v>45.6</v>
      </c>
      <c r="Q152" s="6">
        <v>34.4</v>
      </c>
      <c r="R152" s="6">
        <v>11</v>
      </c>
      <c r="S152" s="6">
        <v>10.8</v>
      </c>
      <c r="T152" s="5">
        <v>4.7E-2</v>
      </c>
      <c r="U152" s="1">
        <v>6.9999999999999999E-4</v>
      </c>
      <c r="V152" s="1">
        <v>3.5190000000000001</v>
      </c>
    </row>
    <row r="153" spans="1:22" x14ac:dyDescent="0.25">
      <c r="A153" s="1">
        <v>0.99809999999999999</v>
      </c>
      <c r="B153" s="9" t="s">
        <v>2165</v>
      </c>
      <c r="C153" s="2">
        <v>3139</v>
      </c>
      <c r="D153" s="3" t="s">
        <v>630</v>
      </c>
      <c r="E153" s="9" t="s">
        <v>2166</v>
      </c>
      <c r="F153" s="9" t="s">
        <v>2137</v>
      </c>
      <c r="G153" s="1">
        <v>1810.9607000000001</v>
      </c>
      <c r="H153" s="2">
        <v>421</v>
      </c>
      <c r="I153" s="2">
        <v>2</v>
      </c>
      <c r="J153" s="1">
        <v>1810.9387999999999</v>
      </c>
      <c r="K153" s="1">
        <v>906.48760000000004</v>
      </c>
      <c r="L153" s="9" t="s">
        <v>2138</v>
      </c>
      <c r="M153" s="2">
        <v>6.28</v>
      </c>
      <c r="N153" s="4">
        <v>4746.5600000000004</v>
      </c>
      <c r="O153" s="1">
        <v>-12.079591601694275</v>
      </c>
      <c r="P153" s="6">
        <v>41.9</v>
      </c>
      <c r="Q153" s="6">
        <v>23.3</v>
      </c>
      <c r="R153" s="6">
        <v>10.5</v>
      </c>
      <c r="S153" s="6">
        <v>11.9</v>
      </c>
      <c r="T153" s="5">
        <v>2.0000000000000001E-4</v>
      </c>
      <c r="U153" s="1">
        <v>-2.1899999999999999E-2</v>
      </c>
      <c r="V153" s="1">
        <v>5.7525000000000004</v>
      </c>
    </row>
    <row r="154" spans="1:22" x14ac:dyDescent="0.25">
      <c r="A154" s="1">
        <v>0.99829999999999997</v>
      </c>
      <c r="B154" s="9" t="s">
        <v>2167</v>
      </c>
      <c r="C154" s="2">
        <v>3147</v>
      </c>
      <c r="D154" s="3" t="s">
        <v>891</v>
      </c>
      <c r="E154" s="9" t="s">
        <v>2168</v>
      </c>
      <c r="F154" s="9" t="s">
        <v>2169</v>
      </c>
      <c r="G154" s="1">
        <v>1169.5903000000001</v>
      </c>
      <c r="H154" s="2">
        <v>422</v>
      </c>
      <c r="I154" s="2">
        <v>2</v>
      </c>
      <c r="J154" s="1">
        <v>1169.5871</v>
      </c>
      <c r="K154" s="1">
        <v>585.80240000000003</v>
      </c>
      <c r="L154" s="9" t="s">
        <v>1969</v>
      </c>
      <c r="M154" s="2">
        <v>8.75</v>
      </c>
      <c r="N154" s="4">
        <v>4761.3599999999997</v>
      </c>
      <c r="O154" s="1">
        <v>-2.7312964235038981</v>
      </c>
      <c r="P154" s="6">
        <v>33.5</v>
      </c>
      <c r="Q154" s="6">
        <v>23.1</v>
      </c>
      <c r="R154" s="6">
        <v>10.6</v>
      </c>
      <c r="S154" s="6">
        <v>11</v>
      </c>
      <c r="T154" s="5">
        <v>7.0000000000000001E-3</v>
      </c>
      <c r="U154" s="1">
        <v>-3.2000000000000002E-3</v>
      </c>
      <c r="V154" s="1">
        <v>4.9630000000000001</v>
      </c>
    </row>
    <row r="155" spans="1:22" x14ac:dyDescent="0.25">
      <c r="A155" s="1">
        <v>0.98880000000000001</v>
      </c>
      <c r="B155" s="9" t="s">
        <v>2170</v>
      </c>
      <c r="C155" s="2">
        <v>3156</v>
      </c>
      <c r="D155" s="3" t="s">
        <v>260</v>
      </c>
      <c r="E155" s="9" t="s">
        <v>344</v>
      </c>
      <c r="F155" s="9" t="s">
        <v>282</v>
      </c>
      <c r="G155" s="1">
        <v>1064.5324000000001</v>
      </c>
      <c r="H155" s="2">
        <v>789</v>
      </c>
      <c r="I155" s="2">
        <v>2</v>
      </c>
      <c r="J155" s="1">
        <v>1064.5274999999999</v>
      </c>
      <c r="K155" s="1">
        <v>533.27350000000001</v>
      </c>
      <c r="L155" s="9" t="s">
        <v>283</v>
      </c>
      <c r="M155" s="2">
        <v>5.08</v>
      </c>
      <c r="N155" s="4">
        <v>4776.16</v>
      </c>
      <c r="O155" s="1">
        <v>-4.5942654191517107</v>
      </c>
      <c r="P155" s="6">
        <v>33.5</v>
      </c>
      <c r="Q155" s="6">
        <v>24.8</v>
      </c>
      <c r="R155" s="6">
        <v>11.6</v>
      </c>
      <c r="S155" s="6">
        <v>12.3</v>
      </c>
      <c r="T155" s="5">
        <v>1.4E-2</v>
      </c>
      <c r="U155" s="1">
        <v>-4.8999999999999998E-3</v>
      </c>
      <c r="V155" s="1">
        <v>4.0617000000000001</v>
      </c>
    </row>
    <row r="156" spans="1:22" x14ac:dyDescent="0.25">
      <c r="A156" s="1">
        <v>0.99850000000000005</v>
      </c>
      <c r="B156" s="9" t="s">
        <v>2171</v>
      </c>
      <c r="C156" s="2">
        <v>3157</v>
      </c>
      <c r="D156" s="3" t="s">
        <v>298</v>
      </c>
      <c r="E156" s="9" t="s">
        <v>299</v>
      </c>
      <c r="F156" s="9" t="s">
        <v>2163</v>
      </c>
      <c r="G156" s="1">
        <v>1122.5851</v>
      </c>
      <c r="H156" s="2">
        <v>227</v>
      </c>
      <c r="I156" s="2">
        <v>2</v>
      </c>
      <c r="J156" s="1">
        <v>1122.5851</v>
      </c>
      <c r="K156" s="1">
        <v>562.2998</v>
      </c>
      <c r="L156" s="9" t="s">
        <v>673</v>
      </c>
      <c r="M156" s="2">
        <v>8.35</v>
      </c>
      <c r="N156" s="4">
        <v>4776.16</v>
      </c>
      <c r="O156" s="1">
        <v>0</v>
      </c>
      <c r="P156" s="6">
        <v>40</v>
      </c>
      <c r="Q156" s="6">
        <v>29</v>
      </c>
      <c r="R156" s="6">
        <v>11.6</v>
      </c>
      <c r="S156" s="6">
        <v>11.1</v>
      </c>
      <c r="T156" s="5">
        <v>1.7000000000000001E-2</v>
      </c>
      <c r="U156" s="1">
        <v>0</v>
      </c>
      <c r="V156" s="1">
        <v>4.2605000000000004</v>
      </c>
    </row>
    <row r="157" spans="1:22" x14ac:dyDescent="0.25">
      <c r="A157" s="1">
        <v>0.98429999999999995</v>
      </c>
      <c r="B157" s="9" t="s">
        <v>2172</v>
      </c>
      <c r="C157" s="2">
        <v>3161</v>
      </c>
      <c r="D157" s="3" t="s">
        <v>409</v>
      </c>
      <c r="E157" s="9" t="s">
        <v>2173</v>
      </c>
      <c r="F157" s="9" t="s">
        <v>97</v>
      </c>
      <c r="G157" s="1">
        <v>2208.2186999999999</v>
      </c>
      <c r="H157" s="2">
        <v>424</v>
      </c>
      <c r="I157" s="2">
        <v>3</v>
      </c>
      <c r="J157" s="1">
        <v>2208.2307000000001</v>
      </c>
      <c r="K157" s="1">
        <v>737.08019999999999</v>
      </c>
      <c r="L157" s="9" t="s">
        <v>98</v>
      </c>
      <c r="M157" s="2">
        <v>6.76</v>
      </c>
      <c r="N157" s="4">
        <v>4783.5600000000004</v>
      </c>
      <c r="O157" s="1">
        <v>5.4268178686661237</v>
      </c>
      <c r="P157" s="6">
        <v>39</v>
      </c>
      <c r="Q157" s="6">
        <v>29.4</v>
      </c>
      <c r="R157" s="6">
        <v>11.5</v>
      </c>
      <c r="S157" s="6">
        <v>11.1</v>
      </c>
      <c r="T157" s="5">
        <v>4.1000000000000003E-3</v>
      </c>
      <c r="U157" s="1">
        <v>1.2E-2</v>
      </c>
      <c r="V157" s="1">
        <v>3.7591000000000001</v>
      </c>
    </row>
    <row r="158" spans="1:22" x14ac:dyDescent="0.25">
      <c r="A158" s="1">
        <v>0.99439999999999995</v>
      </c>
      <c r="B158" s="9" t="s">
        <v>2174</v>
      </c>
      <c r="C158" s="2">
        <v>3167</v>
      </c>
      <c r="D158" s="3" t="s">
        <v>891</v>
      </c>
      <c r="E158" s="9" t="s">
        <v>2168</v>
      </c>
      <c r="F158" s="9" t="s">
        <v>2169</v>
      </c>
      <c r="G158" s="1">
        <v>1169.5903000000001</v>
      </c>
      <c r="H158" s="2">
        <v>425</v>
      </c>
      <c r="I158" s="2">
        <v>2</v>
      </c>
      <c r="J158" s="1">
        <v>1169.5856000000001</v>
      </c>
      <c r="K158" s="1">
        <v>585.80240000000003</v>
      </c>
      <c r="L158" s="9" t="s">
        <v>1969</v>
      </c>
      <c r="M158" s="2">
        <v>8.75</v>
      </c>
      <c r="N158" s="4">
        <v>4798.3599999999997</v>
      </c>
      <c r="O158" s="1">
        <v>-4.0115916220213501</v>
      </c>
      <c r="P158" s="6">
        <v>32.4</v>
      </c>
      <c r="Q158" s="6">
        <v>24.6</v>
      </c>
      <c r="R158" s="6">
        <v>10.6</v>
      </c>
      <c r="S158" s="6">
        <v>11</v>
      </c>
      <c r="T158" s="5">
        <v>2.1000000000000001E-2</v>
      </c>
      <c r="U158" s="1">
        <v>-4.7000000000000002E-3</v>
      </c>
      <c r="V158" s="1">
        <v>3.9472</v>
      </c>
    </row>
    <row r="159" spans="1:22" x14ac:dyDescent="0.25">
      <c r="A159" s="1">
        <v>0.98929999999999996</v>
      </c>
      <c r="B159" s="9" t="s">
        <v>2175</v>
      </c>
      <c r="C159" s="2">
        <v>3172</v>
      </c>
      <c r="D159" s="3" t="s">
        <v>174</v>
      </c>
      <c r="E159" s="9" t="s">
        <v>2176</v>
      </c>
      <c r="F159" s="9" t="s">
        <v>363</v>
      </c>
      <c r="G159" s="1">
        <v>1844.9707000000001</v>
      </c>
      <c r="H159" s="2">
        <v>903</v>
      </c>
      <c r="I159" s="2">
        <v>2</v>
      </c>
      <c r="J159" s="1">
        <v>1844.9527</v>
      </c>
      <c r="K159" s="1">
        <v>923.49260000000004</v>
      </c>
      <c r="L159" s="9" t="s">
        <v>364</v>
      </c>
      <c r="M159" s="2">
        <v>8.59</v>
      </c>
      <c r="N159" s="4">
        <v>4810.01</v>
      </c>
      <c r="O159" s="1">
        <v>-9.7456113887647824</v>
      </c>
      <c r="P159" s="6">
        <v>41.9</v>
      </c>
      <c r="Q159" s="6">
        <v>28.2</v>
      </c>
      <c r="R159" s="6">
        <v>11.3</v>
      </c>
      <c r="S159" s="6">
        <v>10.8</v>
      </c>
      <c r="T159" s="5">
        <v>1.8E-3</v>
      </c>
      <c r="U159" s="1">
        <v>-1.7999999999999999E-2</v>
      </c>
      <c r="V159" s="1">
        <v>4.2359</v>
      </c>
    </row>
    <row r="160" spans="1:22" x14ac:dyDescent="0.25">
      <c r="A160" s="1">
        <v>0.95469999999999999</v>
      </c>
      <c r="B160" s="9" t="s">
        <v>2177</v>
      </c>
      <c r="C160" s="2">
        <v>3181</v>
      </c>
      <c r="D160" s="3" t="s">
        <v>2118</v>
      </c>
      <c r="E160" s="9" t="s">
        <v>299</v>
      </c>
      <c r="F160" s="9" t="s">
        <v>2163</v>
      </c>
      <c r="G160" s="1">
        <v>1122.5851</v>
      </c>
      <c r="H160" s="2">
        <v>426</v>
      </c>
      <c r="I160" s="2">
        <v>2</v>
      </c>
      <c r="J160" s="1">
        <v>1122.5827999999999</v>
      </c>
      <c r="K160" s="1">
        <v>562.2998</v>
      </c>
      <c r="L160" s="9" t="s">
        <v>673</v>
      </c>
      <c r="M160" s="2">
        <v>8.35</v>
      </c>
      <c r="N160" s="4">
        <v>4820.5600000000004</v>
      </c>
      <c r="O160" s="1">
        <v>-2.0451723440058132</v>
      </c>
      <c r="P160" s="6">
        <v>39.9</v>
      </c>
      <c r="Q160" s="6">
        <v>33.700000000000003</v>
      </c>
      <c r="R160" s="6">
        <v>11.1</v>
      </c>
      <c r="S160" s="6">
        <v>10.6</v>
      </c>
      <c r="T160" s="5">
        <v>0.34</v>
      </c>
      <c r="U160" s="1">
        <v>-2.3E-3</v>
      </c>
      <c r="V160" s="1">
        <v>1.8893</v>
      </c>
    </row>
    <row r="161" spans="1:22" x14ac:dyDescent="0.25">
      <c r="A161" s="1">
        <v>0.99280000000000002</v>
      </c>
      <c r="B161" s="9" t="s">
        <v>2178</v>
      </c>
      <c r="C161" s="2">
        <v>3191</v>
      </c>
      <c r="D161" s="3" t="s">
        <v>1588</v>
      </c>
      <c r="E161" s="9" t="s">
        <v>2176</v>
      </c>
      <c r="F161" s="9" t="s">
        <v>363</v>
      </c>
      <c r="G161" s="1">
        <v>1844.9707000000001</v>
      </c>
      <c r="H161" s="2">
        <v>904</v>
      </c>
      <c r="I161" s="2">
        <v>2</v>
      </c>
      <c r="J161" s="1">
        <v>1844.9464</v>
      </c>
      <c r="K161" s="1">
        <v>923.49260000000004</v>
      </c>
      <c r="L161" s="9" t="s">
        <v>364</v>
      </c>
      <c r="M161" s="2">
        <v>8.59</v>
      </c>
      <c r="N161" s="4">
        <v>4844.91</v>
      </c>
      <c r="O161" s="1">
        <v>-13.156575374832455</v>
      </c>
      <c r="P161" s="6">
        <v>45.7</v>
      </c>
      <c r="Q161" s="6">
        <v>34</v>
      </c>
      <c r="R161" s="6">
        <v>11.5</v>
      </c>
      <c r="S161" s="6">
        <v>10.9</v>
      </c>
      <c r="T161" s="5">
        <v>3.2000000000000003E-4</v>
      </c>
      <c r="U161" s="1">
        <v>-2.4299999999999999E-2</v>
      </c>
      <c r="V161" s="1">
        <v>4.6429</v>
      </c>
    </row>
    <row r="162" spans="1:22" x14ac:dyDescent="0.25">
      <c r="A162" s="1">
        <v>0.99360000000000004</v>
      </c>
      <c r="B162" s="9" t="s">
        <v>2179</v>
      </c>
      <c r="C162" s="2">
        <v>3196</v>
      </c>
      <c r="D162" s="3" t="s">
        <v>326</v>
      </c>
      <c r="E162" s="9" t="s">
        <v>929</v>
      </c>
      <c r="F162" s="9" t="s">
        <v>930</v>
      </c>
      <c r="G162" s="1">
        <v>1301.7628</v>
      </c>
      <c r="H162" s="2">
        <v>428</v>
      </c>
      <c r="I162" s="2">
        <v>2</v>
      </c>
      <c r="J162" s="1">
        <v>1301.7555</v>
      </c>
      <c r="K162" s="1">
        <v>651.88869999999997</v>
      </c>
      <c r="L162" s="9" t="s">
        <v>931</v>
      </c>
      <c r="M162" s="2">
        <v>8.59</v>
      </c>
      <c r="N162" s="4">
        <v>4850.16</v>
      </c>
      <c r="O162" s="1">
        <v>-5.5991153091010792</v>
      </c>
      <c r="P162" s="6">
        <v>41.5</v>
      </c>
      <c r="Q162" s="6">
        <v>33.9</v>
      </c>
      <c r="R162" s="6">
        <v>10</v>
      </c>
      <c r="S162" s="6">
        <v>9.3000000000000007</v>
      </c>
      <c r="T162" s="5">
        <v>0.02</v>
      </c>
      <c r="U162" s="1">
        <v>-7.3000000000000001E-3</v>
      </c>
      <c r="V162" s="1">
        <v>3.3058999999999998</v>
      </c>
    </row>
    <row r="163" spans="1:22" x14ac:dyDescent="0.25">
      <c r="A163" s="1">
        <v>0.99329999999999996</v>
      </c>
      <c r="B163" s="9" t="s">
        <v>2180</v>
      </c>
      <c r="C163" s="2">
        <v>3197</v>
      </c>
      <c r="D163" s="3" t="s">
        <v>141</v>
      </c>
      <c r="E163" s="9" t="s">
        <v>2181</v>
      </c>
      <c r="F163" s="9" t="s">
        <v>1126</v>
      </c>
      <c r="G163" s="1">
        <v>1417.7746999999999</v>
      </c>
      <c r="H163" s="2">
        <v>429</v>
      </c>
      <c r="I163" s="2">
        <v>2</v>
      </c>
      <c r="J163" s="1">
        <v>1417.7592999999999</v>
      </c>
      <c r="K163" s="1">
        <v>709.89459999999997</v>
      </c>
      <c r="L163" s="9" t="s">
        <v>1127</v>
      </c>
      <c r="M163" s="2">
        <v>8.75</v>
      </c>
      <c r="N163" s="4">
        <v>4850.16</v>
      </c>
      <c r="O163" s="1">
        <v>-10.846680619911746</v>
      </c>
      <c r="P163" s="6">
        <v>42.1</v>
      </c>
      <c r="Q163" s="6">
        <v>29.3</v>
      </c>
      <c r="R163" s="6">
        <v>7.6</v>
      </c>
      <c r="S163" s="6">
        <v>7.7</v>
      </c>
      <c r="T163" s="5">
        <v>1.4999999999999999E-2</v>
      </c>
      <c r="U163" s="1">
        <v>-1.54E-2</v>
      </c>
      <c r="V163" s="1">
        <v>3.8927</v>
      </c>
    </row>
    <row r="164" spans="1:22" x14ac:dyDescent="0.25">
      <c r="A164" s="1">
        <v>0.9879</v>
      </c>
      <c r="B164" s="9" t="s">
        <v>2182</v>
      </c>
      <c r="C164" s="2">
        <v>3223</v>
      </c>
      <c r="D164" s="3" t="s">
        <v>69</v>
      </c>
      <c r="E164" s="9" t="s">
        <v>933</v>
      </c>
      <c r="F164" s="9" t="s">
        <v>934</v>
      </c>
      <c r="G164" s="1">
        <v>1195.6635000000001</v>
      </c>
      <c r="H164" s="2">
        <v>590</v>
      </c>
      <c r="I164" s="2">
        <v>2</v>
      </c>
      <c r="J164" s="1">
        <v>1195.6704999999999</v>
      </c>
      <c r="K164" s="1">
        <v>598.83900000000006</v>
      </c>
      <c r="L164" s="9" t="s">
        <v>935</v>
      </c>
      <c r="M164" s="2">
        <v>6.76</v>
      </c>
      <c r="N164" s="4">
        <v>4904.12</v>
      </c>
      <c r="O164" s="1">
        <v>5.8446427169907107</v>
      </c>
      <c r="P164" s="6">
        <v>38.1</v>
      </c>
      <c r="Q164" s="6">
        <v>28.2</v>
      </c>
      <c r="R164" s="6">
        <v>10.6</v>
      </c>
      <c r="S164" s="6">
        <v>10.6</v>
      </c>
      <c r="T164" s="5">
        <v>0.16</v>
      </c>
      <c r="U164" s="1">
        <v>7.0000000000000001E-3</v>
      </c>
      <c r="V164" s="1">
        <v>2.7631999999999999</v>
      </c>
    </row>
    <row r="165" spans="1:22" x14ac:dyDescent="0.25">
      <c r="A165" s="1">
        <v>0.99419999999999997</v>
      </c>
      <c r="B165" s="9" t="s">
        <v>2183</v>
      </c>
      <c r="C165" s="2">
        <v>3235</v>
      </c>
      <c r="D165" s="3" t="s">
        <v>370</v>
      </c>
      <c r="E165" s="9" t="s">
        <v>2184</v>
      </c>
      <c r="F165" s="9" t="s">
        <v>1961</v>
      </c>
      <c r="G165" s="1">
        <v>1308.5876000000001</v>
      </c>
      <c r="H165" s="2">
        <v>798</v>
      </c>
      <c r="I165" s="2">
        <v>2</v>
      </c>
      <c r="J165" s="1">
        <v>1308.5872999999999</v>
      </c>
      <c r="K165" s="1">
        <v>655.30110000000002</v>
      </c>
      <c r="L165" s="9" t="s">
        <v>1962</v>
      </c>
      <c r="M165" s="2">
        <v>5.83</v>
      </c>
      <c r="N165" s="4">
        <v>4924.17</v>
      </c>
      <c r="O165" s="1">
        <v>-0.22890240837379944</v>
      </c>
      <c r="P165" s="6">
        <v>44.4</v>
      </c>
      <c r="Q165" s="6">
        <v>32.1</v>
      </c>
      <c r="R165" s="6">
        <v>11.9</v>
      </c>
      <c r="S165" s="6">
        <v>10.9</v>
      </c>
      <c r="T165" s="5">
        <v>2.0999999999999999E-3</v>
      </c>
      <c r="U165" s="1">
        <v>-2.9999999999999997E-4</v>
      </c>
      <c r="V165" s="1">
        <v>4.7108999999999996</v>
      </c>
    </row>
    <row r="166" spans="1:22" x14ac:dyDescent="0.25">
      <c r="A166" s="1">
        <v>0.99839999999999995</v>
      </c>
      <c r="B166" s="9" t="s">
        <v>2185</v>
      </c>
      <c r="C166" s="2">
        <v>3239</v>
      </c>
      <c r="D166" s="3" t="s">
        <v>2186</v>
      </c>
      <c r="E166" s="9" t="s">
        <v>2187</v>
      </c>
      <c r="F166" s="9" t="s">
        <v>1122</v>
      </c>
      <c r="G166" s="1">
        <v>2763.5178999999998</v>
      </c>
      <c r="H166" s="2">
        <v>433</v>
      </c>
      <c r="I166" s="2">
        <v>4</v>
      </c>
      <c r="J166" s="1">
        <v>2763.51</v>
      </c>
      <c r="K166" s="1">
        <v>691.88679999999999</v>
      </c>
      <c r="L166" s="9" t="s">
        <v>456</v>
      </c>
      <c r="M166" s="2">
        <v>9.19</v>
      </c>
      <c r="N166" s="4">
        <v>4931.57</v>
      </c>
      <c r="O166" s="1">
        <v>-2.8545131949330442</v>
      </c>
      <c r="P166" s="6">
        <v>34.299999999999997</v>
      </c>
      <c r="Q166" s="6">
        <v>24.2</v>
      </c>
      <c r="R166" s="6">
        <v>10</v>
      </c>
      <c r="S166" s="6">
        <v>13.1</v>
      </c>
      <c r="T166" s="5">
        <v>5.4999999999999997E-3</v>
      </c>
      <c r="U166" s="1">
        <v>-7.9000000000000008E-3</v>
      </c>
      <c r="V166" s="1">
        <v>3.6741999999999999</v>
      </c>
    </row>
    <row r="167" spans="1:22" x14ac:dyDescent="0.25">
      <c r="A167" s="1">
        <v>0.96909999999999996</v>
      </c>
      <c r="B167" s="9" t="s">
        <v>2188</v>
      </c>
      <c r="C167" s="2">
        <v>3260</v>
      </c>
      <c r="D167" s="3" t="s">
        <v>2189</v>
      </c>
      <c r="E167" s="9" t="s">
        <v>2187</v>
      </c>
      <c r="F167" s="9" t="s">
        <v>1122</v>
      </c>
      <c r="G167" s="1">
        <v>2763.5176999999999</v>
      </c>
      <c r="H167" s="2">
        <v>434</v>
      </c>
      <c r="I167" s="2">
        <v>4</v>
      </c>
      <c r="J167" s="1">
        <v>2763.5372000000002</v>
      </c>
      <c r="K167" s="1">
        <v>691.88670000000002</v>
      </c>
      <c r="L167" s="9" t="s">
        <v>456</v>
      </c>
      <c r="M167" s="2">
        <v>9.19</v>
      </c>
      <c r="N167" s="4">
        <v>4968.57</v>
      </c>
      <c r="O167" s="1">
        <v>7.0459513096580695</v>
      </c>
      <c r="P167" s="6">
        <v>31.2</v>
      </c>
      <c r="Q167" s="6">
        <v>22.8</v>
      </c>
      <c r="R167" s="6">
        <v>10.3</v>
      </c>
      <c r="S167" s="6">
        <v>13.1</v>
      </c>
      <c r="T167" s="5">
        <v>1.6E-2</v>
      </c>
      <c r="U167" s="1">
        <v>1.95E-2</v>
      </c>
      <c r="V167" s="1">
        <v>3.1112000000000002</v>
      </c>
    </row>
    <row r="168" spans="1:22" x14ac:dyDescent="0.25">
      <c r="A168" s="1">
        <v>0.99980000000000002</v>
      </c>
      <c r="B168" s="9" t="s">
        <v>2190</v>
      </c>
      <c r="C168" s="2">
        <v>3267</v>
      </c>
      <c r="D168" s="3" t="s">
        <v>188</v>
      </c>
      <c r="E168" s="9" t="s">
        <v>368</v>
      </c>
      <c r="F168" s="9" t="s">
        <v>2191</v>
      </c>
      <c r="G168" s="1">
        <v>1496.8635999999999</v>
      </c>
      <c r="H168" s="2">
        <v>435</v>
      </c>
      <c r="I168" s="2">
        <v>2</v>
      </c>
      <c r="J168" s="1">
        <v>1496.8621000000001</v>
      </c>
      <c r="K168" s="1">
        <v>749.43910000000005</v>
      </c>
      <c r="L168" s="9" t="s">
        <v>2161</v>
      </c>
      <c r="M168" s="2">
        <v>8.59</v>
      </c>
      <c r="N168" s="4">
        <v>4983.37</v>
      </c>
      <c r="O168" s="1">
        <v>-1.0007484263898159</v>
      </c>
      <c r="P168" s="6">
        <v>60</v>
      </c>
      <c r="Q168" s="6">
        <v>38.299999999999997</v>
      </c>
      <c r="R168" s="6">
        <v>12.1</v>
      </c>
      <c r="S168" s="6">
        <v>13</v>
      </c>
      <c r="T168" s="5">
        <v>1.1E-4</v>
      </c>
      <c r="U168" s="1">
        <v>-1.5E-3</v>
      </c>
      <c r="V168" s="1">
        <v>6.2805</v>
      </c>
    </row>
    <row r="169" spans="1:22" x14ac:dyDescent="0.25">
      <c r="A169" s="1">
        <v>1</v>
      </c>
      <c r="B169" s="9" t="s">
        <v>2192</v>
      </c>
      <c r="C169" s="2">
        <v>3272</v>
      </c>
      <c r="D169" s="3" t="s">
        <v>2012</v>
      </c>
      <c r="E169" s="9" t="s">
        <v>956</v>
      </c>
      <c r="F169" s="9" t="s">
        <v>97</v>
      </c>
      <c r="G169" s="1">
        <v>2067.0823</v>
      </c>
      <c r="H169" s="2">
        <v>651</v>
      </c>
      <c r="I169" s="2">
        <v>3</v>
      </c>
      <c r="J169" s="1">
        <v>2067.0864999999999</v>
      </c>
      <c r="K169" s="1">
        <v>690.03470000000004</v>
      </c>
      <c r="L169" s="9" t="s">
        <v>98</v>
      </c>
      <c r="M169" s="2">
        <v>6.77</v>
      </c>
      <c r="N169" s="4">
        <v>4995.0200000000004</v>
      </c>
      <c r="O169" s="1">
        <v>2.0288834749904603</v>
      </c>
      <c r="P169" s="6">
        <v>45.5</v>
      </c>
      <c r="Q169" s="6">
        <v>26.3</v>
      </c>
      <c r="R169" s="6">
        <v>11.2</v>
      </c>
      <c r="S169" s="6">
        <v>11.5</v>
      </c>
      <c r="T169" s="5">
        <v>5.4E-8</v>
      </c>
      <c r="U169" s="1">
        <v>4.1999999999999997E-3</v>
      </c>
      <c r="V169" s="1">
        <v>10.3642</v>
      </c>
    </row>
    <row r="170" spans="1:22" x14ac:dyDescent="0.25">
      <c r="A170" s="1">
        <v>0.99790000000000001</v>
      </c>
      <c r="B170" s="9" t="s">
        <v>2193</v>
      </c>
      <c r="C170" s="2">
        <v>3273</v>
      </c>
      <c r="D170" s="3" t="s">
        <v>2194</v>
      </c>
      <c r="E170" s="9" t="s">
        <v>2195</v>
      </c>
      <c r="F170" s="9" t="s">
        <v>1847</v>
      </c>
      <c r="G170" s="1">
        <v>1953.0567000000001</v>
      </c>
      <c r="H170" s="2">
        <v>801</v>
      </c>
      <c r="I170" s="2">
        <v>3</v>
      </c>
      <c r="J170" s="1">
        <v>1953.0698</v>
      </c>
      <c r="K170" s="1">
        <v>652.02620000000002</v>
      </c>
      <c r="L170" s="9" t="s">
        <v>1848</v>
      </c>
      <c r="M170" s="2">
        <v>5.36</v>
      </c>
      <c r="N170" s="4">
        <v>4990.7700000000004</v>
      </c>
      <c r="O170" s="1">
        <v>6.6970723978065099</v>
      </c>
      <c r="P170" s="6">
        <v>41.4</v>
      </c>
      <c r="Q170" s="6">
        <v>31.4</v>
      </c>
      <c r="R170" s="6">
        <v>13.3</v>
      </c>
      <c r="S170" s="6">
        <v>11.8</v>
      </c>
      <c r="T170" s="5">
        <v>6.6E-4</v>
      </c>
      <c r="U170" s="1">
        <v>1.3100000000000001E-2</v>
      </c>
      <c r="V170" s="1">
        <v>5.0693999999999999</v>
      </c>
    </row>
    <row r="171" spans="1:22" x14ac:dyDescent="0.25">
      <c r="A171" s="1">
        <v>0.99980000000000002</v>
      </c>
      <c r="B171" s="9" t="s">
        <v>2196</v>
      </c>
      <c r="C171" s="2">
        <v>3275</v>
      </c>
      <c r="D171" s="3" t="s">
        <v>1872</v>
      </c>
      <c r="E171" s="9" t="s">
        <v>2197</v>
      </c>
      <c r="F171" s="9" t="s">
        <v>1122</v>
      </c>
      <c r="G171" s="1">
        <v>2345.2599</v>
      </c>
      <c r="H171" s="2">
        <v>436</v>
      </c>
      <c r="I171" s="2">
        <v>3</v>
      </c>
      <c r="J171" s="1">
        <v>2345.2530000000002</v>
      </c>
      <c r="K171" s="1">
        <v>782.76059999999995</v>
      </c>
      <c r="L171" s="9" t="s">
        <v>456</v>
      </c>
      <c r="M171" s="2">
        <v>8.2200000000000006</v>
      </c>
      <c r="N171" s="4">
        <v>4998.17</v>
      </c>
      <c r="O171" s="1">
        <v>-2.9383185612561493</v>
      </c>
      <c r="P171" s="6">
        <v>37.4</v>
      </c>
      <c r="Q171" s="6">
        <v>23.5</v>
      </c>
      <c r="R171" s="6">
        <v>11.6</v>
      </c>
      <c r="S171" s="6">
        <v>13.1</v>
      </c>
      <c r="T171" s="5">
        <v>2.5000000000000001E-3</v>
      </c>
      <c r="U171" s="1">
        <v>-6.8999999999999999E-3</v>
      </c>
      <c r="V171" s="1">
        <v>4.6543999999999999</v>
      </c>
    </row>
    <row r="172" spans="1:22" x14ac:dyDescent="0.25">
      <c r="A172" s="1">
        <v>0.99980000000000002</v>
      </c>
      <c r="B172" s="9" t="s">
        <v>2198</v>
      </c>
      <c r="C172" s="2">
        <v>3287</v>
      </c>
      <c r="D172" s="3" t="s">
        <v>188</v>
      </c>
      <c r="E172" s="9" t="s">
        <v>368</v>
      </c>
      <c r="F172" s="9" t="s">
        <v>2191</v>
      </c>
      <c r="G172" s="1">
        <v>1496.8635999999999</v>
      </c>
      <c r="H172" s="2">
        <v>437</v>
      </c>
      <c r="I172" s="2">
        <v>2</v>
      </c>
      <c r="J172" s="1">
        <v>1496.8612000000001</v>
      </c>
      <c r="K172" s="1">
        <v>749.43910000000005</v>
      </c>
      <c r="L172" s="9" t="s">
        <v>2161</v>
      </c>
      <c r="M172" s="2">
        <v>8.59</v>
      </c>
      <c r="N172" s="4">
        <v>5020.37</v>
      </c>
      <c r="O172" s="1">
        <v>-1.6011974822237054</v>
      </c>
      <c r="P172" s="6">
        <v>60.2</v>
      </c>
      <c r="Q172" s="6">
        <v>38.4</v>
      </c>
      <c r="R172" s="6">
        <v>12.1</v>
      </c>
      <c r="S172" s="6">
        <v>13.3</v>
      </c>
      <c r="T172" s="5">
        <v>1.2E-4</v>
      </c>
      <c r="U172" s="1">
        <v>-2.3999999999999998E-3</v>
      </c>
      <c r="V172" s="1">
        <v>6.2424999999999997</v>
      </c>
    </row>
    <row r="173" spans="1:22" x14ac:dyDescent="0.25">
      <c r="A173" s="1">
        <v>1</v>
      </c>
      <c r="B173" s="9" t="s">
        <v>2199</v>
      </c>
      <c r="C173" s="2">
        <v>3291</v>
      </c>
      <c r="D173" s="3" t="s">
        <v>133</v>
      </c>
      <c r="E173" s="9" t="s">
        <v>956</v>
      </c>
      <c r="F173" s="9" t="s">
        <v>97</v>
      </c>
      <c r="G173" s="1">
        <v>2067.0823</v>
      </c>
      <c r="H173" s="2">
        <v>438</v>
      </c>
      <c r="I173" s="2">
        <v>3</v>
      </c>
      <c r="J173" s="1">
        <v>2067.0729000000001</v>
      </c>
      <c r="K173" s="1">
        <v>690.03470000000004</v>
      </c>
      <c r="L173" s="9" t="s">
        <v>98</v>
      </c>
      <c r="M173" s="2">
        <v>6.77</v>
      </c>
      <c r="N173" s="4">
        <v>5027.7700000000004</v>
      </c>
      <c r="O173" s="1">
        <v>-4.5408344440262685</v>
      </c>
      <c r="P173" s="6">
        <v>47.3</v>
      </c>
      <c r="Q173" s="6">
        <v>34.1</v>
      </c>
      <c r="R173" s="6">
        <v>11.3</v>
      </c>
      <c r="S173" s="6">
        <v>10.5</v>
      </c>
      <c r="T173" s="5">
        <v>1.9999999999999999E-6</v>
      </c>
      <c r="U173" s="1">
        <v>-9.4000000000000004E-3</v>
      </c>
      <c r="V173" s="1">
        <v>7.9189999999999996</v>
      </c>
    </row>
    <row r="174" spans="1:22" x14ac:dyDescent="0.25">
      <c r="A174" s="1">
        <v>0.99970000000000003</v>
      </c>
      <c r="B174" s="9" t="s">
        <v>2200</v>
      </c>
      <c r="C174" s="2">
        <v>3295</v>
      </c>
      <c r="D174" s="3" t="s">
        <v>2201</v>
      </c>
      <c r="E174" s="9" t="s">
        <v>2197</v>
      </c>
      <c r="F174" s="9" t="s">
        <v>1122</v>
      </c>
      <c r="G174" s="1">
        <v>2345.2597000000001</v>
      </c>
      <c r="H174" s="2">
        <v>439</v>
      </c>
      <c r="I174" s="2">
        <v>3</v>
      </c>
      <c r="J174" s="1">
        <v>2345.2311</v>
      </c>
      <c r="K174" s="1">
        <v>782.76049999999998</v>
      </c>
      <c r="L174" s="9" t="s">
        <v>456</v>
      </c>
      <c r="M174" s="2">
        <v>8.2200000000000006</v>
      </c>
      <c r="N174" s="4">
        <v>5035.17</v>
      </c>
      <c r="O174" s="1">
        <v>-12.17911907069063</v>
      </c>
      <c r="P174" s="6">
        <v>40.1</v>
      </c>
      <c r="Q174" s="6">
        <v>23.2</v>
      </c>
      <c r="R174" s="6">
        <v>11.5</v>
      </c>
      <c r="S174" s="6">
        <v>13</v>
      </c>
      <c r="T174" s="5">
        <v>2.1000000000000001E-4</v>
      </c>
      <c r="U174" s="1">
        <v>-2.86E-2</v>
      </c>
      <c r="V174" s="1">
        <v>6.0193000000000003</v>
      </c>
    </row>
    <row r="175" spans="1:22" x14ac:dyDescent="0.25">
      <c r="A175" s="1">
        <v>0.99980000000000002</v>
      </c>
      <c r="B175" s="9" t="s">
        <v>2202</v>
      </c>
      <c r="C175" s="2">
        <v>3307</v>
      </c>
      <c r="D175" s="3" t="s">
        <v>188</v>
      </c>
      <c r="E175" s="9" t="s">
        <v>368</v>
      </c>
      <c r="F175" s="9" t="s">
        <v>2191</v>
      </c>
      <c r="G175" s="1">
        <v>1496.8635999999999</v>
      </c>
      <c r="H175" s="2">
        <v>440</v>
      </c>
      <c r="I175" s="2">
        <v>2</v>
      </c>
      <c r="J175" s="1">
        <v>1496.8625999999999</v>
      </c>
      <c r="K175" s="1">
        <v>749.43910000000005</v>
      </c>
      <c r="L175" s="9" t="s">
        <v>2161</v>
      </c>
      <c r="M175" s="2">
        <v>8.59</v>
      </c>
      <c r="N175" s="4">
        <v>5057.37</v>
      </c>
      <c r="O175" s="1">
        <v>-0.66716561759321069</v>
      </c>
      <c r="P175" s="6">
        <v>60</v>
      </c>
      <c r="Q175" s="6">
        <v>38.4</v>
      </c>
      <c r="R175" s="6">
        <v>12.4</v>
      </c>
      <c r="S175" s="6">
        <v>12.9</v>
      </c>
      <c r="T175" s="5">
        <v>1E-4</v>
      </c>
      <c r="U175" s="1">
        <v>-1E-3</v>
      </c>
      <c r="V175" s="1">
        <v>6.3167999999999997</v>
      </c>
    </row>
    <row r="176" spans="1:22" x14ac:dyDescent="0.25">
      <c r="A176" s="1">
        <v>0.95209999999999995</v>
      </c>
      <c r="B176" s="9" t="s">
        <v>2203</v>
      </c>
      <c r="C176" s="2">
        <v>3325</v>
      </c>
      <c r="D176" s="3" t="s">
        <v>361</v>
      </c>
      <c r="E176" s="9" t="s">
        <v>2204</v>
      </c>
      <c r="F176" s="9" t="s">
        <v>2205</v>
      </c>
      <c r="G176" s="1">
        <v>1148.7537</v>
      </c>
      <c r="H176" s="2">
        <v>1067</v>
      </c>
      <c r="I176" s="2">
        <v>2</v>
      </c>
      <c r="J176" s="1">
        <v>1148.6570999999999</v>
      </c>
      <c r="K176" s="1">
        <v>575.38409999999999</v>
      </c>
      <c r="L176" s="9" t="s">
        <v>2206</v>
      </c>
      <c r="M176" s="2">
        <v>5.96</v>
      </c>
      <c r="N176" s="4">
        <v>5086.97</v>
      </c>
      <c r="O176" s="1">
        <v>-83.943925457794194</v>
      </c>
      <c r="P176" s="6">
        <v>31.9</v>
      </c>
      <c r="Q176" s="6">
        <v>27</v>
      </c>
      <c r="R176" s="6">
        <v>11.4</v>
      </c>
      <c r="S176" s="6">
        <v>10.7</v>
      </c>
      <c r="T176" s="5">
        <v>2.5999999999999999E-2</v>
      </c>
      <c r="U176" s="1">
        <v>-9.6600000000000005E-2</v>
      </c>
      <c r="V176" s="1">
        <v>2.7951999999999999</v>
      </c>
    </row>
    <row r="177" spans="1:22" x14ac:dyDescent="0.25">
      <c r="A177" s="1">
        <v>0.999</v>
      </c>
      <c r="B177" s="9" t="s">
        <v>2207</v>
      </c>
      <c r="C177" s="2">
        <v>3328</v>
      </c>
      <c r="D177" s="3" t="s">
        <v>146</v>
      </c>
      <c r="E177" s="9" t="s">
        <v>2208</v>
      </c>
      <c r="F177" s="9" t="s">
        <v>257</v>
      </c>
      <c r="G177" s="1">
        <v>1344.6483000000001</v>
      </c>
      <c r="H177" s="2">
        <v>443</v>
      </c>
      <c r="I177" s="2">
        <v>2</v>
      </c>
      <c r="J177" s="1">
        <v>1344.6455000000001</v>
      </c>
      <c r="K177" s="1">
        <v>673.33140000000003</v>
      </c>
      <c r="L177" s="9" t="s">
        <v>258</v>
      </c>
      <c r="M177" s="2">
        <v>4.24</v>
      </c>
      <c r="N177" s="4">
        <v>5094.37</v>
      </c>
      <c r="O177" s="1">
        <v>-2.0792138908121616</v>
      </c>
      <c r="P177" s="6">
        <v>39.6</v>
      </c>
      <c r="Q177" s="6">
        <v>24.9</v>
      </c>
      <c r="R177" s="6">
        <v>12.5</v>
      </c>
      <c r="S177" s="6">
        <v>10</v>
      </c>
      <c r="T177" s="5">
        <v>9.7999999999999997E-4</v>
      </c>
      <c r="U177" s="1">
        <v>-2.8E-3</v>
      </c>
      <c r="V177" s="1">
        <v>5.5330000000000004</v>
      </c>
    </row>
    <row r="178" spans="1:22" x14ac:dyDescent="0.25">
      <c r="A178" s="1">
        <v>0.99950000000000006</v>
      </c>
      <c r="B178" s="9" t="s">
        <v>2209</v>
      </c>
      <c r="C178" s="2">
        <v>3333</v>
      </c>
      <c r="D178" s="3" t="s">
        <v>110</v>
      </c>
      <c r="E178" s="9" t="s">
        <v>2210</v>
      </c>
      <c r="F178" s="9" t="s">
        <v>2001</v>
      </c>
      <c r="G178" s="1">
        <v>1499.8377</v>
      </c>
      <c r="H178" s="2">
        <v>595</v>
      </c>
      <c r="I178" s="2">
        <v>2</v>
      </c>
      <c r="J178" s="1">
        <v>1499.8236999999999</v>
      </c>
      <c r="K178" s="1">
        <v>750.92610000000002</v>
      </c>
      <c r="L178" s="9" t="s">
        <v>2002</v>
      </c>
      <c r="M178" s="2">
        <v>8.59</v>
      </c>
      <c r="N178" s="4">
        <v>5108.12</v>
      </c>
      <c r="O178" s="1">
        <v>-9.3218227466058234</v>
      </c>
      <c r="P178" s="6">
        <v>54</v>
      </c>
      <c r="Q178" s="6">
        <v>39.200000000000003</v>
      </c>
      <c r="R178" s="6">
        <v>11.6</v>
      </c>
      <c r="S178" s="6">
        <v>11.9</v>
      </c>
      <c r="T178" s="5">
        <v>3.8999999999999999E-5</v>
      </c>
      <c r="U178" s="1">
        <v>-1.4E-2</v>
      </c>
      <c r="V178" s="1">
        <v>6.3548999999999998</v>
      </c>
    </row>
    <row r="179" spans="1:22" x14ac:dyDescent="0.25">
      <c r="A179" s="1">
        <v>0.9929</v>
      </c>
      <c r="B179" s="9" t="s">
        <v>2211</v>
      </c>
      <c r="C179" s="2">
        <v>3351</v>
      </c>
      <c r="D179" s="3" t="s">
        <v>1000</v>
      </c>
      <c r="E179" s="9" t="s">
        <v>2212</v>
      </c>
      <c r="F179" s="9" t="s">
        <v>1900</v>
      </c>
      <c r="G179" s="1">
        <v>1563.8367000000001</v>
      </c>
      <c r="H179" s="2">
        <v>445</v>
      </c>
      <c r="I179" s="2">
        <v>2</v>
      </c>
      <c r="J179" s="1">
        <v>1563.8239000000001</v>
      </c>
      <c r="K179" s="1">
        <v>782.92560000000003</v>
      </c>
      <c r="L179" s="9" t="s">
        <v>1901</v>
      </c>
      <c r="M179" s="2">
        <v>8.5</v>
      </c>
      <c r="N179" s="4">
        <v>5138.7700000000004</v>
      </c>
      <c r="O179" s="1">
        <v>-8.1744676633386373</v>
      </c>
      <c r="P179" s="6">
        <v>40</v>
      </c>
      <c r="Q179" s="6">
        <v>28.9</v>
      </c>
      <c r="R179" s="6">
        <v>8.9</v>
      </c>
      <c r="S179" s="6">
        <v>8.9</v>
      </c>
      <c r="T179" s="5">
        <v>1.4E-2</v>
      </c>
      <c r="U179" s="1">
        <v>-1.2800000000000001E-2</v>
      </c>
      <c r="V179" s="1">
        <v>3.6533000000000002</v>
      </c>
    </row>
    <row r="180" spans="1:22" x14ac:dyDescent="0.25">
      <c r="A180" s="1">
        <v>0.98809999999999998</v>
      </c>
      <c r="B180" s="9" t="s">
        <v>2213</v>
      </c>
      <c r="C180" s="2">
        <v>3356</v>
      </c>
      <c r="D180" s="3" t="s">
        <v>331</v>
      </c>
      <c r="E180" s="9" t="s">
        <v>2214</v>
      </c>
      <c r="F180" s="9" t="s">
        <v>672</v>
      </c>
      <c r="G180" s="1">
        <v>1463.6636000000001</v>
      </c>
      <c r="H180" s="2">
        <v>446</v>
      </c>
      <c r="I180" s="2">
        <v>2</v>
      </c>
      <c r="J180" s="1">
        <v>1463.6684</v>
      </c>
      <c r="K180" s="1">
        <v>732.83910000000003</v>
      </c>
      <c r="L180" s="9" t="s">
        <v>673</v>
      </c>
      <c r="M180" s="2">
        <v>4.2699999999999996</v>
      </c>
      <c r="N180" s="4">
        <v>5146.17</v>
      </c>
      <c r="O180" s="1">
        <v>3.2749344296722156</v>
      </c>
      <c r="P180" s="6">
        <v>38.799999999999997</v>
      </c>
      <c r="Q180" s="6">
        <v>25.6</v>
      </c>
      <c r="R180" s="6">
        <v>11.8</v>
      </c>
      <c r="S180" s="6">
        <v>8.6999999999999993</v>
      </c>
      <c r="T180" s="5">
        <v>2.5000000000000001E-2</v>
      </c>
      <c r="U180" s="1">
        <v>4.7999999999999996E-3</v>
      </c>
      <c r="V180" s="1">
        <v>3.6751999999999998</v>
      </c>
    </row>
    <row r="181" spans="1:22" x14ac:dyDescent="0.25">
      <c r="A181" s="1">
        <v>0.94950000000000001</v>
      </c>
      <c r="B181" s="9" t="s">
        <v>2215</v>
      </c>
      <c r="C181" s="2">
        <v>3371</v>
      </c>
      <c r="D181" s="3" t="s">
        <v>2216</v>
      </c>
      <c r="E181" s="9" t="s">
        <v>2217</v>
      </c>
      <c r="F181" s="9" t="s">
        <v>1199</v>
      </c>
      <c r="G181" s="1">
        <v>3223.5147000000002</v>
      </c>
      <c r="H181" s="2">
        <v>954</v>
      </c>
      <c r="I181" s="2">
        <v>3</v>
      </c>
      <c r="J181" s="1">
        <v>3225.0304999999998</v>
      </c>
      <c r="K181" s="1">
        <v>1075.5121999999999</v>
      </c>
      <c r="L181" s="9" t="s">
        <v>1200</v>
      </c>
      <c r="M181" s="2">
        <v>9.5</v>
      </c>
      <c r="N181" s="4">
        <v>5177.93</v>
      </c>
      <c r="O181" s="1">
        <v>-152.14766198530029</v>
      </c>
      <c r="P181" s="6">
        <v>44.2</v>
      </c>
      <c r="Q181" s="6">
        <v>28.7</v>
      </c>
      <c r="R181" s="6">
        <v>12.4</v>
      </c>
      <c r="S181" s="6">
        <v>4.9000000000000004</v>
      </c>
      <c r="T181" s="5">
        <v>6.3999999999999997E-5</v>
      </c>
      <c r="U181" s="1">
        <v>1.5158</v>
      </c>
      <c r="V181" s="1">
        <v>5.0888</v>
      </c>
    </row>
    <row r="182" spans="1:22" x14ac:dyDescent="0.25">
      <c r="A182" s="1">
        <v>0.9698</v>
      </c>
      <c r="B182" s="9" t="s">
        <v>2218</v>
      </c>
      <c r="C182" s="2">
        <v>3375</v>
      </c>
      <c r="D182" s="3" t="s">
        <v>311</v>
      </c>
      <c r="E182" s="9" t="s">
        <v>2214</v>
      </c>
      <c r="F182" s="9" t="s">
        <v>672</v>
      </c>
      <c r="G182" s="1">
        <v>1463.6636000000001</v>
      </c>
      <c r="H182" s="2">
        <v>450</v>
      </c>
      <c r="I182" s="2">
        <v>2</v>
      </c>
      <c r="J182" s="1">
        <v>1463.6596</v>
      </c>
      <c r="K182" s="1">
        <v>732.83910000000003</v>
      </c>
      <c r="L182" s="9" t="s">
        <v>673</v>
      </c>
      <c r="M182" s="2">
        <v>4.2699999999999996</v>
      </c>
      <c r="N182" s="4">
        <v>5183.17</v>
      </c>
      <c r="O182" s="1">
        <v>-2.7291120247268466</v>
      </c>
      <c r="P182" s="6">
        <v>36.4</v>
      </c>
      <c r="Q182" s="6">
        <v>26</v>
      </c>
      <c r="R182" s="6">
        <v>12.3</v>
      </c>
      <c r="S182" s="6">
        <v>8.4</v>
      </c>
      <c r="T182" s="5">
        <v>0.12</v>
      </c>
      <c r="U182" s="1">
        <v>-4.0000000000000001E-3</v>
      </c>
      <c r="V182" s="1">
        <v>2.6989999999999998</v>
      </c>
    </row>
    <row r="183" spans="1:22" x14ac:dyDescent="0.25">
      <c r="A183" s="1">
        <v>0.99909999999999999</v>
      </c>
      <c r="B183" s="9" t="s">
        <v>2219</v>
      </c>
      <c r="C183" s="2">
        <v>3376</v>
      </c>
      <c r="D183" s="3" t="s">
        <v>2220</v>
      </c>
      <c r="E183" s="9" t="s">
        <v>2221</v>
      </c>
      <c r="F183" s="9" t="s">
        <v>540</v>
      </c>
      <c r="G183" s="1">
        <v>1572.8906999999999</v>
      </c>
      <c r="H183" s="2">
        <v>451</v>
      </c>
      <c r="I183" s="2">
        <v>2</v>
      </c>
      <c r="J183" s="1">
        <v>1572.8742999999999</v>
      </c>
      <c r="K183" s="1">
        <v>787.45259999999996</v>
      </c>
      <c r="L183" s="9" t="s">
        <v>514</v>
      </c>
      <c r="M183" s="2">
        <v>10</v>
      </c>
      <c r="N183" s="4">
        <v>5183.17</v>
      </c>
      <c r="O183" s="1">
        <v>-10.41332519570067</v>
      </c>
      <c r="P183" s="6">
        <v>65.599999999999994</v>
      </c>
      <c r="Q183" s="6">
        <v>43.8</v>
      </c>
      <c r="R183" s="6">
        <v>12.1</v>
      </c>
      <c r="S183" s="6">
        <v>12.4</v>
      </c>
      <c r="T183" s="5">
        <v>6.4999999999999994E-5</v>
      </c>
      <c r="U183" s="1">
        <v>-1.6400000000000001E-2</v>
      </c>
      <c r="V183" s="1">
        <v>5.9438000000000004</v>
      </c>
    </row>
    <row r="184" spans="1:22" x14ac:dyDescent="0.25">
      <c r="A184" s="1">
        <v>0.96050000000000002</v>
      </c>
      <c r="B184" s="9" t="s">
        <v>2222</v>
      </c>
      <c r="C184" s="2">
        <v>3379</v>
      </c>
      <c r="D184" s="3" t="s">
        <v>38</v>
      </c>
      <c r="E184" s="9" t="s">
        <v>2223</v>
      </c>
      <c r="F184" s="9" t="s">
        <v>2224</v>
      </c>
      <c r="G184" s="1">
        <v>1643.9317000000001</v>
      </c>
      <c r="H184" s="2">
        <v>452</v>
      </c>
      <c r="I184" s="2">
        <v>3</v>
      </c>
      <c r="J184" s="1">
        <v>1643.9585999999999</v>
      </c>
      <c r="K184" s="1">
        <v>548.98450000000003</v>
      </c>
      <c r="L184" s="9" t="s">
        <v>2225</v>
      </c>
      <c r="M184" s="2">
        <v>8.4700000000000006</v>
      </c>
      <c r="N184" s="4">
        <v>5190.57</v>
      </c>
      <c r="O184" s="1">
        <v>16.333187306138271</v>
      </c>
      <c r="P184" s="6">
        <v>28.2</v>
      </c>
      <c r="Q184" s="6">
        <v>21.1</v>
      </c>
      <c r="R184" s="6">
        <v>8.9</v>
      </c>
      <c r="S184" s="6">
        <v>8.6999999999999993</v>
      </c>
      <c r="T184" s="5">
        <v>7.4999999999999997E-2</v>
      </c>
      <c r="U184" s="1">
        <v>2.69E-2</v>
      </c>
      <c r="V184" s="1">
        <v>3.1490999999999998</v>
      </c>
    </row>
    <row r="185" spans="1:22" x14ac:dyDescent="0.25">
      <c r="A185" s="1">
        <v>0.97960000000000003</v>
      </c>
      <c r="B185" s="9" t="s">
        <v>2226</v>
      </c>
      <c r="C185" s="2">
        <v>3381</v>
      </c>
      <c r="D185" s="3" t="s">
        <v>511</v>
      </c>
      <c r="E185" s="9" t="s">
        <v>2227</v>
      </c>
      <c r="F185" s="9" t="s">
        <v>2228</v>
      </c>
      <c r="G185" s="1">
        <v>1196.6587</v>
      </c>
      <c r="H185" s="2">
        <v>453</v>
      </c>
      <c r="I185" s="2">
        <v>2</v>
      </c>
      <c r="J185" s="1">
        <v>1196.6534999999999</v>
      </c>
      <c r="K185" s="1">
        <v>599.33659999999998</v>
      </c>
      <c r="L185" s="9" t="s">
        <v>2229</v>
      </c>
      <c r="M185" s="2">
        <v>8.75</v>
      </c>
      <c r="N185" s="4">
        <v>5190.57</v>
      </c>
      <c r="O185" s="1">
        <v>-4.338129858914006</v>
      </c>
      <c r="P185" s="6">
        <v>30.6</v>
      </c>
      <c r="Q185" s="6">
        <v>23.5</v>
      </c>
      <c r="R185" s="6">
        <v>10.6</v>
      </c>
      <c r="S185" s="6">
        <v>12.1</v>
      </c>
      <c r="T185" s="5">
        <v>0.19</v>
      </c>
      <c r="U185" s="1">
        <v>-5.1999999999999998E-3</v>
      </c>
      <c r="V185" s="1">
        <v>2.4142000000000001</v>
      </c>
    </row>
    <row r="186" spans="1:22" x14ac:dyDescent="0.25">
      <c r="A186" s="1">
        <v>0.98370000000000002</v>
      </c>
      <c r="B186" s="9" t="s">
        <v>2230</v>
      </c>
      <c r="C186" s="2">
        <v>3383</v>
      </c>
      <c r="D186" s="3" t="s">
        <v>280</v>
      </c>
      <c r="E186" s="9" t="s">
        <v>407</v>
      </c>
      <c r="F186" s="9" t="s">
        <v>290</v>
      </c>
      <c r="G186" s="1">
        <v>1645.8596</v>
      </c>
      <c r="H186" s="2">
        <v>454</v>
      </c>
      <c r="I186" s="2">
        <v>2</v>
      </c>
      <c r="J186" s="1">
        <v>1645.8552</v>
      </c>
      <c r="K186" s="1">
        <v>823.93709999999999</v>
      </c>
      <c r="L186" s="9" t="s">
        <v>291</v>
      </c>
      <c r="M186" s="2">
        <v>4.8499999999999996</v>
      </c>
      <c r="N186" s="4">
        <v>5197.9799999999996</v>
      </c>
      <c r="O186" s="1">
        <v>-2.6701067350893659</v>
      </c>
      <c r="P186" s="6">
        <v>41.5</v>
      </c>
      <c r="Q186" s="6">
        <v>34.299999999999997</v>
      </c>
      <c r="R186" s="6">
        <v>8.3000000000000007</v>
      </c>
      <c r="S186" s="6">
        <v>10.5</v>
      </c>
      <c r="T186" s="5">
        <v>1.2E-2</v>
      </c>
      <c r="U186" s="1">
        <v>-4.4000000000000003E-3</v>
      </c>
      <c r="V186" s="1">
        <v>3.1326000000000001</v>
      </c>
    </row>
    <row r="187" spans="1:22" x14ac:dyDescent="0.25">
      <c r="A187" s="1">
        <v>0.98719999999999997</v>
      </c>
      <c r="B187" s="9" t="s">
        <v>2231</v>
      </c>
      <c r="C187" s="2">
        <v>3385</v>
      </c>
      <c r="D187" s="3" t="s">
        <v>621</v>
      </c>
      <c r="E187" s="9" t="s">
        <v>2232</v>
      </c>
      <c r="F187" s="9" t="s">
        <v>2233</v>
      </c>
      <c r="G187" s="1">
        <v>1228.6606999999999</v>
      </c>
      <c r="H187" s="2">
        <v>806</v>
      </c>
      <c r="I187" s="2">
        <v>2</v>
      </c>
      <c r="J187" s="1">
        <v>1228.6460999999999</v>
      </c>
      <c r="K187" s="1">
        <v>615.33759999999995</v>
      </c>
      <c r="L187" s="9" t="s">
        <v>2234</v>
      </c>
      <c r="M187" s="2">
        <v>6.74</v>
      </c>
      <c r="N187" s="4">
        <v>5197.9799999999996</v>
      </c>
      <c r="O187" s="1">
        <v>-11.863406364246229</v>
      </c>
      <c r="P187" s="6">
        <v>36.1</v>
      </c>
      <c r="Q187" s="6">
        <v>27.5</v>
      </c>
      <c r="R187" s="6">
        <v>12.9</v>
      </c>
      <c r="S187" s="6">
        <v>8.1999999999999993</v>
      </c>
      <c r="T187" s="5">
        <v>9.9000000000000008E-3</v>
      </c>
      <c r="U187" s="1">
        <v>-1.46E-2</v>
      </c>
      <c r="V187" s="1">
        <v>3.9405000000000001</v>
      </c>
    </row>
    <row r="188" spans="1:22" x14ac:dyDescent="0.25">
      <c r="A188" s="1">
        <v>0.99890000000000001</v>
      </c>
      <c r="B188" s="9" t="s">
        <v>2235</v>
      </c>
      <c r="C188" s="2">
        <v>3393</v>
      </c>
      <c r="D188" s="3" t="s">
        <v>311</v>
      </c>
      <c r="E188" s="9" t="s">
        <v>1436</v>
      </c>
      <c r="F188" s="9" t="s">
        <v>1437</v>
      </c>
      <c r="G188" s="1">
        <v>1451.7806</v>
      </c>
      <c r="H188" s="2">
        <v>236</v>
      </c>
      <c r="I188" s="2">
        <v>2</v>
      </c>
      <c r="J188" s="1">
        <v>1451.7709</v>
      </c>
      <c r="K188" s="1">
        <v>726.89760000000001</v>
      </c>
      <c r="L188" s="9" t="s">
        <v>912</v>
      </c>
      <c r="M188" s="2">
        <v>6.76</v>
      </c>
      <c r="N188" s="4">
        <v>5212.78</v>
      </c>
      <c r="O188" s="1">
        <v>-6.6721915163841512</v>
      </c>
      <c r="P188" s="6">
        <v>35.799999999999997</v>
      </c>
      <c r="Q188" s="6">
        <v>22.7</v>
      </c>
      <c r="R188" s="6">
        <v>10.6</v>
      </c>
      <c r="S188" s="6">
        <v>10.7</v>
      </c>
      <c r="T188" s="5">
        <v>1.6000000000000001E-3</v>
      </c>
      <c r="U188" s="1">
        <v>-9.7000000000000003E-3</v>
      </c>
      <c r="V188" s="1">
        <v>5.0636000000000001</v>
      </c>
    </row>
    <row r="189" spans="1:22" x14ac:dyDescent="0.25">
      <c r="A189" s="1">
        <v>0.99670000000000003</v>
      </c>
      <c r="B189" s="9" t="s">
        <v>2236</v>
      </c>
      <c r="C189" s="2">
        <v>3401</v>
      </c>
      <c r="D189" s="3" t="s">
        <v>93</v>
      </c>
      <c r="E189" s="9" t="s">
        <v>394</v>
      </c>
      <c r="F189" s="9" t="s">
        <v>2191</v>
      </c>
      <c r="G189" s="1">
        <v>1382.8207</v>
      </c>
      <c r="H189" s="2">
        <v>34</v>
      </c>
      <c r="I189" s="2">
        <v>2</v>
      </c>
      <c r="J189" s="1">
        <v>1382.7919999999999</v>
      </c>
      <c r="K189" s="1">
        <v>692.41759999999999</v>
      </c>
      <c r="L189" s="9" t="s">
        <v>2161</v>
      </c>
      <c r="M189" s="2">
        <v>8.59</v>
      </c>
      <c r="N189" s="4">
        <v>5227.58</v>
      </c>
      <c r="O189" s="1">
        <v>-20.724487650227264</v>
      </c>
      <c r="P189" s="6">
        <v>52</v>
      </c>
      <c r="Q189" s="6">
        <v>35.799999999999997</v>
      </c>
      <c r="R189" s="6">
        <v>11.9</v>
      </c>
      <c r="S189" s="6">
        <v>12.3</v>
      </c>
      <c r="T189" s="5">
        <v>1.1000000000000001E-3</v>
      </c>
      <c r="U189" s="1">
        <v>-2.87E-2</v>
      </c>
      <c r="V189" s="1">
        <v>5.1894</v>
      </c>
    </row>
    <row r="190" spans="1:22" x14ac:dyDescent="0.25">
      <c r="A190" s="1">
        <v>0.99860000000000004</v>
      </c>
      <c r="B190" s="9" t="s">
        <v>2237</v>
      </c>
      <c r="C190" s="2">
        <v>3418</v>
      </c>
      <c r="D190" s="3" t="s">
        <v>220</v>
      </c>
      <c r="E190" s="9" t="s">
        <v>394</v>
      </c>
      <c r="F190" s="9" t="s">
        <v>2191</v>
      </c>
      <c r="G190" s="1">
        <v>1382.8207</v>
      </c>
      <c r="H190" s="2">
        <v>598</v>
      </c>
      <c r="I190" s="2">
        <v>2</v>
      </c>
      <c r="J190" s="1">
        <v>1382.8104000000001</v>
      </c>
      <c r="K190" s="1">
        <v>692.41759999999999</v>
      </c>
      <c r="L190" s="9" t="s">
        <v>2161</v>
      </c>
      <c r="M190" s="2">
        <v>8.59</v>
      </c>
      <c r="N190" s="4">
        <v>5263.63</v>
      </c>
      <c r="O190" s="1">
        <v>-7.4377081114056027</v>
      </c>
      <c r="P190" s="6">
        <v>60.7</v>
      </c>
      <c r="Q190" s="6">
        <v>39.299999999999997</v>
      </c>
      <c r="R190" s="6">
        <v>11.9</v>
      </c>
      <c r="S190" s="6">
        <v>12.1</v>
      </c>
      <c r="T190" s="5">
        <v>7.1999999999999998E-3</v>
      </c>
      <c r="U190" s="1">
        <v>-1.03E-2</v>
      </c>
      <c r="V190" s="1">
        <v>4.4809000000000001</v>
      </c>
    </row>
    <row r="191" spans="1:22" x14ac:dyDescent="0.25">
      <c r="A191" s="1">
        <v>0.999</v>
      </c>
      <c r="B191" s="9" t="s">
        <v>2238</v>
      </c>
      <c r="C191" s="2">
        <v>3422</v>
      </c>
      <c r="D191" s="3" t="s">
        <v>285</v>
      </c>
      <c r="E191" s="9" t="s">
        <v>2239</v>
      </c>
      <c r="F191" s="9" t="s">
        <v>2240</v>
      </c>
      <c r="G191" s="1">
        <v>1505.7734</v>
      </c>
      <c r="H191" s="2">
        <v>600</v>
      </c>
      <c r="I191" s="2">
        <v>2</v>
      </c>
      <c r="J191" s="1">
        <v>1505.7719</v>
      </c>
      <c r="K191" s="1">
        <v>753.89400000000001</v>
      </c>
      <c r="L191" s="9" t="s">
        <v>2241</v>
      </c>
      <c r="M191" s="2">
        <v>8.2200000000000006</v>
      </c>
      <c r="N191" s="4">
        <v>5271.03</v>
      </c>
      <c r="O191" s="1">
        <v>-0.9948348176268812</v>
      </c>
      <c r="P191" s="6">
        <v>47.7</v>
      </c>
      <c r="Q191" s="6">
        <v>34.5</v>
      </c>
      <c r="R191" s="6">
        <v>10.6</v>
      </c>
      <c r="S191" s="6">
        <v>10.4</v>
      </c>
      <c r="T191" s="5">
        <v>9.5E-4</v>
      </c>
      <c r="U191" s="1">
        <v>-1.5E-3</v>
      </c>
      <c r="V191" s="1">
        <v>4.8924000000000003</v>
      </c>
    </row>
    <row r="192" spans="1:22" x14ac:dyDescent="0.25">
      <c r="A192" s="1">
        <v>0.99870000000000003</v>
      </c>
      <c r="B192" s="9" t="s">
        <v>2242</v>
      </c>
      <c r="C192" s="2">
        <v>3423</v>
      </c>
      <c r="D192" s="3" t="s">
        <v>423</v>
      </c>
      <c r="E192" s="9" t="s">
        <v>2243</v>
      </c>
      <c r="F192" s="9" t="s">
        <v>588</v>
      </c>
      <c r="G192" s="1">
        <v>1632.8949</v>
      </c>
      <c r="H192" s="2">
        <v>238</v>
      </c>
      <c r="I192" s="2">
        <v>2</v>
      </c>
      <c r="J192" s="1">
        <v>1632.8956000000001</v>
      </c>
      <c r="K192" s="1">
        <v>817.4547</v>
      </c>
      <c r="L192" s="9" t="s">
        <v>589</v>
      </c>
      <c r="M192" s="2">
        <v>8.5</v>
      </c>
      <c r="N192" s="4">
        <v>5266.78</v>
      </c>
      <c r="O192" s="1">
        <v>0.42815828204302941</v>
      </c>
      <c r="P192" s="6">
        <v>35.5</v>
      </c>
      <c r="Q192" s="6">
        <v>24.1</v>
      </c>
      <c r="R192" s="6">
        <v>11</v>
      </c>
      <c r="S192" s="6">
        <v>11.4</v>
      </c>
      <c r="T192" s="5">
        <v>3.3999999999999998E-3</v>
      </c>
      <c r="U192" s="1">
        <v>6.9999999999999999E-4</v>
      </c>
      <c r="V192" s="1">
        <v>4.3474000000000004</v>
      </c>
    </row>
    <row r="193" spans="1:22" x14ac:dyDescent="0.25">
      <c r="A193" s="1">
        <v>0.9718</v>
      </c>
      <c r="B193" s="9" t="s">
        <v>2244</v>
      </c>
      <c r="C193" s="2">
        <v>3426</v>
      </c>
      <c r="D193" s="2" t="s">
        <v>702</v>
      </c>
      <c r="E193" s="9" t="s">
        <v>2245</v>
      </c>
      <c r="F193" s="9" t="s">
        <v>944</v>
      </c>
      <c r="G193" s="1">
        <v>1244.6369</v>
      </c>
      <c r="H193" s="2">
        <v>601</v>
      </c>
      <c r="I193" s="2">
        <v>2</v>
      </c>
      <c r="J193" s="1">
        <v>1244.6288</v>
      </c>
      <c r="K193" s="1">
        <v>623.32569999999998</v>
      </c>
      <c r="L193" s="9" t="s">
        <v>945</v>
      </c>
      <c r="M193" s="2">
        <v>8.25</v>
      </c>
      <c r="N193" s="4">
        <v>5278.43</v>
      </c>
      <c r="O193" s="1">
        <v>-6.4974057703701291</v>
      </c>
      <c r="P193" s="6">
        <v>34.9</v>
      </c>
      <c r="Q193" s="6">
        <v>28</v>
      </c>
      <c r="R193" s="6">
        <v>9.1999999999999993</v>
      </c>
      <c r="S193" s="6">
        <v>10.1</v>
      </c>
      <c r="T193" s="5">
        <v>0.21</v>
      </c>
      <c r="U193" s="1">
        <v>-8.0999999999999996E-3</v>
      </c>
      <c r="V193" s="1">
        <v>2.1067</v>
      </c>
    </row>
    <row r="194" spans="1:22" x14ac:dyDescent="0.25">
      <c r="A194" s="1">
        <v>1</v>
      </c>
      <c r="B194" s="9" t="s">
        <v>2246</v>
      </c>
      <c r="C194" s="2">
        <v>3435</v>
      </c>
      <c r="D194" s="2" t="s">
        <v>2247</v>
      </c>
      <c r="E194" s="9" t="s">
        <v>2248</v>
      </c>
      <c r="F194" s="9" t="s">
        <v>2249</v>
      </c>
      <c r="G194" s="1">
        <v>1812.0617</v>
      </c>
      <c r="H194" s="2">
        <v>456</v>
      </c>
      <c r="I194" s="2">
        <v>3</v>
      </c>
      <c r="J194" s="1">
        <v>1812.0719999999999</v>
      </c>
      <c r="K194" s="1">
        <v>605.02779999999996</v>
      </c>
      <c r="L194" s="9" t="s">
        <v>2250</v>
      </c>
      <c r="M194" s="2">
        <v>9.1999999999999993</v>
      </c>
      <c r="N194" s="4">
        <v>5288.98</v>
      </c>
      <c r="O194" s="1">
        <v>5.6746703760279003</v>
      </c>
      <c r="P194" s="6">
        <v>45.7</v>
      </c>
      <c r="Q194" s="6">
        <v>22.9</v>
      </c>
      <c r="R194" s="6">
        <v>9.6</v>
      </c>
      <c r="S194" s="6">
        <v>10.3</v>
      </c>
      <c r="T194" s="5">
        <v>4.4000000000000002E-6</v>
      </c>
      <c r="U194" s="1">
        <v>1.03E-2</v>
      </c>
      <c r="V194" s="1">
        <v>9.1455000000000002</v>
      </c>
    </row>
    <row r="195" spans="1:22" x14ac:dyDescent="0.25">
      <c r="A195" s="1">
        <v>0.99099999999999999</v>
      </c>
      <c r="B195" s="9" t="s">
        <v>2251</v>
      </c>
      <c r="C195" s="2">
        <v>3442</v>
      </c>
      <c r="D195" s="2" t="s">
        <v>423</v>
      </c>
      <c r="E195" s="9" t="s">
        <v>2252</v>
      </c>
      <c r="F195" s="9" t="s">
        <v>2253</v>
      </c>
      <c r="G195" s="1">
        <v>1491.8007</v>
      </c>
      <c r="H195" s="2">
        <v>602</v>
      </c>
      <c r="I195" s="2">
        <v>2</v>
      </c>
      <c r="J195" s="1">
        <v>1491.7846</v>
      </c>
      <c r="K195" s="1">
        <v>746.9076</v>
      </c>
      <c r="L195" s="9" t="s">
        <v>1263</v>
      </c>
      <c r="M195" s="2">
        <v>6.24</v>
      </c>
      <c r="N195" s="4">
        <v>5307.03</v>
      </c>
      <c r="O195" s="1">
        <v>-10.777772243849171</v>
      </c>
      <c r="P195" s="6">
        <v>36.9</v>
      </c>
      <c r="Q195" s="6">
        <v>28.1</v>
      </c>
      <c r="R195" s="6">
        <v>7.7</v>
      </c>
      <c r="S195" s="6">
        <v>8.6999999999999993</v>
      </c>
      <c r="T195" s="5">
        <v>4.4000000000000003E-3</v>
      </c>
      <c r="U195" s="1">
        <v>-1.61E-2</v>
      </c>
      <c r="V195" s="1">
        <v>3.8662000000000001</v>
      </c>
    </row>
    <row r="196" spans="1:22" x14ac:dyDescent="0.25">
      <c r="A196" s="1">
        <v>0.9929</v>
      </c>
      <c r="B196" s="9" t="s">
        <v>2254</v>
      </c>
      <c r="C196" s="2">
        <v>3447</v>
      </c>
      <c r="D196" s="2" t="s">
        <v>105</v>
      </c>
      <c r="E196" s="9" t="s">
        <v>2255</v>
      </c>
      <c r="F196" s="9" t="s">
        <v>540</v>
      </c>
      <c r="G196" s="1">
        <v>1596.8257000000001</v>
      </c>
      <c r="H196" s="2">
        <v>457</v>
      </c>
      <c r="I196" s="2">
        <v>2</v>
      </c>
      <c r="J196" s="1">
        <v>1596.8130000000001</v>
      </c>
      <c r="K196" s="1">
        <v>799.42010000000005</v>
      </c>
      <c r="L196" s="9" t="s">
        <v>514</v>
      </c>
      <c r="M196" s="2">
        <v>8.59</v>
      </c>
      <c r="N196" s="4">
        <v>5312.28</v>
      </c>
      <c r="O196" s="1">
        <v>-7.9432578690478248</v>
      </c>
      <c r="P196" s="6">
        <v>44.1</v>
      </c>
      <c r="Q196" s="6">
        <v>30.9</v>
      </c>
      <c r="R196" s="6">
        <v>8.1999999999999993</v>
      </c>
      <c r="S196" s="6">
        <v>9.8000000000000007</v>
      </c>
      <c r="T196" s="5">
        <v>0.01</v>
      </c>
      <c r="U196" s="1">
        <v>-1.2699999999999999E-2</v>
      </c>
      <c r="V196" s="1">
        <v>3.6492</v>
      </c>
    </row>
    <row r="197" spans="1:22" x14ac:dyDescent="0.25">
      <c r="A197" s="1">
        <v>0.96109999999999995</v>
      </c>
      <c r="B197" s="9" t="s">
        <v>2256</v>
      </c>
      <c r="C197" s="2">
        <v>3450</v>
      </c>
      <c r="D197" s="2" t="s">
        <v>302</v>
      </c>
      <c r="E197" s="9" t="s">
        <v>2257</v>
      </c>
      <c r="F197" s="9" t="s">
        <v>2258</v>
      </c>
      <c r="G197" s="1">
        <v>1227.5857000000001</v>
      </c>
      <c r="H197" s="2">
        <v>458</v>
      </c>
      <c r="I197" s="2">
        <v>2</v>
      </c>
      <c r="J197" s="1">
        <v>1227.6030000000001</v>
      </c>
      <c r="K197" s="1">
        <v>614.80010000000004</v>
      </c>
      <c r="L197" s="9" t="s">
        <v>2259</v>
      </c>
      <c r="M197" s="2">
        <v>9.8000000000000007</v>
      </c>
      <c r="N197" s="4">
        <v>5319.68</v>
      </c>
      <c r="O197" s="1">
        <v>14.069613846842248</v>
      </c>
      <c r="P197" s="6">
        <v>32.299999999999997</v>
      </c>
      <c r="Q197" s="6">
        <v>23.1</v>
      </c>
      <c r="R197" s="6">
        <v>6.6</v>
      </c>
      <c r="S197" s="6">
        <v>10.6</v>
      </c>
      <c r="T197" s="5">
        <v>4.3999999999999997E-2</v>
      </c>
      <c r="U197" s="1">
        <v>1.7299999999999999E-2</v>
      </c>
      <c r="V197" s="1">
        <v>3.2808999999999999</v>
      </c>
    </row>
    <row r="198" spans="1:22" x14ac:dyDescent="0.25">
      <c r="A198" s="1">
        <v>0.99429999999999996</v>
      </c>
      <c r="B198" s="9" t="s">
        <v>2260</v>
      </c>
      <c r="C198" s="2">
        <v>3459</v>
      </c>
      <c r="D198" s="2" t="s">
        <v>423</v>
      </c>
      <c r="E198" s="9" t="s">
        <v>2252</v>
      </c>
      <c r="F198" s="9" t="s">
        <v>2253</v>
      </c>
      <c r="G198" s="1">
        <v>1491.8007</v>
      </c>
      <c r="H198" s="2">
        <v>603</v>
      </c>
      <c r="I198" s="2">
        <v>2</v>
      </c>
      <c r="J198" s="1">
        <v>1491.7940000000001</v>
      </c>
      <c r="K198" s="1">
        <v>746.9076</v>
      </c>
      <c r="L198" s="9" t="s">
        <v>1263</v>
      </c>
      <c r="M198" s="2">
        <v>6.24</v>
      </c>
      <c r="N198" s="4">
        <v>5337.73</v>
      </c>
      <c r="O198" s="1">
        <v>-4.4851598778751214</v>
      </c>
      <c r="P198" s="6">
        <v>35</v>
      </c>
      <c r="Q198" s="6">
        <v>25.9</v>
      </c>
      <c r="R198" s="6">
        <v>7.2</v>
      </c>
      <c r="S198" s="6">
        <v>9.1</v>
      </c>
      <c r="T198" s="5">
        <v>6.3E-3</v>
      </c>
      <c r="U198" s="1">
        <v>-6.7000000000000002E-3</v>
      </c>
      <c r="V198" s="1">
        <v>3.8024</v>
      </c>
    </row>
    <row r="199" spans="1:22" x14ac:dyDescent="0.25">
      <c r="A199" s="1">
        <v>0.97529999999999994</v>
      </c>
      <c r="B199" s="9" t="s">
        <v>2261</v>
      </c>
      <c r="C199" s="2">
        <v>3485</v>
      </c>
      <c r="D199" s="2" t="s">
        <v>250</v>
      </c>
      <c r="E199" s="9" t="s">
        <v>2262</v>
      </c>
      <c r="F199" s="9" t="s">
        <v>290</v>
      </c>
      <c r="G199" s="1">
        <v>1060.5473999999999</v>
      </c>
      <c r="H199" s="2">
        <v>605</v>
      </c>
      <c r="I199" s="2">
        <v>2</v>
      </c>
      <c r="J199" s="1">
        <v>1060.5552</v>
      </c>
      <c r="K199" s="1">
        <v>531.28099999999995</v>
      </c>
      <c r="L199" s="9" t="s">
        <v>291</v>
      </c>
      <c r="M199" s="2">
        <v>4.75</v>
      </c>
      <c r="N199" s="4">
        <v>5383.33</v>
      </c>
      <c r="O199" s="1">
        <v>7.3407481163452113</v>
      </c>
      <c r="P199" s="6">
        <v>30.9</v>
      </c>
      <c r="Q199" s="6">
        <v>27.3</v>
      </c>
      <c r="R199" s="6">
        <v>8.6999999999999993</v>
      </c>
      <c r="S199" s="6">
        <v>10.9</v>
      </c>
      <c r="T199" s="5">
        <v>8.1000000000000003E-2</v>
      </c>
      <c r="U199" s="1">
        <v>7.7999999999999996E-3</v>
      </c>
      <c r="V199" s="1">
        <v>2.3618000000000001</v>
      </c>
    </row>
    <row r="200" spans="1:22" x14ac:dyDescent="0.25">
      <c r="A200" s="1">
        <v>0.99439999999999995</v>
      </c>
      <c r="B200" s="9" t="s">
        <v>2263</v>
      </c>
      <c r="C200" s="2">
        <v>3488</v>
      </c>
      <c r="D200" s="2" t="s">
        <v>93</v>
      </c>
      <c r="E200" s="9" t="s">
        <v>435</v>
      </c>
      <c r="F200" s="9" t="s">
        <v>2264</v>
      </c>
      <c r="G200" s="1">
        <v>1387.7637</v>
      </c>
      <c r="H200" s="2">
        <v>813</v>
      </c>
      <c r="I200" s="2">
        <v>2</v>
      </c>
      <c r="J200" s="1">
        <v>1387.7442000000001</v>
      </c>
      <c r="K200" s="1">
        <v>694.88909999999998</v>
      </c>
      <c r="L200" s="9" t="s">
        <v>181</v>
      </c>
      <c r="M200" s="2">
        <v>4.8499999999999996</v>
      </c>
      <c r="N200" s="4">
        <v>5386.48</v>
      </c>
      <c r="O200" s="1">
        <v>-14.031015884405152</v>
      </c>
      <c r="P200" s="6">
        <v>50.1</v>
      </c>
      <c r="Q200" s="6">
        <v>34.200000000000003</v>
      </c>
      <c r="R200" s="6">
        <v>10.8</v>
      </c>
      <c r="S200" s="6">
        <v>11.6</v>
      </c>
      <c r="T200" s="5">
        <v>2.8999999999999998E-3</v>
      </c>
      <c r="U200" s="1">
        <v>-1.95E-2</v>
      </c>
      <c r="V200" s="1">
        <v>4.7497999999999996</v>
      </c>
    </row>
    <row r="201" spans="1:22" x14ac:dyDescent="0.25">
      <c r="A201" s="1">
        <v>0.98109999999999997</v>
      </c>
      <c r="B201" s="9" t="s">
        <v>2265</v>
      </c>
      <c r="C201" s="2">
        <v>3493</v>
      </c>
      <c r="D201" s="2" t="s">
        <v>201</v>
      </c>
      <c r="E201" s="9" t="s">
        <v>2266</v>
      </c>
      <c r="F201" s="9" t="s">
        <v>2160</v>
      </c>
      <c r="G201" s="1">
        <v>1287.6129000000001</v>
      </c>
      <c r="H201" s="2">
        <v>814</v>
      </c>
      <c r="I201" s="2">
        <v>2</v>
      </c>
      <c r="J201" s="1">
        <v>1287.6061</v>
      </c>
      <c r="K201" s="1">
        <v>644.81370000000004</v>
      </c>
      <c r="L201" s="9" t="s">
        <v>2161</v>
      </c>
      <c r="M201" s="2">
        <v>4.43</v>
      </c>
      <c r="N201" s="4">
        <v>5391.78</v>
      </c>
      <c r="O201" s="1">
        <v>-5.2728408220855103</v>
      </c>
      <c r="P201" s="6">
        <v>45.9</v>
      </c>
      <c r="Q201" s="6">
        <v>35.799999999999997</v>
      </c>
      <c r="R201" s="6">
        <v>11.8</v>
      </c>
      <c r="S201" s="6">
        <v>11.1</v>
      </c>
      <c r="T201" s="5">
        <v>1.6E-2</v>
      </c>
      <c r="U201" s="1">
        <v>-6.7999999999999996E-3</v>
      </c>
      <c r="V201" s="1">
        <v>3.6055999999999999</v>
      </c>
    </row>
    <row r="202" spans="1:22" x14ac:dyDescent="0.25">
      <c r="A202" s="1">
        <v>0.9647</v>
      </c>
      <c r="B202" s="9" t="s">
        <v>2267</v>
      </c>
      <c r="C202" s="2">
        <v>3495</v>
      </c>
      <c r="D202" s="2" t="s">
        <v>1052</v>
      </c>
      <c r="E202" s="9" t="s">
        <v>2268</v>
      </c>
      <c r="F202" s="9" t="s">
        <v>1478</v>
      </c>
      <c r="G202" s="1">
        <v>1246.6631</v>
      </c>
      <c r="H202" s="2">
        <v>239</v>
      </c>
      <c r="I202" s="2">
        <v>2</v>
      </c>
      <c r="J202" s="1">
        <v>1246.6624999999999</v>
      </c>
      <c r="K202" s="1">
        <v>624.33879999999999</v>
      </c>
      <c r="L202" s="9" t="s">
        <v>1479</v>
      </c>
      <c r="M202" s="2">
        <v>6.19</v>
      </c>
      <c r="N202" s="4">
        <v>5399.18</v>
      </c>
      <c r="O202" s="1">
        <v>-0.48050833938239934</v>
      </c>
      <c r="P202" s="6">
        <v>24.5</v>
      </c>
      <c r="Q202" s="6">
        <v>21</v>
      </c>
      <c r="R202" s="6">
        <v>12.1</v>
      </c>
      <c r="S202" s="6">
        <v>11.4</v>
      </c>
      <c r="T202" s="5">
        <v>0.34</v>
      </c>
      <c r="U202" s="1">
        <v>-5.9999999999999995E-4</v>
      </c>
      <c r="V202" s="1">
        <v>1.6686000000000001</v>
      </c>
    </row>
    <row r="203" spans="1:22" x14ac:dyDescent="0.25">
      <c r="A203" s="1">
        <v>0.99880000000000002</v>
      </c>
      <c r="B203" s="9" t="s">
        <v>2269</v>
      </c>
      <c r="C203" s="2">
        <v>3496</v>
      </c>
      <c r="D203" s="2" t="s">
        <v>493</v>
      </c>
      <c r="E203" s="9" t="s">
        <v>454</v>
      </c>
      <c r="F203" s="9" t="s">
        <v>455</v>
      </c>
      <c r="G203" s="1">
        <v>1340.7121999999999</v>
      </c>
      <c r="H203" s="2">
        <v>460</v>
      </c>
      <c r="I203" s="2">
        <v>2</v>
      </c>
      <c r="J203" s="1">
        <v>1340.7081000000001</v>
      </c>
      <c r="K203" s="1">
        <v>671.36339999999996</v>
      </c>
      <c r="L203" s="9" t="s">
        <v>456</v>
      </c>
      <c r="M203" s="2">
        <v>6.22</v>
      </c>
      <c r="N203" s="4">
        <v>5399.18</v>
      </c>
      <c r="O203" s="1">
        <v>-3.0534878725888248</v>
      </c>
      <c r="P203" s="6">
        <v>50.2</v>
      </c>
      <c r="Q203" s="6">
        <v>33.5</v>
      </c>
      <c r="R203" s="6">
        <v>9.8000000000000007</v>
      </c>
      <c r="S203" s="6">
        <v>12.8</v>
      </c>
      <c r="T203" s="5">
        <v>2.5000000000000001E-3</v>
      </c>
      <c r="U203" s="1">
        <v>-4.1000000000000003E-3</v>
      </c>
      <c r="V203" s="1">
        <v>4.5350000000000001</v>
      </c>
    </row>
    <row r="204" spans="1:22" x14ac:dyDescent="0.25">
      <c r="A204" s="1">
        <v>0.99850000000000005</v>
      </c>
      <c r="B204" s="9" t="s">
        <v>2270</v>
      </c>
      <c r="C204" s="2">
        <v>3507</v>
      </c>
      <c r="D204" s="2" t="s">
        <v>220</v>
      </c>
      <c r="E204" s="9" t="s">
        <v>435</v>
      </c>
      <c r="F204" s="9" t="s">
        <v>436</v>
      </c>
      <c r="G204" s="1">
        <v>1387.7637</v>
      </c>
      <c r="H204" s="2">
        <v>462</v>
      </c>
      <c r="I204" s="2">
        <v>2</v>
      </c>
      <c r="J204" s="1">
        <v>1387.7473</v>
      </c>
      <c r="K204" s="1">
        <v>694.88909999999998</v>
      </c>
      <c r="L204" s="9" t="s">
        <v>181</v>
      </c>
      <c r="M204" s="2">
        <v>4.8499999999999996</v>
      </c>
      <c r="N204" s="4">
        <v>5418.28</v>
      </c>
      <c r="O204" s="1">
        <v>-11.800444128422795</v>
      </c>
      <c r="P204" s="6">
        <v>57.5</v>
      </c>
      <c r="Q204" s="6">
        <v>36.299999999999997</v>
      </c>
      <c r="R204" s="6">
        <v>10.5</v>
      </c>
      <c r="S204" s="6">
        <v>11.5</v>
      </c>
      <c r="T204" s="5">
        <v>1.7000000000000001E-4</v>
      </c>
      <c r="U204" s="1">
        <v>-1.6400000000000001E-2</v>
      </c>
      <c r="V204" s="1">
        <v>6.3658999999999999</v>
      </c>
    </row>
    <row r="205" spans="1:22" x14ac:dyDescent="0.25">
      <c r="A205" s="1">
        <v>0.996</v>
      </c>
      <c r="B205" s="9" t="s">
        <v>2271</v>
      </c>
      <c r="C205" s="2">
        <v>3513</v>
      </c>
      <c r="D205" s="2" t="s">
        <v>178</v>
      </c>
      <c r="E205" s="9" t="s">
        <v>454</v>
      </c>
      <c r="F205" s="9" t="s">
        <v>455</v>
      </c>
      <c r="G205" s="1">
        <v>1340.7121999999999</v>
      </c>
      <c r="H205" s="2">
        <v>464</v>
      </c>
      <c r="I205" s="2">
        <v>2</v>
      </c>
      <c r="J205" s="1">
        <v>1340.7048</v>
      </c>
      <c r="K205" s="1">
        <v>671.36339999999996</v>
      </c>
      <c r="L205" s="9" t="s">
        <v>456</v>
      </c>
      <c r="M205" s="2">
        <v>6.22</v>
      </c>
      <c r="N205" s="4">
        <v>5430.98</v>
      </c>
      <c r="O205" s="1">
        <v>-5.5111732334530004</v>
      </c>
      <c r="P205" s="6">
        <v>38.9</v>
      </c>
      <c r="Q205" s="6">
        <v>27.9</v>
      </c>
      <c r="R205" s="6">
        <v>9.3000000000000007</v>
      </c>
      <c r="S205" s="6">
        <v>12.3</v>
      </c>
      <c r="T205" s="5">
        <v>1.0999999999999999E-2</v>
      </c>
      <c r="U205" s="1">
        <v>-7.4000000000000003E-3</v>
      </c>
      <c r="V205" s="1">
        <v>3.6560999999999999</v>
      </c>
    </row>
    <row r="206" spans="1:22" x14ac:dyDescent="0.25">
      <c r="A206" s="1">
        <v>0.97009999999999996</v>
      </c>
      <c r="B206" s="9" t="s">
        <v>2272</v>
      </c>
      <c r="C206" s="2">
        <v>3535</v>
      </c>
      <c r="D206" s="2" t="s">
        <v>2273</v>
      </c>
      <c r="E206" s="9" t="s">
        <v>2274</v>
      </c>
      <c r="F206" s="9" t="s">
        <v>130</v>
      </c>
      <c r="G206" s="1">
        <v>1186.5217</v>
      </c>
      <c r="H206" s="2">
        <v>241</v>
      </c>
      <c r="I206" s="2">
        <v>2</v>
      </c>
      <c r="J206" s="1">
        <v>1186.5383999999999</v>
      </c>
      <c r="K206" s="1">
        <v>594.2681</v>
      </c>
      <c r="L206" s="9" t="s">
        <v>131</v>
      </c>
      <c r="M206" s="2">
        <v>4.32</v>
      </c>
      <c r="N206" s="4">
        <v>5468.18</v>
      </c>
      <c r="O206" s="1">
        <v>14.050897229718371</v>
      </c>
      <c r="P206" s="6">
        <v>25.3</v>
      </c>
      <c r="Q206" s="6">
        <v>19</v>
      </c>
      <c r="R206" s="6">
        <v>10.3</v>
      </c>
      <c r="S206" s="6">
        <v>12.1</v>
      </c>
      <c r="T206" s="5">
        <v>0.02</v>
      </c>
      <c r="U206" s="1">
        <v>1.67E-2</v>
      </c>
      <c r="V206" s="1">
        <v>3.8144999999999998</v>
      </c>
    </row>
    <row r="207" spans="1:22" x14ac:dyDescent="0.25">
      <c r="A207" s="1">
        <v>0.99919999999999998</v>
      </c>
      <c r="B207" s="9" t="s">
        <v>2275</v>
      </c>
      <c r="C207" s="2">
        <v>3537</v>
      </c>
      <c r="D207" s="2" t="s">
        <v>214</v>
      </c>
      <c r="E207" s="9" t="s">
        <v>1493</v>
      </c>
      <c r="F207" s="9" t="s">
        <v>659</v>
      </c>
      <c r="G207" s="1">
        <v>1400.7697000000001</v>
      </c>
      <c r="H207" s="2">
        <v>816</v>
      </c>
      <c r="I207" s="2">
        <v>2</v>
      </c>
      <c r="J207" s="1">
        <v>1400.7274</v>
      </c>
      <c r="K207" s="1">
        <v>701.39210000000003</v>
      </c>
      <c r="L207" s="9" t="s">
        <v>660</v>
      </c>
      <c r="M207" s="2">
        <v>5.96</v>
      </c>
      <c r="N207" s="4">
        <v>5471.38</v>
      </c>
      <c r="O207" s="1">
        <v>-30.15431739251126</v>
      </c>
      <c r="P207" s="6">
        <v>53.4</v>
      </c>
      <c r="Q207" s="6">
        <v>35.6</v>
      </c>
      <c r="R207" s="6">
        <v>9.6999999999999993</v>
      </c>
      <c r="S207" s="6">
        <v>11.9</v>
      </c>
      <c r="T207" s="5">
        <v>1.1999999999999999E-3</v>
      </c>
      <c r="U207" s="1">
        <v>-4.2299999999999997E-2</v>
      </c>
      <c r="V207" s="1">
        <v>5.2525000000000004</v>
      </c>
    </row>
    <row r="208" spans="1:22" x14ac:dyDescent="0.25">
      <c r="A208" s="1">
        <v>0.99690000000000001</v>
      </c>
      <c r="B208" s="9" t="s">
        <v>2276</v>
      </c>
      <c r="C208" s="2">
        <v>3541</v>
      </c>
      <c r="D208" s="2" t="s">
        <v>980</v>
      </c>
      <c r="E208" s="9" t="s">
        <v>981</v>
      </c>
      <c r="F208" s="9" t="s">
        <v>982</v>
      </c>
      <c r="G208" s="1">
        <v>1940.0672</v>
      </c>
      <c r="H208" s="2">
        <v>467</v>
      </c>
      <c r="I208" s="2">
        <v>3</v>
      </c>
      <c r="J208" s="1">
        <v>1940.0733</v>
      </c>
      <c r="K208" s="1">
        <v>647.69629999999995</v>
      </c>
      <c r="L208" s="9" t="s">
        <v>983</v>
      </c>
      <c r="M208" s="2">
        <v>8.75</v>
      </c>
      <c r="N208" s="4">
        <v>5478.78</v>
      </c>
      <c r="O208" s="1">
        <v>3.1393314016666976</v>
      </c>
      <c r="P208" s="6">
        <v>32.799999999999997</v>
      </c>
      <c r="Q208" s="6">
        <v>22.5</v>
      </c>
      <c r="R208" s="6">
        <v>10.4</v>
      </c>
      <c r="S208" s="6">
        <v>11.6</v>
      </c>
      <c r="T208" s="5">
        <v>8.0999999999999996E-3</v>
      </c>
      <c r="U208" s="1">
        <v>6.1000000000000004E-3</v>
      </c>
      <c r="V208" s="1">
        <v>4.1780999999999997</v>
      </c>
    </row>
    <row r="209" spans="1:22" x14ac:dyDescent="0.25">
      <c r="A209" s="1">
        <v>0.97940000000000005</v>
      </c>
      <c r="B209" s="9" t="s">
        <v>2277</v>
      </c>
      <c r="C209" s="2">
        <v>3549</v>
      </c>
      <c r="D209" s="2" t="s">
        <v>146</v>
      </c>
      <c r="E209" s="9" t="s">
        <v>467</v>
      </c>
      <c r="F209" s="9" t="s">
        <v>391</v>
      </c>
      <c r="G209" s="1">
        <v>1351.6992</v>
      </c>
      <c r="H209" s="2">
        <v>468</v>
      </c>
      <c r="I209" s="2">
        <v>2</v>
      </c>
      <c r="J209" s="1">
        <v>1351.7021999999999</v>
      </c>
      <c r="K209" s="1">
        <v>676.8569</v>
      </c>
      <c r="L209" s="9" t="s">
        <v>364</v>
      </c>
      <c r="M209" s="2">
        <v>6.74</v>
      </c>
      <c r="N209" s="4">
        <v>5491.58</v>
      </c>
      <c r="O209" s="1">
        <v>2.2161257423836562</v>
      </c>
      <c r="P209" s="6">
        <v>39.799999999999997</v>
      </c>
      <c r="Q209" s="6">
        <v>38</v>
      </c>
      <c r="R209" s="6">
        <v>12.1</v>
      </c>
      <c r="S209" s="6">
        <v>11.5</v>
      </c>
      <c r="T209" s="5">
        <v>1.7999999999999999E-2</v>
      </c>
      <c r="U209" s="1">
        <v>3.0000000000000001E-3</v>
      </c>
      <c r="V209" s="1">
        <v>2.5562</v>
      </c>
    </row>
    <row r="210" spans="1:22" x14ac:dyDescent="0.25">
      <c r="A210" s="1">
        <v>0.99629999999999996</v>
      </c>
      <c r="B210" s="9" t="s">
        <v>2278</v>
      </c>
      <c r="C210" s="2">
        <v>3553</v>
      </c>
      <c r="D210" s="2" t="s">
        <v>1678</v>
      </c>
      <c r="E210" s="9" t="s">
        <v>2279</v>
      </c>
      <c r="F210" s="9" t="s">
        <v>2280</v>
      </c>
      <c r="G210" s="1">
        <v>1498.8157000000001</v>
      </c>
      <c r="H210" s="2">
        <v>818</v>
      </c>
      <c r="I210" s="2">
        <v>2</v>
      </c>
      <c r="J210" s="1">
        <v>1498.8015</v>
      </c>
      <c r="K210" s="1">
        <v>750.41510000000005</v>
      </c>
      <c r="L210" s="9" t="s">
        <v>2281</v>
      </c>
      <c r="M210" s="2">
        <v>9.73</v>
      </c>
      <c r="N210" s="4">
        <v>5497.98</v>
      </c>
      <c r="O210" s="1">
        <v>-9.4614300804981148</v>
      </c>
      <c r="P210" s="6">
        <v>60.4</v>
      </c>
      <c r="Q210" s="6">
        <v>34.299999999999997</v>
      </c>
      <c r="R210" s="6">
        <v>12</v>
      </c>
      <c r="S210" s="6">
        <v>11.4</v>
      </c>
      <c r="T210" s="5">
        <v>1.4E-3</v>
      </c>
      <c r="U210" s="1">
        <v>-1.4200000000000001E-2</v>
      </c>
      <c r="V210" s="1">
        <v>5.2336</v>
      </c>
    </row>
    <row r="211" spans="1:22" x14ac:dyDescent="0.25">
      <c r="A211" s="1">
        <v>1</v>
      </c>
      <c r="B211" s="9" t="s">
        <v>2282</v>
      </c>
      <c r="C211" s="2">
        <v>3561</v>
      </c>
      <c r="D211" s="2" t="s">
        <v>831</v>
      </c>
      <c r="E211" s="9" t="s">
        <v>981</v>
      </c>
      <c r="F211" s="9" t="s">
        <v>982</v>
      </c>
      <c r="G211" s="1">
        <v>1940.0672</v>
      </c>
      <c r="H211" s="2">
        <v>469</v>
      </c>
      <c r="I211" s="2">
        <v>3</v>
      </c>
      <c r="J211" s="1">
        <v>1940.0684000000001</v>
      </c>
      <c r="K211" s="1">
        <v>647.69629999999995</v>
      </c>
      <c r="L211" s="9" t="s">
        <v>983</v>
      </c>
      <c r="M211" s="2">
        <v>8.75</v>
      </c>
      <c r="N211" s="4">
        <v>5509.78</v>
      </c>
      <c r="O211" s="1">
        <v>0.61757339049180915</v>
      </c>
      <c r="P211" s="6">
        <v>42.9</v>
      </c>
      <c r="Q211" s="6">
        <v>24.6</v>
      </c>
      <c r="R211" s="6">
        <v>9.8000000000000007</v>
      </c>
      <c r="S211" s="6">
        <v>10.6</v>
      </c>
      <c r="T211" s="5">
        <v>5.0000000000000004E-6</v>
      </c>
      <c r="U211" s="1">
        <v>1.1999999999999999E-3</v>
      </c>
      <c r="V211" s="1">
        <v>8.4359000000000002</v>
      </c>
    </row>
    <row r="212" spans="1:22" x14ac:dyDescent="0.25">
      <c r="A212" s="1">
        <v>0.99139999999999995</v>
      </c>
      <c r="B212" s="9" t="s">
        <v>2283</v>
      </c>
      <c r="C212" s="2">
        <v>3569</v>
      </c>
      <c r="D212" s="2" t="s">
        <v>331</v>
      </c>
      <c r="E212" s="9" t="s">
        <v>2284</v>
      </c>
      <c r="F212" s="9" t="s">
        <v>2285</v>
      </c>
      <c r="G212" s="1">
        <v>1318.6767</v>
      </c>
      <c r="H212" s="2">
        <v>471</v>
      </c>
      <c r="I212" s="2">
        <v>2</v>
      </c>
      <c r="J212" s="1">
        <v>1318.6643999999999</v>
      </c>
      <c r="K212" s="1">
        <v>660.34559999999999</v>
      </c>
      <c r="L212" s="9" t="s">
        <v>673</v>
      </c>
      <c r="M212" s="2">
        <v>3.56</v>
      </c>
      <c r="N212" s="4">
        <v>5522.48</v>
      </c>
      <c r="O212" s="1">
        <v>-9.3133050330009013</v>
      </c>
      <c r="P212" s="6">
        <v>38.9</v>
      </c>
      <c r="Q212" s="6">
        <v>28.8</v>
      </c>
      <c r="R212" s="6">
        <v>12</v>
      </c>
      <c r="S212" s="6">
        <v>10.6</v>
      </c>
      <c r="T212" s="5">
        <v>4.7000000000000002E-3</v>
      </c>
      <c r="U212" s="1">
        <v>-1.23E-2</v>
      </c>
      <c r="V212" s="1">
        <v>4.0750000000000002</v>
      </c>
    </row>
    <row r="213" spans="1:22" x14ac:dyDescent="0.25">
      <c r="A213" s="1">
        <v>0.9899</v>
      </c>
      <c r="B213" s="9" t="s">
        <v>2286</v>
      </c>
      <c r="C213" s="2">
        <v>3574</v>
      </c>
      <c r="D213" s="2" t="s">
        <v>95</v>
      </c>
      <c r="E213" s="9" t="s">
        <v>2287</v>
      </c>
      <c r="F213" s="9" t="s">
        <v>2288</v>
      </c>
      <c r="G213" s="1">
        <v>1337.6537000000001</v>
      </c>
      <c r="H213" s="2">
        <v>606</v>
      </c>
      <c r="I213" s="2">
        <v>2</v>
      </c>
      <c r="J213" s="1">
        <v>1337.6525999999999</v>
      </c>
      <c r="K213" s="1">
        <v>669.83410000000003</v>
      </c>
      <c r="L213" s="9" t="s">
        <v>131</v>
      </c>
      <c r="M213" s="2">
        <v>4.54</v>
      </c>
      <c r="N213" s="4">
        <v>5534.23</v>
      </c>
      <c r="O213" s="1">
        <v>-0.82109883626408386</v>
      </c>
      <c r="P213" s="6">
        <v>29</v>
      </c>
      <c r="Q213" s="6">
        <v>20.5</v>
      </c>
      <c r="R213" s="6">
        <v>10.4</v>
      </c>
      <c r="S213" s="6">
        <v>9.1</v>
      </c>
      <c r="T213" s="5">
        <v>4.3999999999999997E-2</v>
      </c>
      <c r="U213" s="1">
        <v>-1.1000000000000001E-3</v>
      </c>
      <c r="V213" s="1">
        <v>3.3208000000000002</v>
      </c>
    </row>
    <row r="214" spans="1:22" x14ac:dyDescent="0.25">
      <c r="A214" s="1">
        <v>0.99950000000000006</v>
      </c>
      <c r="B214" s="9" t="s">
        <v>2289</v>
      </c>
      <c r="C214" s="2">
        <v>3583</v>
      </c>
      <c r="D214" s="2" t="s">
        <v>280</v>
      </c>
      <c r="E214" s="9" t="s">
        <v>494</v>
      </c>
      <c r="F214" s="9" t="s">
        <v>495</v>
      </c>
      <c r="G214" s="1">
        <v>1368.7322999999999</v>
      </c>
      <c r="H214" s="2">
        <v>607</v>
      </c>
      <c r="I214" s="2">
        <v>2</v>
      </c>
      <c r="J214" s="1">
        <v>1368.7299</v>
      </c>
      <c r="K214" s="1">
        <v>685.37339999999995</v>
      </c>
      <c r="L214" s="9" t="s">
        <v>157</v>
      </c>
      <c r="M214" s="2">
        <v>4.75</v>
      </c>
      <c r="N214" s="4">
        <v>5547.13</v>
      </c>
      <c r="O214" s="1">
        <v>-1.7508704014483201</v>
      </c>
      <c r="P214" s="6">
        <v>42.2</v>
      </c>
      <c r="Q214" s="6">
        <v>27.4</v>
      </c>
      <c r="R214" s="6">
        <v>12</v>
      </c>
      <c r="S214" s="6">
        <v>10.5</v>
      </c>
      <c r="T214" s="5">
        <v>2.3000000000000001E-4</v>
      </c>
      <c r="U214" s="1">
        <v>-2.3999999999999998E-3</v>
      </c>
      <c r="V214" s="1">
        <v>5.6738999999999997</v>
      </c>
    </row>
    <row r="215" spans="1:22" x14ac:dyDescent="0.25">
      <c r="A215" s="1">
        <v>0.99419999999999997</v>
      </c>
      <c r="B215" s="9" t="s">
        <v>2290</v>
      </c>
      <c r="C215" s="2">
        <v>3587</v>
      </c>
      <c r="D215" s="2" t="s">
        <v>591</v>
      </c>
      <c r="E215" s="9" t="s">
        <v>2291</v>
      </c>
      <c r="F215" s="9" t="s">
        <v>781</v>
      </c>
      <c r="G215" s="1">
        <v>1701.9157</v>
      </c>
      <c r="H215" s="2">
        <v>243</v>
      </c>
      <c r="I215" s="2">
        <v>2</v>
      </c>
      <c r="J215" s="1">
        <v>1701.9146000000001</v>
      </c>
      <c r="K215" s="1">
        <v>851.96510000000001</v>
      </c>
      <c r="L215" s="9" t="s">
        <v>782</v>
      </c>
      <c r="M215" s="2">
        <v>8.75</v>
      </c>
      <c r="N215" s="4">
        <v>5552.38</v>
      </c>
      <c r="O215" s="1">
        <v>-0.64556635007701613</v>
      </c>
      <c r="P215" s="6">
        <v>32.700000000000003</v>
      </c>
      <c r="Q215" s="6">
        <v>22.9</v>
      </c>
      <c r="R215" s="6">
        <v>13.7</v>
      </c>
      <c r="S215" s="6">
        <v>13.4</v>
      </c>
      <c r="T215" s="5">
        <v>0.05</v>
      </c>
      <c r="U215" s="1">
        <v>-1.1000000000000001E-3</v>
      </c>
      <c r="V215" s="1">
        <v>2.9626000000000001</v>
      </c>
    </row>
    <row r="216" spans="1:22" x14ac:dyDescent="0.25">
      <c r="A216" s="1">
        <v>1</v>
      </c>
      <c r="B216" s="9" t="s">
        <v>2292</v>
      </c>
      <c r="C216" s="2">
        <v>3588</v>
      </c>
      <c r="D216" s="2" t="s">
        <v>2293</v>
      </c>
      <c r="E216" s="9" t="s">
        <v>2294</v>
      </c>
      <c r="F216" s="9" t="s">
        <v>170</v>
      </c>
      <c r="G216" s="1">
        <v>2142.1320999999998</v>
      </c>
      <c r="H216" s="2">
        <v>821</v>
      </c>
      <c r="I216" s="2">
        <v>3</v>
      </c>
      <c r="J216" s="1">
        <v>2142.1324</v>
      </c>
      <c r="K216" s="1">
        <v>715.05129999999997</v>
      </c>
      <c r="L216" s="9" t="s">
        <v>64</v>
      </c>
      <c r="M216" s="2">
        <v>4.75</v>
      </c>
      <c r="N216" s="4">
        <v>5552.38</v>
      </c>
      <c r="O216" s="1">
        <v>0.13985010585953761</v>
      </c>
      <c r="P216" s="6">
        <v>65.2</v>
      </c>
      <c r="Q216" s="6">
        <v>30.2</v>
      </c>
      <c r="R216" s="6">
        <v>9.4</v>
      </c>
      <c r="S216" s="6">
        <v>10.8</v>
      </c>
      <c r="T216" s="5">
        <v>2.0000000000000001E-9</v>
      </c>
      <c r="U216" s="1">
        <v>2.9999999999999997E-4</v>
      </c>
      <c r="V216" s="1">
        <v>11.8535</v>
      </c>
    </row>
    <row r="217" spans="1:22" x14ac:dyDescent="0.25">
      <c r="A217" s="1">
        <v>0.97950000000000004</v>
      </c>
      <c r="B217" s="9" t="s">
        <v>2295</v>
      </c>
      <c r="C217" s="2">
        <v>3589</v>
      </c>
      <c r="D217" s="2" t="s">
        <v>250</v>
      </c>
      <c r="E217" s="9" t="s">
        <v>2296</v>
      </c>
      <c r="F217" s="9" t="s">
        <v>282</v>
      </c>
      <c r="G217" s="1">
        <v>1099.5372</v>
      </c>
      <c r="H217" s="2">
        <v>472</v>
      </c>
      <c r="I217" s="2">
        <v>2</v>
      </c>
      <c r="J217" s="1">
        <v>1099.5419999999999</v>
      </c>
      <c r="K217" s="1">
        <v>550.77589999999998</v>
      </c>
      <c r="L217" s="9" t="s">
        <v>283</v>
      </c>
      <c r="M217" s="2">
        <v>5.33</v>
      </c>
      <c r="N217" s="4">
        <v>5552.38</v>
      </c>
      <c r="O217" s="1">
        <v>4.3574891348731848</v>
      </c>
      <c r="P217" s="6">
        <v>30.8</v>
      </c>
      <c r="Q217" s="6">
        <v>24.4</v>
      </c>
      <c r="R217" s="6">
        <v>9</v>
      </c>
      <c r="S217" s="6">
        <v>12.7</v>
      </c>
      <c r="T217" s="5">
        <v>0.11</v>
      </c>
      <c r="U217" s="1">
        <v>4.7999999999999996E-3</v>
      </c>
      <c r="V217" s="1">
        <v>2.6854</v>
      </c>
    </row>
    <row r="218" spans="1:22" x14ac:dyDescent="0.25">
      <c r="A218" s="1">
        <v>0.97140000000000004</v>
      </c>
      <c r="B218" s="9" t="s">
        <v>2297</v>
      </c>
      <c r="C218" s="2">
        <v>3591</v>
      </c>
      <c r="D218" s="2" t="s">
        <v>1349</v>
      </c>
      <c r="E218" s="9" t="s">
        <v>2298</v>
      </c>
      <c r="F218" s="9" t="s">
        <v>1122</v>
      </c>
      <c r="G218" s="1">
        <v>2607.3917000000001</v>
      </c>
      <c r="H218" s="2">
        <v>473</v>
      </c>
      <c r="I218" s="2">
        <v>3</v>
      </c>
      <c r="J218" s="1">
        <v>2607.3807999999999</v>
      </c>
      <c r="K218" s="1">
        <v>870.13779999999997</v>
      </c>
      <c r="L218" s="9" t="s">
        <v>456</v>
      </c>
      <c r="M218" s="2">
        <v>8.1999999999999993</v>
      </c>
      <c r="N218" s="4">
        <v>5559.78</v>
      </c>
      <c r="O218" s="1">
        <v>-4.1755838366444182</v>
      </c>
      <c r="P218" s="6">
        <v>33.799999999999997</v>
      </c>
      <c r="Q218" s="6">
        <v>24.7</v>
      </c>
      <c r="R218" s="6">
        <v>10.5</v>
      </c>
      <c r="S218" s="6">
        <v>12.8</v>
      </c>
      <c r="T218" s="5">
        <v>3.3000000000000002E-2</v>
      </c>
      <c r="U218" s="1">
        <v>-1.09E-2</v>
      </c>
      <c r="V218" s="1">
        <v>2.8637999999999999</v>
      </c>
    </row>
    <row r="219" spans="1:22" x14ac:dyDescent="0.25">
      <c r="A219" s="1">
        <v>0.99880000000000002</v>
      </c>
      <c r="B219" s="9" t="s">
        <v>2299</v>
      </c>
      <c r="C219" s="2">
        <v>3593</v>
      </c>
      <c r="D219" s="2" t="s">
        <v>1768</v>
      </c>
      <c r="E219" s="9" t="s">
        <v>2300</v>
      </c>
      <c r="F219" s="9" t="s">
        <v>97</v>
      </c>
      <c r="G219" s="1">
        <v>1912.0017</v>
      </c>
      <c r="H219" s="2">
        <v>150</v>
      </c>
      <c r="I219" s="2">
        <v>2</v>
      </c>
      <c r="J219" s="1">
        <v>1911.9740999999999</v>
      </c>
      <c r="K219" s="1">
        <v>957.00810000000001</v>
      </c>
      <c r="L219" s="9" t="s">
        <v>98</v>
      </c>
      <c r="M219" s="2">
        <v>6.07</v>
      </c>
      <c r="N219" s="4">
        <v>5566.13</v>
      </c>
      <c r="O219" s="1">
        <v>-14.419940646270392</v>
      </c>
      <c r="P219" s="6">
        <v>49.2</v>
      </c>
      <c r="Q219" s="6">
        <v>22.9</v>
      </c>
      <c r="R219" s="6">
        <v>11.2</v>
      </c>
      <c r="S219" s="6">
        <v>11.1</v>
      </c>
      <c r="T219" s="5">
        <v>1.1999999999999999E-7</v>
      </c>
      <c r="U219" s="1">
        <v>-2.76E-2</v>
      </c>
      <c r="V219" s="1">
        <v>8.9124999999999996</v>
      </c>
    </row>
    <row r="220" spans="1:22" x14ac:dyDescent="0.25">
      <c r="A220" s="1">
        <v>0.99970000000000003</v>
      </c>
      <c r="B220" s="9" t="s">
        <v>2301</v>
      </c>
      <c r="C220" s="2">
        <v>3602</v>
      </c>
      <c r="D220" s="2" t="s">
        <v>115</v>
      </c>
      <c r="E220" s="9" t="s">
        <v>494</v>
      </c>
      <c r="F220" s="9" t="s">
        <v>495</v>
      </c>
      <c r="G220" s="1">
        <v>1368.7322999999999</v>
      </c>
      <c r="H220" s="2">
        <v>610</v>
      </c>
      <c r="I220" s="2">
        <v>2</v>
      </c>
      <c r="J220" s="1">
        <v>1368.7375</v>
      </c>
      <c r="K220" s="1">
        <v>685.37339999999995</v>
      </c>
      <c r="L220" s="9" t="s">
        <v>157</v>
      </c>
      <c r="M220" s="2">
        <v>4.75</v>
      </c>
      <c r="N220" s="4">
        <v>5582.04</v>
      </c>
      <c r="O220" s="1">
        <v>3.7935525364713603</v>
      </c>
      <c r="P220" s="6">
        <v>46</v>
      </c>
      <c r="Q220" s="6">
        <v>29.8</v>
      </c>
      <c r="R220" s="6">
        <v>12</v>
      </c>
      <c r="S220" s="6">
        <v>10.9</v>
      </c>
      <c r="T220" s="5">
        <v>3.0000000000000001E-5</v>
      </c>
      <c r="U220" s="1">
        <v>5.1999999999999998E-3</v>
      </c>
      <c r="V220" s="1">
        <v>6.5842999999999998</v>
      </c>
    </row>
    <row r="221" spans="1:22" x14ac:dyDescent="0.25">
      <c r="A221" s="1">
        <v>0.97870000000000001</v>
      </c>
      <c r="B221" s="9" t="s">
        <v>2302</v>
      </c>
      <c r="C221" s="2">
        <v>3604</v>
      </c>
      <c r="D221" s="2" t="s">
        <v>2303</v>
      </c>
      <c r="E221" s="9" t="s">
        <v>2304</v>
      </c>
      <c r="F221" s="9" t="s">
        <v>2305</v>
      </c>
      <c r="G221" s="1">
        <v>2212.0796999999998</v>
      </c>
      <c r="H221" s="2">
        <v>180</v>
      </c>
      <c r="I221" s="2">
        <v>3</v>
      </c>
      <c r="J221" s="1">
        <v>2212.1069000000002</v>
      </c>
      <c r="K221" s="1">
        <v>738.36720000000003</v>
      </c>
      <c r="L221" s="9" t="s">
        <v>2306</v>
      </c>
      <c r="M221" s="2">
        <v>4.78</v>
      </c>
      <c r="N221" s="4">
        <v>5586.24</v>
      </c>
      <c r="O221" s="1">
        <v>12.27934646428859</v>
      </c>
      <c r="P221" s="6">
        <v>31.5</v>
      </c>
      <c r="Q221" s="6">
        <v>22.6</v>
      </c>
      <c r="R221" s="6">
        <v>11.2</v>
      </c>
      <c r="S221" s="6">
        <v>11.2</v>
      </c>
      <c r="T221" s="5">
        <v>1.7999999999999999E-2</v>
      </c>
      <c r="U221" s="1">
        <v>2.7199999999999998E-2</v>
      </c>
      <c r="V221" s="1">
        <v>3.3397000000000001</v>
      </c>
    </row>
    <row r="222" spans="1:22" x14ac:dyDescent="0.25">
      <c r="A222" s="1">
        <v>0.95879999999999999</v>
      </c>
      <c r="B222" s="9" t="s">
        <v>2307</v>
      </c>
      <c r="C222" s="2">
        <v>3608</v>
      </c>
      <c r="D222" s="2" t="s">
        <v>621</v>
      </c>
      <c r="E222" s="9" t="s">
        <v>2308</v>
      </c>
      <c r="F222" s="9" t="s">
        <v>2309</v>
      </c>
      <c r="G222" s="1">
        <v>1230.5914</v>
      </c>
      <c r="H222" s="2">
        <v>474</v>
      </c>
      <c r="I222" s="2">
        <v>2</v>
      </c>
      <c r="J222" s="1">
        <v>1230.5832</v>
      </c>
      <c r="K222" s="1">
        <v>616.303</v>
      </c>
      <c r="L222" s="9" t="s">
        <v>2310</v>
      </c>
      <c r="M222" s="2">
        <v>4.43</v>
      </c>
      <c r="N222" s="4">
        <v>5587.29</v>
      </c>
      <c r="O222" s="1">
        <v>-6.6525718680584065</v>
      </c>
      <c r="P222" s="6">
        <v>35.4</v>
      </c>
      <c r="Q222" s="6">
        <v>29.2</v>
      </c>
      <c r="R222" s="6">
        <v>11.6</v>
      </c>
      <c r="S222" s="6">
        <v>11</v>
      </c>
      <c r="T222" s="5">
        <v>7.0000000000000007E-2</v>
      </c>
      <c r="U222" s="1">
        <v>-8.2000000000000007E-3</v>
      </c>
      <c r="V222" s="1">
        <v>2.6316000000000002</v>
      </c>
    </row>
    <row r="223" spans="1:22" x14ac:dyDescent="0.25">
      <c r="A223" s="1">
        <v>0.9748</v>
      </c>
      <c r="B223" s="9" t="s">
        <v>2311</v>
      </c>
      <c r="C223" s="2">
        <v>3619</v>
      </c>
      <c r="D223" s="2" t="s">
        <v>41</v>
      </c>
      <c r="E223" s="9" t="s">
        <v>2312</v>
      </c>
      <c r="F223" s="9" t="s">
        <v>2313</v>
      </c>
      <c r="G223" s="1">
        <v>1869.0300999999999</v>
      </c>
      <c r="H223" s="2">
        <v>652</v>
      </c>
      <c r="I223" s="2">
        <v>3</v>
      </c>
      <c r="J223" s="1">
        <v>1869.0255999999999</v>
      </c>
      <c r="K223" s="1">
        <v>624.01729999999998</v>
      </c>
      <c r="L223" s="9" t="s">
        <v>983</v>
      </c>
      <c r="M223" s="2">
        <v>8.75</v>
      </c>
      <c r="N223" s="4">
        <v>5609.74</v>
      </c>
      <c r="O223" s="1">
        <v>-2.4037795106001063</v>
      </c>
      <c r="P223" s="6">
        <v>31.7</v>
      </c>
      <c r="Q223" s="6">
        <v>23</v>
      </c>
      <c r="R223" s="6">
        <v>8.8000000000000007</v>
      </c>
      <c r="S223" s="6">
        <v>10.6</v>
      </c>
      <c r="T223" s="5">
        <v>3.1E-2</v>
      </c>
      <c r="U223" s="1">
        <v>-4.4999999999999997E-3</v>
      </c>
      <c r="V223" s="1">
        <v>3.4110999999999998</v>
      </c>
    </row>
    <row r="224" spans="1:22" x14ac:dyDescent="0.25">
      <c r="A224" s="1">
        <v>0.99960000000000004</v>
      </c>
      <c r="B224" s="9" t="s">
        <v>2314</v>
      </c>
      <c r="C224" s="2">
        <v>3622</v>
      </c>
      <c r="D224" s="2" t="s">
        <v>493</v>
      </c>
      <c r="E224" s="9" t="s">
        <v>494</v>
      </c>
      <c r="F224" s="9" t="s">
        <v>495</v>
      </c>
      <c r="G224" s="1">
        <v>1368.7322999999999</v>
      </c>
      <c r="H224" s="2">
        <v>476</v>
      </c>
      <c r="I224" s="2">
        <v>2</v>
      </c>
      <c r="J224" s="1">
        <v>1368.7275</v>
      </c>
      <c r="K224" s="1">
        <v>685.37339999999995</v>
      </c>
      <c r="L224" s="9" t="s">
        <v>157</v>
      </c>
      <c r="M224" s="2">
        <v>4.75</v>
      </c>
      <c r="N224" s="4">
        <v>5612.88</v>
      </c>
      <c r="O224" s="1">
        <v>-3.5017408028966401</v>
      </c>
      <c r="P224" s="6">
        <v>49.4</v>
      </c>
      <c r="Q224" s="6">
        <v>34.1</v>
      </c>
      <c r="R224" s="6">
        <v>12</v>
      </c>
      <c r="S224" s="6">
        <v>10.199999999999999</v>
      </c>
      <c r="T224" s="5">
        <v>1.3999999999999999E-4</v>
      </c>
      <c r="U224" s="1">
        <v>-4.7999999999999996E-3</v>
      </c>
      <c r="V224" s="1">
        <v>5.7122999999999999</v>
      </c>
    </row>
    <row r="225" spans="1:22" x14ac:dyDescent="0.25">
      <c r="A225" s="1">
        <v>0.99939999999999996</v>
      </c>
      <c r="B225" s="9" t="s">
        <v>2315</v>
      </c>
      <c r="C225" s="2">
        <v>3625</v>
      </c>
      <c r="D225" s="2" t="s">
        <v>2158</v>
      </c>
      <c r="E225" s="9" t="s">
        <v>2316</v>
      </c>
      <c r="F225" s="9" t="s">
        <v>97</v>
      </c>
      <c r="G225" s="1">
        <v>2355.2872000000002</v>
      </c>
      <c r="H225" s="2">
        <v>477</v>
      </c>
      <c r="I225" s="2">
        <v>3</v>
      </c>
      <c r="J225" s="1">
        <v>2355.2957999999999</v>
      </c>
      <c r="K225" s="1">
        <v>786.10299999999995</v>
      </c>
      <c r="L225" s="9" t="s">
        <v>98</v>
      </c>
      <c r="M225" s="2">
        <v>6.76</v>
      </c>
      <c r="N225" s="4">
        <v>5617.19</v>
      </c>
      <c r="O225" s="1">
        <v>3.6466807360697859</v>
      </c>
      <c r="P225" s="6">
        <v>43</v>
      </c>
      <c r="Q225" s="6">
        <v>26.9</v>
      </c>
      <c r="R225" s="6">
        <v>11.7</v>
      </c>
      <c r="S225" s="6">
        <v>12.2</v>
      </c>
      <c r="T225" s="5">
        <v>1.2999999999999999E-4</v>
      </c>
      <c r="U225" s="1">
        <v>8.6E-3</v>
      </c>
      <c r="V225" s="1">
        <v>5.7393000000000001</v>
      </c>
    </row>
    <row r="226" spans="1:22" x14ac:dyDescent="0.25">
      <c r="A226" s="1">
        <v>1</v>
      </c>
      <c r="B226" s="9" t="s">
        <v>2317</v>
      </c>
      <c r="C226" s="2">
        <v>3632</v>
      </c>
      <c r="D226" s="2" t="s">
        <v>2194</v>
      </c>
      <c r="E226" s="9" t="s">
        <v>2318</v>
      </c>
      <c r="F226" s="9" t="s">
        <v>2319</v>
      </c>
      <c r="G226" s="1">
        <v>2042.1197</v>
      </c>
      <c r="H226" s="2">
        <v>478</v>
      </c>
      <c r="I226" s="2">
        <v>3</v>
      </c>
      <c r="J226" s="1">
        <v>2042.146</v>
      </c>
      <c r="K226" s="1">
        <v>681.71379999999999</v>
      </c>
      <c r="L226" s="9" t="s">
        <v>2320</v>
      </c>
      <c r="M226" s="2">
        <v>6.27</v>
      </c>
      <c r="N226" s="4">
        <v>5627.79</v>
      </c>
      <c r="O226" s="1">
        <v>12.859746519238231</v>
      </c>
      <c r="P226" s="6">
        <v>47.6</v>
      </c>
      <c r="Q226" s="6">
        <v>23</v>
      </c>
      <c r="R226" s="6">
        <v>12.1</v>
      </c>
      <c r="S226" s="6">
        <v>10.4</v>
      </c>
      <c r="T226" s="5">
        <v>7.6000000000000003E-7</v>
      </c>
      <c r="U226" s="1">
        <v>2.63E-2</v>
      </c>
      <c r="V226" s="1">
        <v>9.8290000000000006</v>
      </c>
    </row>
    <row r="227" spans="1:22" x14ac:dyDescent="0.25">
      <c r="A227" s="1">
        <v>0.97289999999999999</v>
      </c>
      <c r="B227" s="9" t="s">
        <v>2321</v>
      </c>
      <c r="C227" s="2">
        <v>3640</v>
      </c>
      <c r="D227" s="2" t="s">
        <v>178</v>
      </c>
      <c r="E227" s="9" t="s">
        <v>2322</v>
      </c>
      <c r="F227" s="9" t="s">
        <v>2323</v>
      </c>
      <c r="G227" s="1">
        <v>1462.7487000000001</v>
      </c>
      <c r="H227" s="2">
        <v>822</v>
      </c>
      <c r="I227" s="2">
        <v>2</v>
      </c>
      <c r="J227" s="1">
        <v>1462.761</v>
      </c>
      <c r="K227" s="1">
        <v>732.38160000000005</v>
      </c>
      <c r="L227" s="9" t="s">
        <v>2324</v>
      </c>
      <c r="M227" s="2">
        <v>5.84</v>
      </c>
      <c r="N227" s="4">
        <v>5643.69</v>
      </c>
      <c r="O227" s="1">
        <v>8.3972617553472126</v>
      </c>
      <c r="P227" s="6">
        <v>41</v>
      </c>
      <c r="Q227" s="6">
        <v>27.5</v>
      </c>
      <c r="R227" s="6">
        <v>11.2</v>
      </c>
      <c r="S227" s="6">
        <v>9</v>
      </c>
      <c r="T227" s="5">
        <v>3.4000000000000002E-4</v>
      </c>
      <c r="U227" s="1">
        <v>1.23E-2</v>
      </c>
      <c r="V227" s="1">
        <v>5.4053000000000004</v>
      </c>
    </row>
    <row r="228" spans="1:22" x14ac:dyDescent="0.25">
      <c r="A228" s="1">
        <v>0.97160000000000002</v>
      </c>
      <c r="B228" s="9" t="s">
        <v>2325</v>
      </c>
      <c r="C228" s="2">
        <v>3660</v>
      </c>
      <c r="D228" s="2" t="s">
        <v>423</v>
      </c>
      <c r="E228" s="9" t="s">
        <v>2322</v>
      </c>
      <c r="F228" s="9" t="s">
        <v>2323</v>
      </c>
      <c r="G228" s="1">
        <v>1462.749</v>
      </c>
      <c r="H228" s="2">
        <v>824</v>
      </c>
      <c r="I228" s="2">
        <v>2</v>
      </c>
      <c r="J228" s="1">
        <v>1462.752</v>
      </c>
      <c r="K228" s="1">
        <v>732.3818</v>
      </c>
      <c r="L228" s="9" t="s">
        <v>2324</v>
      </c>
      <c r="M228" s="2">
        <v>5.84</v>
      </c>
      <c r="N228" s="4">
        <v>5675.69</v>
      </c>
      <c r="O228" s="1">
        <v>2.048112063953528</v>
      </c>
      <c r="P228" s="6">
        <v>36.700000000000003</v>
      </c>
      <c r="Q228" s="6">
        <v>28.4</v>
      </c>
      <c r="R228" s="6">
        <v>10.7</v>
      </c>
      <c r="S228" s="6">
        <v>9.4</v>
      </c>
      <c r="T228" s="5">
        <v>1.3999999999999999E-4</v>
      </c>
      <c r="U228" s="1">
        <v>3.0000000000000001E-3</v>
      </c>
      <c r="V228" s="1">
        <v>5.3414999999999999</v>
      </c>
    </row>
    <row r="229" spans="1:22" x14ac:dyDescent="0.25">
      <c r="A229" s="1">
        <v>0.96479999999999999</v>
      </c>
      <c r="B229" s="9" t="s">
        <v>2326</v>
      </c>
      <c r="C229" s="2">
        <v>3662</v>
      </c>
      <c r="D229" s="2" t="s">
        <v>78</v>
      </c>
      <c r="E229" s="9" t="s">
        <v>2327</v>
      </c>
      <c r="F229" s="9" t="s">
        <v>1847</v>
      </c>
      <c r="G229" s="1">
        <v>1353.6896999999999</v>
      </c>
      <c r="H229" s="2">
        <v>480</v>
      </c>
      <c r="I229" s="2">
        <v>2</v>
      </c>
      <c r="J229" s="1">
        <v>1353.6877999999999</v>
      </c>
      <c r="K229" s="1">
        <v>677.85209999999995</v>
      </c>
      <c r="L229" s="9" t="s">
        <v>1848</v>
      </c>
      <c r="M229" s="2">
        <v>6.76</v>
      </c>
      <c r="N229" s="4">
        <v>5678.89</v>
      </c>
      <c r="O229" s="1">
        <v>-1.4014856633180013</v>
      </c>
      <c r="P229" s="6">
        <v>37.5</v>
      </c>
      <c r="Q229" s="6">
        <v>31.3</v>
      </c>
      <c r="R229" s="6">
        <v>9.9</v>
      </c>
      <c r="S229" s="6">
        <v>10.199999999999999</v>
      </c>
      <c r="T229" s="5">
        <v>0.2</v>
      </c>
      <c r="U229" s="1">
        <v>-1.9E-3</v>
      </c>
      <c r="V229" s="1">
        <v>2.0508000000000002</v>
      </c>
    </row>
    <row r="230" spans="1:22" x14ac:dyDescent="0.25">
      <c r="A230" s="1">
        <v>0.99409999999999998</v>
      </c>
      <c r="B230" s="9" t="s">
        <v>2328</v>
      </c>
      <c r="C230" s="2">
        <v>3684</v>
      </c>
      <c r="D230" s="2" t="s">
        <v>326</v>
      </c>
      <c r="E230" s="9" t="s">
        <v>2327</v>
      </c>
      <c r="F230" s="9" t="s">
        <v>1847</v>
      </c>
      <c r="G230" s="1">
        <v>1353.6896999999999</v>
      </c>
      <c r="H230" s="2">
        <v>613</v>
      </c>
      <c r="I230" s="2">
        <v>2</v>
      </c>
      <c r="J230" s="1">
        <v>1353.6792</v>
      </c>
      <c r="K230" s="1">
        <v>677.85209999999995</v>
      </c>
      <c r="L230" s="9" t="s">
        <v>1848</v>
      </c>
      <c r="M230" s="2">
        <v>6.76</v>
      </c>
      <c r="N230" s="4">
        <v>5712.24</v>
      </c>
      <c r="O230" s="1">
        <v>-7.7450523499152704</v>
      </c>
      <c r="P230" s="6">
        <v>40.700000000000003</v>
      </c>
      <c r="Q230" s="6">
        <v>28.5</v>
      </c>
      <c r="R230" s="6">
        <v>9.4</v>
      </c>
      <c r="S230" s="6">
        <v>10.199999999999999</v>
      </c>
      <c r="T230" s="5">
        <v>7.5999999999999998E-2</v>
      </c>
      <c r="U230" s="1">
        <v>-1.0500000000000001E-2</v>
      </c>
      <c r="V230" s="1">
        <v>3.2204999999999999</v>
      </c>
    </row>
    <row r="231" spans="1:22" x14ac:dyDescent="0.25">
      <c r="A231" s="1">
        <v>0.99950000000000006</v>
      </c>
      <c r="B231" s="9" t="s">
        <v>2329</v>
      </c>
      <c r="C231" s="2">
        <v>3686</v>
      </c>
      <c r="D231" s="2" t="s">
        <v>1321</v>
      </c>
      <c r="E231" s="9" t="s">
        <v>998</v>
      </c>
      <c r="F231" s="9" t="s">
        <v>1522</v>
      </c>
      <c r="G231" s="1">
        <v>1773.9947</v>
      </c>
      <c r="H231" s="2">
        <v>481</v>
      </c>
      <c r="I231" s="2">
        <v>2</v>
      </c>
      <c r="J231" s="1">
        <v>1773.9773</v>
      </c>
      <c r="K231" s="1">
        <v>888.00459999999998</v>
      </c>
      <c r="L231" s="9" t="s">
        <v>603</v>
      </c>
      <c r="M231" s="2">
        <v>4.8499999999999996</v>
      </c>
      <c r="N231" s="4">
        <v>5713.29</v>
      </c>
      <c r="O231" s="1">
        <v>-9.7972465457949198</v>
      </c>
      <c r="P231" s="6">
        <v>51.1</v>
      </c>
      <c r="Q231" s="6">
        <v>25.3</v>
      </c>
      <c r="R231" s="6">
        <v>11.7</v>
      </c>
      <c r="S231" s="6">
        <v>13.8</v>
      </c>
      <c r="T231" s="5">
        <v>1.1000000000000001E-7</v>
      </c>
      <c r="U231" s="1">
        <v>-1.7399999999999999E-2</v>
      </c>
      <c r="V231" s="1">
        <v>9.1051000000000002</v>
      </c>
    </row>
    <row r="232" spans="1:22" x14ac:dyDescent="0.25">
      <c r="A232" s="1">
        <v>0.98899999999999999</v>
      </c>
      <c r="B232" s="9" t="s">
        <v>2330</v>
      </c>
      <c r="C232" s="2">
        <v>3687</v>
      </c>
      <c r="D232" s="2" t="s">
        <v>95</v>
      </c>
      <c r="E232" s="9" t="s">
        <v>2331</v>
      </c>
      <c r="F232" s="9" t="s">
        <v>2332</v>
      </c>
      <c r="G232" s="1">
        <v>1334.7156</v>
      </c>
      <c r="H232" s="2">
        <v>614</v>
      </c>
      <c r="I232" s="2">
        <v>2</v>
      </c>
      <c r="J232" s="1">
        <v>1334.7118</v>
      </c>
      <c r="K232" s="1">
        <v>668.36509999999998</v>
      </c>
      <c r="L232" s="9" t="s">
        <v>2333</v>
      </c>
      <c r="M232" s="2">
        <v>6.22</v>
      </c>
      <c r="N232" s="4">
        <v>5717.54</v>
      </c>
      <c r="O232" s="1">
        <v>-2.8427576484768582</v>
      </c>
      <c r="P232" s="6">
        <v>28.2</v>
      </c>
      <c r="Q232" s="6">
        <v>22.6</v>
      </c>
      <c r="R232" s="6">
        <v>10</v>
      </c>
      <c r="S232" s="6">
        <v>10.7</v>
      </c>
      <c r="T232" s="5">
        <v>5.5E-2</v>
      </c>
      <c r="U232" s="1">
        <v>-3.8E-3</v>
      </c>
      <c r="V232" s="1">
        <v>2.7572000000000001</v>
      </c>
    </row>
    <row r="233" spans="1:22" x14ac:dyDescent="0.25">
      <c r="A233" s="1">
        <v>0.97289999999999999</v>
      </c>
      <c r="B233" s="9" t="s">
        <v>2334</v>
      </c>
      <c r="C233" s="2">
        <v>3700</v>
      </c>
      <c r="D233" s="2" t="s">
        <v>146</v>
      </c>
      <c r="E233" s="9" t="s">
        <v>2335</v>
      </c>
      <c r="F233" s="9" t="s">
        <v>427</v>
      </c>
      <c r="G233" s="1">
        <v>1354.8007</v>
      </c>
      <c r="H233" s="2">
        <v>919</v>
      </c>
      <c r="I233" s="2">
        <v>2</v>
      </c>
      <c r="J233" s="1">
        <v>1354.7626</v>
      </c>
      <c r="K233" s="1">
        <v>678.4076</v>
      </c>
      <c r="L233" s="9" t="s">
        <v>428</v>
      </c>
      <c r="M233" s="2">
        <v>11</v>
      </c>
      <c r="N233" s="4">
        <v>5739.84</v>
      </c>
      <c r="O233" s="1">
        <v>-28.080463721220106</v>
      </c>
      <c r="P233" s="6">
        <v>39.1</v>
      </c>
      <c r="Q233" s="6">
        <v>29.1</v>
      </c>
      <c r="R233" s="6">
        <v>11.7</v>
      </c>
      <c r="S233" s="6">
        <v>10.5</v>
      </c>
      <c r="T233" s="5">
        <v>2.3E-2</v>
      </c>
      <c r="U233" s="1">
        <v>-3.8100000000000002E-2</v>
      </c>
      <c r="V233" s="1">
        <v>3.4535999999999998</v>
      </c>
    </row>
    <row r="234" spans="1:22" x14ac:dyDescent="0.25">
      <c r="A234" s="1">
        <v>0.99790000000000001</v>
      </c>
      <c r="B234" s="9" t="s">
        <v>2336</v>
      </c>
      <c r="C234" s="2">
        <v>3741</v>
      </c>
      <c r="D234" s="2" t="s">
        <v>2337</v>
      </c>
      <c r="E234" s="9" t="s">
        <v>2338</v>
      </c>
      <c r="F234" s="9" t="s">
        <v>97</v>
      </c>
      <c r="G234" s="1">
        <v>2456.3348999999998</v>
      </c>
      <c r="H234" s="2">
        <v>482</v>
      </c>
      <c r="I234" s="2">
        <v>3</v>
      </c>
      <c r="J234" s="1">
        <v>2456.3429999999998</v>
      </c>
      <c r="K234" s="1">
        <v>819.78560000000004</v>
      </c>
      <c r="L234" s="9" t="s">
        <v>98</v>
      </c>
      <c r="M234" s="2">
        <v>6.42</v>
      </c>
      <c r="N234" s="4">
        <v>5798.79</v>
      </c>
      <c r="O234" s="1">
        <v>3.2935440681075629</v>
      </c>
      <c r="P234" s="6">
        <v>36.799999999999997</v>
      </c>
      <c r="Q234" s="6">
        <v>23.3</v>
      </c>
      <c r="R234" s="6">
        <v>10.199999999999999</v>
      </c>
      <c r="S234" s="6">
        <v>10.7</v>
      </c>
      <c r="T234" s="5">
        <v>9.1E-4</v>
      </c>
      <c r="U234" s="1">
        <v>8.0999999999999996E-3</v>
      </c>
      <c r="V234" s="1">
        <v>4.7499000000000002</v>
      </c>
    </row>
    <row r="235" spans="1:22" x14ac:dyDescent="0.25">
      <c r="A235" s="1">
        <v>0.997</v>
      </c>
      <c r="B235" s="9" t="s">
        <v>2339</v>
      </c>
      <c r="C235" s="2">
        <v>3748</v>
      </c>
      <c r="D235" s="2" t="s">
        <v>621</v>
      </c>
      <c r="E235" s="9" t="s">
        <v>985</v>
      </c>
      <c r="F235" s="9" t="s">
        <v>986</v>
      </c>
      <c r="G235" s="1">
        <v>1171.6635000000001</v>
      </c>
      <c r="H235" s="2">
        <v>247</v>
      </c>
      <c r="I235" s="2">
        <v>2</v>
      </c>
      <c r="J235" s="1">
        <v>1171.6575</v>
      </c>
      <c r="K235" s="1">
        <v>586.83900000000006</v>
      </c>
      <c r="L235" s="9" t="s">
        <v>514</v>
      </c>
      <c r="M235" s="2">
        <v>8.75</v>
      </c>
      <c r="N235" s="4">
        <v>5809.49</v>
      </c>
      <c r="O235" s="1">
        <v>-5.1121346740758531</v>
      </c>
      <c r="P235" s="6">
        <v>36.200000000000003</v>
      </c>
      <c r="Q235" s="6">
        <v>25</v>
      </c>
      <c r="R235" s="6">
        <v>10.5</v>
      </c>
      <c r="S235" s="6">
        <v>11.5</v>
      </c>
      <c r="T235" s="5">
        <v>4.4999999999999998E-2</v>
      </c>
      <c r="U235" s="1">
        <v>-6.0000000000000001E-3</v>
      </c>
      <c r="V235" s="1">
        <v>3.5345</v>
      </c>
    </row>
    <row r="236" spans="1:22" x14ac:dyDescent="0.25">
      <c r="A236" s="1">
        <v>0.99880000000000002</v>
      </c>
      <c r="B236" s="9" t="s">
        <v>2340</v>
      </c>
      <c r="C236" s="2">
        <v>3753</v>
      </c>
      <c r="D236" s="2" t="s">
        <v>2341</v>
      </c>
      <c r="E236" s="9" t="s">
        <v>2342</v>
      </c>
      <c r="F236" s="9" t="s">
        <v>97</v>
      </c>
      <c r="G236" s="1">
        <v>1783.9427000000001</v>
      </c>
      <c r="H236" s="2">
        <v>829</v>
      </c>
      <c r="I236" s="2">
        <v>2</v>
      </c>
      <c r="J236" s="1">
        <v>1783.9236000000001</v>
      </c>
      <c r="K236" s="1">
        <v>892.97860000000003</v>
      </c>
      <c r="L236" s="9" t="s">
        <v>98</v>
      </c>
      <c r="M236" s="2">
        <v>6.07</v>
      </c>
      <c r="N236" s="4">
        <v>5815.99</v>
      </c>
      <c r="O236" s="1">
        <v>-10.694545199627404</v>
      </c>
      <c r="P236" s="6">
        <v>60.8</v>
      </c>
      <c r="Q236" s="6">
        <v>33.6</v>
      </c>
      <c r="R236" s="6">
        <v>11.4</v>
      </c>
      <c r="S236" s="6">
        <v>10.8</v>
      </c>
      <c r="T236" s="5">
        <v>8.1999999999999998E-7</v>
      </c>
      <c r="U236" s="1">
        <v>-1.9099999999999999E-2</v>
      </c>
      <c r="V236" s="1">
        <v>8.0375999999999994</v>
      </c>
    </row>
    <row r="237" spans="1:22" x14ac:dyDescent="0.25">
      <c r="A237" s="1">
        <v>1</v>
      </c>
      <c r="B237" s="9" t="s">
        <v>2343</v>
      </c>
      <c r="C237" s="2">
        <v>3759</v>
      </c>
      <c r="D237" s="2" t="s">
        <v>2344</v>
      </c>
      <c r="E237" s="9" t="s">
        <v>2345</v>
      </c>
      <c r="F237" s="9" t="s">
        <v>944</v>
      </c>
      <c r="G237" s="1">
        <v>2114.1082000000001</v>
      </c>
      <c r="H237" s="2">
        <v>830</v>
      </c>
      <c r="I237" s="2">
        <v>3</v>
      </c>
      <c r="J237" s="1">
        <v>2114.1136000000001</v>
      </c>
      <c r="K237" s="1">
        <v>705.71</v>
      </c>
      <c r="L237" s="9" t="s">
        <v>945</v>
      </c>
      <c r="M237" s="2">
        <v>4.9400000000000004</v>
      </c>
      <c r="N237" s="4">
        <v>5824.59</v>
      </c>
      <c r="O237" s="1">
        <v>2.5506227770613994</v>
      </c>
      <c r="P237" s="6">
        <v>64.7</v>
      </c>
      <c r="Q237" s="6">
        <v>33.799999999999997</v>
      </c>
      <c r="R237" s="6">
        <v>11</v>
      </c>
      <c r="S237" s="6">
        <v>10.199999999999999</v>
      </c>
      <c r="T237" s="5">
        <v>7.1999999999999999E-7</v>
      </c>
      <c r="U237" s="1">
        <v>5.4000000000000003E-3</v>
      </c>
      <c r="V237" s="1">
        <v>9.1189</v>
      </c>
    </row>
    <row r="238" spans="1:22" x14ac:dyDescent="0.25">
      <c r="A238" s="1">
        <v>0.99870000000000003</v>
      </c>
      <c r="B238" s="9" t="s">
        <v>2346</v>
      </c>
      <c r="C238" s="2">
        <v>3769</v>
      </c>
      <c r="D238" s="2" t="s">
        <v>511</v>
      </c>
      <c r="E238" s="9" t="s">
        <v>985</v>
      </c>
      <c r="F238" s="9" t="s">
        <v>986</v>
      </c>
      <c r="G238" s="1">
        <v>1171.6635000000001</v>
      </c>
      <c r="H238" s="2">
        <v>248</v>
      </c>
      <c r="I238" s="2">
        <v>2</v>
      </c>
      <c r="J238" s="1">
        <v>1171.664</v>
      </c>
      <c r="K238" s="1">
        <v>586.83900000000006</v>
      </c>
      <c r="L238" s="9" t="s">
        <v>514</v>
      </c>
      <c r="M238" s="2">
        <v>8.75</v>
      </c>
      <c r="N238" s="4">
        <v>5839.6</v>
      </c>
      <c r="O238" s="1">
        <v>0.42601122283965448</v>
      </c>
      <c r="P238" s="6">
        <v>32.700000000000003</v>
      </c>
      <c r="Q238" s="6">
        <v>22.5</v>
      </c>
      <c r="R238" s="6">
        <v>11.2</v>
      </c>
      <c r="S238" s="6">
        <v>12.3</v>
      </c>
      <c r="T238" s="5">
        <v>8.0000000000000002E-3</v>
      </c>
      <c r="U238" s="1">
        <v>5.0000000000000001E-4</v>
      </c>
      <c r="V238" s="1">
        <v>4.4211999999999998</v>
      </c>
    </row>
    <row r="239" spans="1:22" x14ac:dyDescent="0.25">
      <c r="A239" s="1">
        <v>0.97640000000000005</v>
      </c>
      <c r="B239" s="9" t="s">
        <v>2347</v>
      </c>
      <c r="C239" s="2">
        <v>3781</v>
      </c>
      <c r="D239" s="2" t="s">
        <v>770</v>
      </c>
      <c r="E239" s="9" t="s">
        <v>2348</v>
      </c>
      <c r="F239" s="9" t="s">
        <v>2349</v>
      </c>
      <c r="G239" s="1">
        <v>1775.9586999999999</v>
      </c>
      <c r="H239" s="2">
        <v>833</v>
      </c>
      <c r="I239" s="2">
        <v>3</v>
      </c>
      <c r="J239" s="1">
        <v>1775.9744000000001</v>
      </c>
      <c r="K239" s="1">
        <v>592.99350000000004</v>
      </c>
      <c r="L239" s="9" t="s">
        <v>2350</v>
      </c>
      <c r="M239" s="2">
        <v>5</v>
      </c>
      <c r="N239" s="4">
        <v>5860.79</v>
      </c>
      <c r="O239" s="1">
        <v>8.8252794226805733</v>
      </c>
      <c r="P239" s="6">
        <v>34.9</v>
      </c>
      <c r="Q239" s="6">
        <v>28.9</v>
      </c>
      <c r="R239" s="6">
        <v>7.3</v>
      </c>
      <c r="S239" s="6">
        <v>9.1</v>
      </c>
      <c r="T239" s="5">
        <v>1.4E-2</v>
      </c>
      <c r="U239" s="1">
        <v>1.5699999999999999E-2</v>
      </c>
      <c r="V239" s="1">
        <v>3.4007000000000001</v>
      </c>
    </row>
    <row r="240" spans="1:22" x14ac:dyDescent="0.25">
      <c r="A240" s="1">
        <v>0.9698</v>
      </c>
      <c r="B240" s="9" t="s">
        <v>2351</v>
      </c>
      <c r="C240" s="2">
        <v>3783</v>
      </c>
      <c r="D240" s="2" t="s">
        <v>168</v>
      </c>
      <c r="E240" s="9" t="s">
        <v>2352</v>
      </c>
      <c r="F240" s="9" t="s">
        <v>2353</v>
      </c>
      <c r="G240" s="1">
        <v>2373.2037</v>
      </c>
      <c r="H240" s="2">
        <v>834</v>
      </c>
      <c r="I240" s="2">
        <v>3</v>
      </c>
      <c r="J240" s="1">
        <v>2373.1894000000002</v>
      </c>
      <c r="K240" s="1">
        <v>792.0752</v>
      </c>
      <c r="L240" s="9" t="s">
        <v>2354</v>
      </c>
      <c r="M240" s="2">
        <v>4.63</v>
      </c>
      <c r="N240" s="4">
        <v>5864</v>
      </c>
      <c r="O240" s="1">
        <v>-6.0179471174790811</v>
      </c>
      <c r="P240" s="6">
        <v>35.1</v>
      </c>
      <c r="Q240" s="6">
        <v>27.7</v>
      </c>
      <c r="R240" s="6">
        <v>11.8</v>
      </c>
      <c r="S240" s="6">
        <v>13.2</v>
      </c>
      <c r="T240" s="5">
        <v>1.2999999999999999E-2</v>
      </c>
      <c r="U240" s="1">
        <v>-1.43E-2</v>
      </c>
      <c r="V240" s="1">
        <v>3.2410999999999999</v>
      </c>
    </row>
    <row r="241" spans="1:22" x14ac:dyDescent="0.25">
      <c r="A241" s="1">
        <v>1</v>
      </c>
      <c r="B241" s="9" t="s">
        <v>2355</v>
      </c>
      <c r="C241" s="2">
        <v>3811</v>
      </c>
      <c r="D241" s="2" t="s">
        <v>2356</v>
      </c>
      <c r="E241" s="9" t="s">
        <v>1022</v>
      </c>
      <c r="F241" s="9" t="s">
        <v>170</v>
      </c>
      <c r="G241" s="1">
        <v>1986.0057999999999</v>
      </c>
      <c r="H241" s="2">
        <v>836</v>
      </c>
      <c r="I241" s="2">
        <v>3</v>
      </c>
      <c r="J241" s="1">
        <v>1985.9965999999999</v>
      </c>
      <c r="K241" s="1">
        <v>663.00919999999996</v>
      </c>
      <c r="L241" s="9" t="s">
        <v>64</v>
      </c>
      <c r="M241" s="2">
        <v>4.3099999999999996</v>
      </c>
      <c r="N241" s="4">
        <v>5902.8</v>
      </c>
      <c r="O241" s="1">
        <v>-4.6253757363648447</v>
      </c>
      <c r="P241" s="6">
        <v>61.3</v>
      </c>
      <c r="Q241" s="6">
        <v>30.2</v>
      </c>
      <c r="R241" s="6">
        <v>10.6</v>
      </c>
      <c r="S241" s="6">
        <v>11.4</v>
      </c>
      <c r="T241" s="5">
        <v>2.0999999999999998E-6</v>
      </c>
      <c r="U241" s="1">
        <v>-9.1999999999999998E-3</v>
      </c>
      <c r="V241" s="1">
        <v>8.7545999999999999</v>
      </c>
    </row>
    <row r="242" spans="1:22" x14ac:dyDescent="0.25">
      <c r="A242" s="1">
        <v>0.97919999999999996</v>
      </c>
      <c r="B242" s="9" t="s">
        <v>2357</v>
      </c>
      <c r="C242" s="2">
        <v>3825</v>
      </c>
      <c r="D242" s="2" t="s">
        <v>511</v>
      </c>
      <c r="E242" s="9" t="s">
        <v>2358</v>
      </c>
      <c r="F242" s="9" t="s">
        <v>282</v>
      </c>
      <c r="G242" s="1">
        <v>1177.6165000000001</v>
      </c>
      <c r="H242" s="2">
        <v>838</v>
      </c>
      <c r="I242" s="2">
        <v>2</v>
      </c>
      <c r="J242" s="1">
        <v>1177.6108999999999</v>
      </c>
      <c r="K242" s="1">
        <v>589.81550000000004</v>
      </c>
      <c r="L242" s="9" t="s">
        <v>283</v>
      </c>
      <c r="M242" s="2">
        <v>5.08</v>
      </c>
      <c r="N242" s="4">
        <v>5923.2</v>
      </c>
      <c r="O242" s="1">
        <v>-4.7472472323972497</v>
      </c>
      <c r="P242" s="6">
        <v>30</v>
      </c>
      <c r="Q242" s="6">
        <v>22.8</v>
      </c>
      <c r="R242" s="6">
        <v>11.8</v>
      </c>
      <c r="S242" s="6">
        <v>9.1</v>
      </c>
      <c r="T242" s="5">
        <v>2.3E-2</v>
      </c>
      <c r="U242" s="1">
        <v>-5.5999999999999999E-3</v>
      </c>
      <c r="V242" s="1">
        <v>3.5228999999999999</v>
      </c>
    </row>
    <row r="243" spans="1:22" x14ac:dyDescent="0.25">
      <c r="A243" s="1">
        <v>0.96809999999999996</v>
      </c>
      <c r="B243" s="9" t="s">
        <v>2359</v>
      </c>
      <c r="C243" s="2">
        <v>3850</v>
      </c>
      <c r="D243" s="2" t="s">
        <v>891</v>
      </c>
      <c r="E243" s="9" t="s">
        <v>2360</v>
      </c>
      <c r="F243" s="9" t="s">
        <v>2361</v>
      </c>
      <c r="G243" s="1">
        <v>1164.6617000000001</v>
      </c>
      <c r="H243" s="2">
        <v>486</v>
      </c>
      <c r="I243" s="2">
        <v>2</v>
      </c>
      <c r="J243" s="1">
        <v>1164.6422</v>
      </c>
      <c r="K243" s="1">
        <v>583.33810000000005</v>
      </c>
      <c r="L243" s="9" t="s">
        <v>2362</v>
      </c>
      <c r="M243" s="2">
        <v>8.59</v>
      </c>
      <c r="N243" s="4">
        <v>5953.7</v>
      </c>
      <c r="O243" s="1">
        <v>-16.714149135809915</v>
      </c>
      <c r="P243" s="6">
        <v>31.5</v>
      </c>
      <c r="Q243" s="6">
        <v>25.4</v>
      </c>
      <c r="R243" s="6">
        <v>7.1</v>
      </c>
      <c r="S243" s="6">
        <v>11</v>
      </c>
      <c r="T243" s="5">
        <v>5.7000000000000002E-2</v>
      </c>
      <c r="U243" s="1">
        <v>-1.95E-2</v>
      </c>
      <c r="V243" s="1">
        <v>3.1160000000000001</v>
      </c>
    </row>
    <row r="244" spans="1:22" x14ac:dyDescent="0.25">
      <c r="A244" s="1">
        <v>0.99439999999999995</v>
      </c>
      <c r="B244" s="9" t="s">
        <v>2363</v>
      </c>
      <c r="C244" s="2">
        <v>3857</v>
      </c>
      <c r="D244" s="2" t="s">
        <v>1236</v>
      </c>
      <c r="E244" s="9" t="s">
        <v>2364</v>
      </c>
      <c r="F244" s="9" t="s">
        <v>282</v>
      </c>
      <c r="G244" s="1">
        <v>2001.9827</v>
      </c>
      <c r="H244" s="2">
        <v>617</v>
      </c>
      <c r="I244" s="2">
        <v>2</v>
      </c>
      <c r="J244" s="1">
        <v>2001.9641999999999</v>
      </c>
      <c r="K244" s="1">
        <v>1001.9986</v>
      </c>
      <c r="L244" s="9" t="s">
        <v>283</v>
      </c>
      <c r="M244" s="2">
        <v>4.75</v>
      </c>
      <c r="N244" s="4">
        <v>5964.55</v>
      </c>
      <c r="O244" s="1">
        <v>-9.2315498245207124</v>
      </c>
      <c r="P244" s="6">
        <v>37.4</v>
      </c>
      <c r="Q244" s="6">
        <v>23.1</v>
      </c>
      <c r="R244" s="6">
        <v>13.2</v>
      </c>
      <c r="S244" s="6">
        <v>12.8</v>
      </c>
      <c r="T244" s="5">
        <v>8.4000000000000003E-4</v>
      </c>
      <c r="U244" s="1">
        <v>-1.8499999999999999E-2</v>
      </c>
      <c r="V244" s="1">
        <v>4.5128000000000004</v>
      </c>
    </row>
    <row r="245" spans="1:22" x14ac:dyDescent="0.25">
      <c r="A245" s="1">
        <v>0.99650000000000005</v>
      </c>
      <c r="B245" s="9" t="s">
        <v>2365</v>
      </c>
      <c r="C245" s="2">
        <v>3859</v>
      </c>
      <c r="D245" s="2" t="s">
        <v>311</v>
      </c>
      <c r="E245" s="9" t="s">
        <v>539</v>
      </c>
      <c r="F245" s="9" t="s">
        <v>540</v>
      </c>
      <c r="G245" s="1">
        <v>1315.7168999999999</v>
      </c>
      <c r="H245" s="2">
        <v>250</v>
      </c>
      <c r="I245" s="2">
        <v>2</v>
      </c>
      <c r="J245" s="1">
        <v>1315.7117000000001</v>
      </c>
      <c r="K245" s="1">
        <v>658.86569999999995</v>
      </c>
      <c r="L245" s="9" t="s">
        <v>514</v>
      </c>
      <c r="M245" s="2">
        <v>8.75</v>
      </c>
      <c r="N245" s="4">
        <v>5965.6</v>
      </c>
      <c r="O245" s="1">
        <v>-3.9461759809320776</v>
      </c>
      <c r="P245" s="6">
        <v>36</v>
      </c>
      <c r="Q245" s="6">
        <v>25.9</v>
      </c>
      <c r="R245" s="6">
        <v>11.9</v>
      </c>
      <c r="S245" s="6">
        <v>11.5</v>
      </c>
      <c r="T245" s="5">
        <v>2.5000000000000001E-2</v>
      </c>
      <c r="U245" s="1">
        <v>-5.1999999999999998E-3</v>
      </c>
      <c r="V245" s="1">
        <v>3.3997000000000002</v>
      </c>
    </row>
    <row r="246" spans="1:22" x14ac:dyDescent="0.25">
      <c r="A246" s="1">
        <v>0.99950000000000006</v>
      </c>
      <c r="B246" s="9" t="s">
        <v>2366</v>
      </c>
      <c r="C246" s="2">
        <v>3879</v>
      </c>
      <c r="D246" s="2" t="s">
        <v>331</v>
      </c>
      <c r="E246" s="9" t="s">
        <v>539</v>
      </c>
      <c r="F246" s="9" t="s">
        <v>540</v>
      </c>
      <c r="G246" s="1">
        <v>1315.7168999999999</v>
      </c>
      <c r="H246" s="2">
        <v>618</v>
      </c>
      <c r="I246" s="2">
        <v>2</v>
      </c>
      <c r="J246" s="1">
        <v>1315.7125000000001</v>
      </c>
      <c r="K246" s="1">
        <v>658.86569999999995</v>
      </c>
      <c r="L246" s="9" t="s">
        <v>514</v>
      </c>
      <c r="M246" s="2">
        <v>8.75</v>
      </c>
      <c r="N246" s="4">
        <v>5999.75</v>
      </c>
      <c r="O246" s="1">
        <v>-3.3390719838656047</v>
      </c>
      <c r="P246" s="6">
        <v>39.700000000000003</v>
      </c>
      <c r="Q246" s="6">
        <v>24.5</v>
      </c>
      <c r="R246" s="6">
        <v>11.9</v>
      </c>
      <c r="S246" s="6">
        <v>11.6</v>
      </c>
      <c r="T246" s="5">
        <v>4.4000000000000002E-4</v>
      </c>
      <c r="U246" s="1">
        <v>-4.4000000000000003E-3</v>
      </c>
      <c r="V246" s="1">
        <v>5.7382</v>
      </c>
    </row>
    <row r="247" spans="1:22" x14ac:dyDescent="0.25">
      <c r="A247" s="1">
        <v>0.99739999999999995</v>
      </c>
      <c r="B247" s="9" t="s">
        <v>2367</v>
      </c>
      <c r="C247" s="2">
        <v>3888</v>
      </c>
      <c r="D247" s="2" t="s">
        <v>146</v>
      </c>
      <c r="E247" s="9" t="s">
        <v>2368</v>
      </c>
      <c r="F247" s="9" t="s">
        <v>2369</v>
      </c>
      <c r="G247" s="1">
        <v>1417.7276999999999</v>
      </c>
      <c r="H247" s="2">
        <v>842</v>
      </c>
      <c r="I247" s="2">
        <v>2</v>
      </c>
      <c r="J247" s="1">
        <v>1417.7065</v>
      </c>
      <c r="K247" s="1">
        <v>709.87109999999996</v>
      </c>
      <c r="L247" s="9" t="s">
        <v>2370</v>
      </c>
      <c r="M247" s="2">
        <v>5.84</v>
      </c>
      <c r="N247" s="4">
        <v>6011.5</v>
      </c>
      <c r="O247" s="1">
        <v>-14.932288411234097</v>
      </c>
      <c r="P247" s="6">
        <v>40.4</v>
      </c>
      <c r="Q247" s="6">
        <v>24</v>
      </c>
      <c r="R247" s="6">
        <v>13.7</v>
      </c>
      <c r="S247" s="6">
        <v>11.8</v>
      </c>
      <c r="T247" s="5">
        <v>8.8999999999999995E-4</v>
      </c>
      <c r="U247" s="1">
        <v>-2.12E-2</v>
      </c>
      <c r="V247" s="1">
        <v>5.7469999999999999</v>
      </c>
    </row>
    <row r="248" spans="1:22" x14ac:dyDescent="0.25">
      <c r="A248" s="1">
        <v>0.97789999999999999</v>
      </c>
      <c r="B248" s="9" t="s">
        <v>2371</v>
      </c>
      <c r="C248" s="2">
        <v>3911</v>
      </c>
      <c r="D248" s="2" t="s">
        <v>302</v>
      </c>
      <c r="E248" s="9" t="s">
        <v>2368</v>
      </c>
      <c r="F248" s="9" t="s">
        <v>2369</v>
      </c>
      <c r="G248" s="1">
        <v>1417.7276999999999</v>
      </c>
      <c r="H248" s="2">
        <v>844</v>
      </c>
      <c r="I248" s="2">
        <v>2</v>
      </c>
      <c r="J248" s="1">
        <v>1417.7134000000001</v>
      </c>
      <c r="K248" s="1">
        <v>709.87109999999996</v>
      </c>
      <c r="L248" s="9" t="s">
        <v>2370</v>
      </c>
      <c r="M248" s="2">
        <v>5.84</v>
      </c>
      <c r="N248" s="4">
        <v>6041.8</v>
      </c>
      <c r="O248" s="1">
        <v>-10.072251145313565</v>
      </c>
      <c r="P248" s="6">
        <v>34</v>
      </c>
      <c r="Q248" s="6">
        <v>25.8</v>
      </c>
      <c r="R248" s="6">
        <v>13.7</v>
      </c>
      <c r="S248" s="6">
        <v>12.1</v>
      </c>
      <c r="T248" s="5">
        <v>1.9E-2</v>
      </c>
      <c r="U248" s="1">
        <v>-1.43E-2</v>
      </c>
      <c r="V248" s="1">
        <v>3.4754999999999998</v>
      </c>
    </row>
    <row r="249" spans="1:22" x14ac:dyDescent="0.25">
      <c r="A249" s="1">
        <v>0.98340000000000005</v>
      </c>
      <c r="B249" s="9" t="s">
        <v>2372</v>
      </c>
      <c r="C249" s="2">
        <v>3914</v>
      </c>
      <c r="D249" s="2" t="s">
        <v>550</v>
      </c>
      <c r="E249" s="9" t="s">
        <v>551</v>
      </c>
      <c r="F249" s="9" t="s">
        <v>552</v>
      </c>
      <c r="G249" s="1">
        <v>1864.8947000000001</v>
      </c>
      <c r="H249" s="2">
        <v>922</v>
      </c>
      <c r="I249" s="2">
        <v>2</v>
      </c>
      <c r="J249" s="1">
        <v>1864.8521000000001</v>
      </c>
      <c r="K249" s="1">
        <v>933.45460000000003</v>
      </c>
      <c r="L249" s="9" t="s">
        <v>456</v>
      </c>
      <c r="M249" s="2">
        <v>4.37</v>
      </c>
      <c r="N249" s="4">
        <v>6048.25</v>
      </c>
      <c r="O249" s="1">
        <v>-22.818463801024709</v>
      </c>
      <c r="P249" s="6">
        <v>34.700000000000003</v>
      </c>
      <c r="Q249" s="6">
        <v>26.4</v>
      </c>
      <c r="R249" s="6">
        <v>10</v>
      </c>
      <c r="S249" s="6">
        <v>12.9</v>
      </c>
      <c r="T249" s="5">
        <v>2E-3</v>
      </c>
      <c r="U249" s="1">
        <v>-4.2599999999999999E-2</v>
      </c>
      <c r="V249" s="1">
        <v>3.8426</v>
      </c>
    </row>
    <row r="250" spans="1:22" x14ac:dyDescent="0.25">
      <c r="A250" s="1">
        <v>0.99239999999999995</v>
      </c>
      <c r="B250" s="9" t="s">
        <v>2373</v>
      </c>
      <c r="C250" s="2">
        <v>3940</v>
      </c>
      <c r="D250" s="2" t="s">
        <v>702</v>
      </c>
      <c r="E250" s="9" t="s">
        <v>2374</v>
      </c>
      <c r="F250" s="9" t="s">
        <v>2375</v>
      </c>
      <c r="G250" s="1">
        <v>1150.5987</v>
      </c>
      <c r="H250" s="2">
        <v>621</v>
      </c>
      <c r="I250" s="2">
        <v>2</v>
      </c>
      <c r="J250" s="1">
        <v>1150.6151</v>
      </c>
      <c r="K250" s="1">
        <v>576.3066</v>
      </c>
      <c r="L250" s="9" t="s">
        <v>2376</v>
      </c>
      <c r="M250" s="2">
        <v>5.39</v>
      </c>
      <c r="N250" s="4">
        <v>6084.85</v>
      </c>
      <c r="O250" s="1">
        <v>14.228537379235291</v>
      </c>
      <c r="P250" s="6">
        <v>39.1</v>
      </c>
      <c r="Q250" s="6">
        <v>27.5</v>
      </c>
      <c r="R250" s="6">
        <v>14.4</v>
      </c>
      <c r="S250" s="6">
        <v>13.4</v>
      </c>
      <c r="T250" s="5">
        <v>6.4000000000000003E-3</v>
      </c>
      <c r="U250" s="1">
        <v>1.6400000000000001E-2</v>
      </c>
      <c r="V250" s="1">
        <v>4.2680999999999996</v>
      </c>
    </row>
    <row r="251" spans="1:22" x14ac:dyDescent="0.25">
      <c r="A251" s="1">
        <v>0.96309999999999996</v>
      </c>
      <c r="B251" s="9" t="s">
        <v>2377</v>
      </c>
      <c r="C251" s="2">
        <v>3958</v>
      </c>
      <c r="D251" s="2" t="s">
        <v>370</v>
      </c>
      <c r="E251" s="9" t="s">
        <v>2378</v>
      </c>
      <c r="F251" s="9" t="s">
        <v>552</v>
      </c>
      <c r="G251" s="1">
        <v>1277.6802</v>
      </c>
      <c r="H251" s="2">
        <v>845</v>
      </c>
      <c r="I251" s="2">
        <v>2</v>
      </c>
      <c r="J251" s="1">
        <v>1277.675</v>
      </c>
      <c r="K251" s="1">
        <v>639.84739999999999</v>
      </c>
      <c r="L251" s="9" t="s">
        <v>456</v>
      </c>
      <c r="M251" s="2">
        <v>6.71</v>
      </c>
      <c r="N251" s="4">
        <v>6103.5</v>
      </c>
      <c r="O251" s="1">
        <v>-4.0634688833618764</v>
      </c>
      <c r="P251" s="6">
        <v>42.2</v>
      </c>
      <c r="Q251" s="6">
        <v>32.1</v>
      </c>
      <c r="R251" s="6">
        <v>12</v>
      </c>
      <c r="S251" s="6">
        <v>9.6999999999999993</v>
      </c>
      <c r="T251" s="5">
        <v>4.2999999999999997E-2</v>
      </c>
      <c r="U251" s="1">
        <v>-5.1999999999999998E-3</v>
      </c>
      <c r="V251" s="1">
        <v>3.0726</v>
      </c>
    </row>
    <row r="252" spans="1:22" x14ac:dyDescent="0.25">
      <c r="A252" s="1">
        <v>0.97340000000000004</v>
      </c>
      <c r="B252" s="9" t="s">
        <v>2379</v>
      </c>
      <c r="C252" s="2">
        <v>3979</v>
      </c>
      <c r="D252" s="2" t="s">
        <v>260</v>
      </c>
      <c r="E252" s="9" t="s">
        <v>2380</v>
      </c>
      <c r="F252" s="9" t="s">
        <v>1638</v>
      </c>
      <c r="G252" s="1">
        <v>1203.6208999999999</v>
      </c>
      <c r="H252" s="2">
        <v>491</v>
      </c>
      <c r="I252" s="2">
        <v>2</v>
      </c>
      <c r="J252" s="1">
        <v>1203.6261</v>
      </c>
      <c r="K252" s="1">
        <v>602.81769999999995</v>
      </c>
      <c r="L252" s="9" t="s">
        <v>1639</v>
      </c>
      <c r="M252" s="2">
        <v>4.8600000000000003</v>
      </c>
      <c r="N252" s="4">
        <v>6129.6</v>
      </c>
      <c r="O252" s="1">
        <v>4.3130783983283836</v>
      </c>
      <c r="P252" s="6">
        <v>33.4</v>
      </c>
      <c r="Q252" s="6">
        <v>27</v>
      </c>
      <c r="R252" s="6">
        <v>9.8000000000000007</v>
      </c>
      <c r="S252" s="6">
        <v>12.8</v>
      </c>
      <c r="T252" s="5">
        <v>0.13</v>
      </c>
      <c r="U252" s="1">
        <v>5.1999999999999998E-3</v>
      </c>
      <c r="V252" s="1">
        <v>2.5101</v>
      </c>
    </row>
    <row r="253" spans="1:22" x14ac:dyDescent="0.25">
      <c r="A253" s="1">
        <v>0.99529999999999996</v>
      </c>
      <c r="B253" s="9" t="s">
        <v>2381</v>
      </c>
      <c r="C253" s="2">
        <v>3982</v>
      </c>
      <c r="D253" s="2" t="s">
        <v>511</v>
      </c>
      <c r="E253" s="9" t="s">
        <v>2382</v>
      </c>
      <c r="F253" s="9" t="s">
        <v>2383</v>
      </c>
      <c r="G253" s="1">
        <v>1277.6324999999999</v>
      </c>
      <c r="H253" s="2">
        <v>622</v>
      </c>
      <c r="I253" s="2">
        <v>2</v>
      </c>
      <c r="J253" s="1">
        <v>1277.6351999999999</v>
      </c>
      <c r="K253" s="1">
        <v>639.82349999999997</v>
      </c>
      <c r="L253" s="9" t="s">
        <v>673</v>
      </c>
      <c r="M253" s="2">
        <v>4.8600000000000003</v>
      </c>
      <c r="N253" s="4">
        <v>6136.05</v>
      </c>
      <c r="O253" s="1">
        <v>2.1099568865476184</v>
      </c>
      <c r="P253" s="6">
        <v>29.9</v>
      </c>
      <c r="Q253" s="6">
        <v>24.3</v>
      </c>
      <c r="R253" s="6">
        <v>10.9</v>
      </c>
      <c r="S253" s="6">
        <v>12.3</v>
      </c>
      <c r="T253" s="5">
        <v>2.5999999999999999E-2</v>
      </c>
      <c r="U253" s="1">
        <v>2.7000000000000001E-3</v>
      </c>
      <c r="V253" s="1">
        <v>3.1941999999999999</v>
      </c>
    </row>
    <row r="254" spans="1:22" x14ac:dyDescent="0.25">
      <c r="A254" s="1">
        <v>0.99419999999999997</v>
      </c>
      <c r="B254" s="9" t="s">
        <v>2384</v>
      </c>
      <c r="C254" s="2">
        <v>3983</v>
      </c>
      <c r="D254" s="2" t="s">
        <v>702</v>
      </c>
      <c r="E254" s="9" t="s">
        <v>2385</v>
      </c>
      <c r="F254" s="9" t="s">
        <v>930</v>
      </c>
      <c r="G254" s="1">
        <v>1310.7266999999999</v>
      </c>
      <c r="H254" s="2">
        <v>492</v>
      </c>
      <c r="I254" s="2">
        <v>2</v>
      </c>
      <c r="J254" s="1">
        <v>1310.6932999999999</v>
      </c>
      <c r="K254" s="1">
        <v>656.37059999999997</v>
      </c>
      <c r="L254" s="9" t="s">
        <v>931</v>
      </c>
      <c r="M254" s="2">
        <v>6.09</v>
      </c>
      <c r="N254" s="4">
        <v>6133.9</v>
      </c>
      <c r="O254" s="1">
        <v>-25.442943361570432</v>
      </c>
      <c r="P254" s="6">
        <v>36.9</v>
      </c>
      <c r="Q254" s="6">
        <v>20</v>
      </c>
      <c r="R254" s="6">
        <v>12.9</v>
      </c>
      <c r="S254" s="6">
        <v>7.3</v>
      </c>
      <c r="T254" s="5">
        <v>2.8E-3</v>
      </c>
      <c r="U254" s="1">
        <v>-3.3399999999999999E-2</v>
      </c>
      <c r="V254" s="1">
        <v>5.4451999999999998</v>
      </c>
    </row>
    <row r="255" spans="1:22" x14ac:dyDescent="0.25">
      <c r="A255" s="1">
        <v>0.99</v>
      </c>
      <c r="B255" s="9" t="s">
        <v>2386</v>
      </c>
      <c r="C255" s="2">
        <v>4004</v>
      </c>
      <c r="D255" s="2" t="s">
        <v>260</v>
      </c>
      <c r="E255" s="9" t="s">
        <v>2380</v>
      </c>
      <c r="F255" s="9" t="s">
        <v>1638</v>
      </c>
      <c r="G255" s="1">
        <v>1203.6208999999999</v>
      </c>
      <c r="H255" s="2">
        <v>253</v>
      </c>
      <c r="I255" s="2">
        <v>2</v>
      </c>
      <c r="J255" s="1">
        <v>1203.6141</v>
      </c>
      <c r="K255" s="1">
        <v>602.81769999999995</v>
      </c>
      <c r="L255" s="9" t="s">
        <v>1639</v>
      </c>
      <c r="M255" s="2">
        <v>4.8600000000000003</v>
      </c>
      <c r="N255" s="4">
        <v>6161.11</v>
      </c>
      <c r="O255" s="1">
        <v>-5.6401794439678863</v>
      </c>
      <c r="P255" s="6">
        <v>34</v>
      </c>
      <c r="Q255" s="6">
        <v>27</v>
      </c>
      <c r="R255" s="6">
        <v>11.9</v>
      </c>
      <c r="S255" s="6">
        <v>13</v>
      </c>
      <c r="T255" s="5">
        <v>0.14000000000000001</v>
      </c>
      <c r="U255" s="1">
        <v>-6.7999999999999996E-3</v>
      </c>
      <c r="V255" s="1">
        <v>2.5466000000000002</v>
      </c>
    </row>
    <row r="256" spans="1:22" x14ac:dyDescent="0.25">
      <c r="A256" s="1">
        <v>0.9929</v>
      </c>
      <c r="B256" s="9" t="s">
        <v>2387</v>
      </c>
      <c r="C256" s="2">
        <v>4007</v>
      </c>
      <c r="D256" s="2" t="s">
        <v>302</v>
      </c>
      <c r="E256" s="9" t="s">
        <v>2385</v>
      </c>
      <c r="F256" s="9" t="s">
        <v>930</v>
      </c>
      <c r="G256" s="1">
        <v>1310.7267999999999</v>
      </c>
      <c r="H256" s="2">
        <v>493</v>
      </c>
      <c r="I256" s="2">
        <v>2</v>
      </c>
      <c r="J256" s="1">
        <v>1310.7184</v>
      </c>
      <c r="K256" s="1">
        <v>656.37070000000006</v>
      </c>
      <c r="L256" s="9" t="s">
        <v>931</v>
      </c>
      <c r="M256" s="2">
        <v>6.09</v>
      </c>
      <c r="N256" s="4">
        <v>6165.41</v>
      </c>
      <c r="O256" s="1">
        <v>-6.398823104078228</v>
      </c>
      <c r="P256" s="6">
        <v>34.700000000000003</v>
      </c>
      <c r="Q256" s="6">
        <v>25.9</v>
      </c>
      <c r="R256" s="6">
        <v>13</v>
      </c>
      <c r="S256" s="6">
        <v>8.6999999999999993</v>
      </c>
      <c r="T256" s="5">
        <v>3.2000000000000001E-2</v>
      </c>
      <c r="U256" s="1">
        <v>-8.3999999999999995E-3</v>
      </c>
      <c r="V256" s="1">
        <v>3.2839</v>
      </c>
    </row>
    <row r="257" spans="1:22" x14ac:dyDescent="0.25">
      <c r="A257" s="1">
        <v>0.99890000000000001</v>
      </c>
      <c r="B257" s="9" t="s">
        <v>2388</v>
      </c>
      <c r="C257" s="2">
        <v>4108</v>
      </c>
      <c r="D257" s="2" t="s">
        <v>1271</v>
      </c>
      <c r="E257" s="9" t="s">
        <v>1582</v>
      </c>
      <c r="F257" s="9" t="s">
        <v>897</v>
      </c>
      <c r="G257" s="1">
        <v>1707.8577</v>
      </c>
      <c r="H257" s="2">
        <v>623</v>
      </c>
      <c r="I257" s="2">
        <v>2</v>
      </c>
      <c r="J257" s="1">
        <v>1707.8462999999999</v>
      </c>
      <c r="K257" s="1">
        <v>854.93610000000001</v>
      </c>
      <c r="L257" s="9" t="s">
        <v>898</v>
      </c>
      <c r="M257" s="2">
        <v>6.22</v>
      </c>
      <c r="N257" s="4">
        <v>6287.66</v>
      </c>
      <c r="O257" s="1">
        <v>-6.6671649495207888</v>
      </c>
      <c r="P257" s="6">
        <v>35.200000000000003</v>
      </c>
      <c r="Q257" s="6">
        <v>24</v>
      </c>
      <c r="R257" s="6">
        <v>11.9</v>
      </c>
      <c r="S257" s="6">
        <v>9.9</v>
      </c>
      <c r="T257" s="5">
        <v>5.9000000000000003E-4</v>
      </c>
      <c r="U257" s="1">
        <v>-1.14E-2</v>
      </c>
      <c r="V257" s="1">
        <v>4.7862</v>
      </c>
    </row>
    <row r="258" spans="1:22" x14ac:dyDescent="0.25">
      <c r="A258" s="1">
        <v>0.99929999999999997</v>
      </c>
      <c r="B258" s="9" t="s">
        <v>2389</v>
      </c>
      <c r="C258" s="2">
        <v>4132</v>
      </c>
      <c r="D258" s="2" t="s">
        <v>645</v>
      </c>
      <c r="E258" s="9" t="s">
        <v>1582</v>
      </c>
      <c r="F258" s="9" t="s">
        <v>897</v>
      </c>
      <c r="G258" s="1">
        <v>1707.8575000000001</v>
      </c>
      <c r="H258" s="2">
        <v>494</v>
      </c>
      <c r="I258" s="2">
        <v>2</v>
      </c>
      <c r="J258" s="1">
        <v>1707.8670999999999</v>
      </c>
      <c r="K258" s="1">
        <v>854.93600000000004</v>
      </c>
      <c r="L258" s="9" t="s">
        <v>898</v>
      </c>
      <c r="M258" s="2">
        <v>6.22</v>
      </c>
      <c r="N258" s="4">
        <v>6315.86</v>
      </c>
      <c r="O258" s="1">
        <v>5.6144553510438202</v>
      </c>
      <c r="P258" s="6">
        <v>42.5</v>
      </c>
      <c r="Q258" s="6">
        <v>25.2</v>
      </c>
      <c r="R258" s="6">
        <v>12.3</v>
      </c>
      <c r="S258" s="6">
        <v>9.3000000000000007</v>
      </c>
      <c r="T258" s="5">
        <v>3.6999999999999998E-5</v>
      </c>
      <c r="U258" s="1">
        <v>9.5999999999999992E-3</v>
      </c>
      <c r="V258" s="1">
        <v>6.2972999999999999</v>
      </c>
    </row>
    <row r="259" spans="1:22" x14ac:dyDescent="0.25">
      <c r="A259" s="1">
        <v>0.99950000000000006</v>
      </c>
      <c r="B259" s="9" t="s">
        <v>2390</v>
      </c>
      <c r="C259" s="2">
        <v>4173</v>
      </c>
      <c r="D259" s="2" t="s">
        <v>321</v>
      </c>
      <c r="E259" s="9" t="s">
        <v>2391</v>
      </c>
      <c r="F259" s="9" t="s">
        <v>2392</v>
      </c>
      <c r="G259" s="1">
        <v>1746.9855</v>
      </c>
      <c r="H259" s="2">
        <v>495</v>
      </c>
      <c r="I259" s="2">
        <v>3</v>
      </c>
      <c r="J259" s="1">
        <v>1746.9846</v>
      </c>
      <c r="K259" s="1">
        <v>583.33579999999995</v>
      </c>
      <c r="L259" s="9" t="s">
        <v>2393</v>
      </c>
      <c r="M259" s="2">
        <v>8.75</v>
      </c>
      <c r="N259" s="4">
        <v>6364.86</v>
      </c>
      <c r="O259" s="1">
        <v>-0.51428353960103257</v>
      </c>
      <c r="P259" s="6">
        <v>38.9</v>
      </c>
      <c r="Q259" s="6">
        <v>25.4</v>
      </c>
      <c r="R259" s="6">
        <v>10.199999999999999</v>
      </c>
      <c r="S259" s="6">
        <v>10.3</v>
      </c>
      <c r="T259" s="5">
        <v>3.2000000000000002E-3</v>
      </c>
      <c r="U259" s="1">
        <v>-8.9999999999999998E-4</v>
      </c>
      <c r="V259" s="1">
        <v>5.3116000000000003</v>
      </c>
    </row>
    <row r="260" spans="1:22" x14ac:dyDescent="0.25">
      <c r="A260" s="1">
        <v>0.99990000000000001</v>
      </c>
      <c r="B260" s="9" t="s">
        <v>2394</v>
      </c>
      <c r="C260" s="2">
        <v>4199</v>
      </c>
      <c r="D260" s="2" t="s">
        <v>56</v>
      </c>
      <c r="E260" s="9" t="s">
        <v>2391</v>
      </c>
      <c r="F260" s="9" t="s">
        <v>2392</v>
      </c>
      <c r="G260" s="1">
        <v>1746.9855</v>
      </c>
      <c r="H260" s="2">
        <v>496</v>
      </c>
      <c r="I260" s="2">
        <v>3</v>
      </c>
      <c r="J260" s="1">
        <v>1746.9894999999999</v>
      </c>
      <c r="K260" s="1">
        <v>583.33579999999995</v>
      </c>
      <c r="L260" s="9" t="s">
        <v>2393</v>
      </c>
      <c r="M260" s="2">
        <v>8.75</v>
      </c>
      <c r="N260" s="4">
        <v>6395.46</v>
      </c>
      <c r="O260" s="1">
        <v>2.2857046204490334</v>
      </c>
      <c r="P260" s="6">
        <v>47.4</v>
      </c>
      <c r="Q260" s="6">
        <v>29.9</v>
      </c>
      <c r="R260" s="6">
        <v>12.7</v>
      </c>
      <c r="S260" s="6">
        <v>11.8</v>
      </c>
      <c r="T260" s="5">
        <v>2.4000000000000001E-4</v>
      </c>
      <c r="U260" s="1">
        <v>4.0000000000000001E-3</v>
      </c>
      <c r="V260" s="1">
        <v>6.8712999999999997</v>
      </c>
    </row>
    <row r="261" spans="1:22" x14ac:dyDescent="0.25">
      <c r="A261" s="1">
        <v>0.9929</v>
      </c>
      <c r="B261" s="9" t="s">
        <v>2395</v>
      </c>
      <c r="C261" s="2">
        <v>4265</v>
      </c>
      <c r="D261" s="2" t="s">
        <v>702</v>
      </c>
      <c r="E261" s="9" t="s">
        <v>2396</v>
      </c>
      <c r="F261" s="9" t="s">
        <v>282</v>
      </c>
      <c r="G261" s="1">
        <v>1308.6569999999999</v>
      </c>
      <c r="H261" s="2">
        <v>849</v>
      </c>
      <c r="I261" s="2">
        <v>2</v>
      </c>
      <c r="J261" s="1">
        <v>1308.6478999999999</v>
      </c>
      <c r="K261" s="1">
        <v>655.33579999999995</v>
      </c>
      <c r="L261" s="9" t="s">
        <v>283</v>
      </c>
      <c r="M261" s="2">
        <v>5.08</v>
      </c>
      <c r="N261" s="4">
        <v>6470.06</v>
      </c>
      <c r="O261" s="1">
        <v>-6.9430054027263592</v>
      </c>
      <c r="P261" s="6">
        <v>36.5</v>
      </c>
      <c r="Q261" s="6">
        <v>24.5</v>
      </c>
      <c r="R261" s="6">
        <v>12.2</v>
      </c>
      <c r="S261" s="6">
        <v>9.3000000000000007</v>
      </c>
      <c r="T261" s="5">
        <v>5.4000000000000003E-3</v>
      </c>
      <c r="U261" s="1">
        <v>-9.1000000000000004E-3</v>
      </c>
      <c r="V261" s="1">
        <v>4.5049000000000001</v>
      </c>
    </row>
    <row r="262" spans="1:22" x14ac:dyDescent="0.25">
      <c r="A262" s="1">
        <v>0.95879999999999999</v>
      </c>
      <c r="B262" s="9" t="s">
        <v>2397</v>
      </c>
      <c r="C262" s="2">
        <v>4285</v>
      </c>
      <c r="D262" s="2" t="s">
        <v>511</v>
      </c>
      <c r="E262" s="9" t="s">
        <v>1036</v>
      </c>
      <c r="F262" s="9" t="s">
        <v>944</v>
      </c>
      <c r="G262" s="1">
        <v>1204.6161999999999</v>
      </c>
      <c r="H262" s="2">
        <v>497</v>
      </c>
      <c r="I262" s="2">
        <v>2</v>
      </c>
      <c r="J262" s="1">
        <v>1204.6179999999999</v>
      </c>
      <c r="K262" s="1">
        <v>603.31539999999995</v>
      </c>
      <c r="L262" s="9" t="s">
        <v>945</v>
      </c>
      <c r="M262" s="2">
        <v>6.19</v>
      </c>
      <c r="N262" s="4">
        <v>6493.07</v>
      </c>
      <c r="O262" s="1">
        <v>1.4917570478061726</v>
      </c>
      <c r="P262" s="6">
        <v>27.9</v>
      </c>
      <c r="Q262" s="6">
        <v>21.8</v>
      </c>
      <c r="R262" s="6">
        <v>6.1</v>
      </c>
      <c r="S262" s="6">
        <v>9.8000000000000007</v>
      </c>
      <c r="T262" s="5">
        <v>0.34</v>
      </c>
      <c r="U262" s="1">
        <v>1.8E-3</v>
      </c>
      <c r="V262" s="1">
        <v>2.0520999999999998</v>
      </c>
    </row>
    <row r="263" spans="1:22" x14ac:dyDescent="0.25">
      <c r="A263" s="1">
        <v>0.97450000000000003</v>
      </c>
      <c r="B263" s="9" t="s">
        <v>2398</v>
      </c>
      <c r="C263" s="2">
        <v>4320</v>
      </c>
      <c r="D263" s="2" t="s">
        <v>2399</v>
      </c>
      <c r="E263" s="9" t="s">
        <v>2400</v>
      </c>
      <c r="F263" s="9" t="s">
        <v>1961</v>
      </c>
      <c r="G263" s="1">
        <v>3036.4506999999999</v>
      </c>
      <c r="H263" s="2">
        <v>850</v>
      </c>
      <c r="I263" s="2">
        <v>3</v>
      </c>
      <c r="J263" s="1">
        <v>3036.4337999999998</v>
      </c>
      <c r="K263" s="1">
        <v>1013.1575</v>
      </c>
      <c r="L263" s="9" t="s">
        <v>1962</v>
      </c>
      <c r="M263" s="2">
        <v>4.43</v>
      </c>
      <c r="N263" s="4">
        <v>6541.57</v>
      </c>
      <c r="O263" s="1">
        <v>-5.5601753264752345</v>
      </c>
      <c r="P263" s="6">
        <v>40.9</v>
      </c>
      <c r="Q263" s="6">
        <v>29</v>
      </c>
      <c r="R263" s="6">
        <v>12.4</v>
      </c>
      <c r="S263" s="6">
        <v>10.199999999999999</v>
      </c>
      <c r="T263" s="5">
        <v>3.8E-3</v>
      </c>
      <c r="U263" s="1">
        <v>-1.6899999999999998E-2</v>
      </c>
      <c r="V263" s="1">
        <v>3.3502000000000001</v>
      </c>
    </row>
    <row r="264" spans="1:22" x14ac:dyDescent="0.25">
      <c r="A264" s="1">
        <v>0.99160000000000004</v>
      </c>
      <c r="B264" s="9" t="s">
        <v>2401</v>
      </c>
      <c r="C264" s="2">
        <v>4338</v>
      </c>
      <c r="D264" s="2" t="s">
        <v>670</v>
      </c>
      <c r="E264" s="9" t="s">
        <v>1623</v>
      </c>
      <c r="F264" s="9" t="s">
        <v>1624</v>
      </c>
      <c r="G264" s="1">
        <v>2029.1757</v>
      </c>
      <c r="H264" s="2">
        <v>1083</v>
      </c>
      <c r="I264" s="2">
        <v>2</v>
      </c>
      <c r="J264" s="1">
        <v>2029.1438000000001</v>
      </c>
      <c r="K264" s="1">
        <v>1015.5951</v>
      </c>
      <c r="L264" s="9" t="s">
        <v>789</v>
      </c>
      <c r="M264" s="2">
        <v>8.75</v>
      </c>
      <c r="N264" s="4">
        <v>6564.37</v>
      </c>
      <c r="O264" s="1">
        <v>-15.705077742104113</v>
      </c>
      <c r="P264" s="6">
        <v>40.9</v>
      </c>
      <c r="Q264" s="6">
        <v>26.2</v>
      </c>
      <c r="R264" s="6">
        <v>12.5</v>
      </c>
      <c r="S264" s="6">
        <v>13.3</v>
      </c>
      <c r="T264" s="5">
        <v>3.5E-4</v>
      </c>
      <c r="U264" s="1">
        <v>-3.1899999999999998E-2</v>
      </c>
      <c r="V264" s="1">
        <v>4.6402000000000001</v>
      </c>
    </row>
    <row r="265" spans="1:22" x14ac:dyDescent="0.25">
      <c r="A265" s="1">
        <v>0.98909999999999998</v>
      </c>
      <c r="B265" s="9" t="s">
        <v>2402</v>
      </c>
      <c r="C265" s="2">
        <v>4357</v>
      </c>
      <c r="D265" s="2" t="s">
        <v>645</v>
      </c>
      <c r="E265" s="9" t="s">
        <v>2403</v>
      </c>
      <c r="F265" s="9" t="s">
        <v>944</v>
      </c>
      <c r="G265" s="1">
        <v>1700.8806999999999</v>
      </c>
      <c r="H265" s="2">
        <v>851</v>
      </c>
      <c r="I265" s="2">
        <v>2</v>
      </c>
      <c r="J265" s="1">
        <v>1700.8598</v>
      </c>
      <c r="K265" s="1">
        <v>851.44759999999997</v>
      </c>
      <c r="L265" s="9" t="s">
        <v>945</v>
      </c>
      <c r="M265" s="2">
        <v>4.75</v>
      </c>
      <c r="N265" s="4">
        <v>6586.27</v>
      </c>
      <c r="O265" s="1">
        <v>-12.273215638871964</v>
      </c>
      <c r="P265" s="6">
        <v>42.8</v>
      </c>
      <c r="Q265" s="6">
        <v>29.3</v>
      </c>
      <c r="R265" s="6">
        <v>10.6</v>
      </c>
      <c r="S265" s="6">
        <v>8.3000000000000007</v>
      </c>
      <c r="T265" s="5">
        <v>3.0999999999999999E-3</v>
      </c>
      <c r="U265" s="1">
        <v>-2.0899999999999998E-2</v>
      </c>
      <c r="V265" s="1">
        <v>4.0894000000000004</v>
      </c>
    </row>
    <row r="266" spans="1:22" x14ac:dyDescent="0.25">
      <c r="A266" s="1">
        <v>0.99570000000000003</v>
      </c>
      <c r="B266" s="9" t="s">
        <v>2404</v>
      </c>
      <c r="C266" s="2">
        <v>4363</v>
      </c>
      <c r="D266" s="2" t="s">
        <v>154</v>
      </c>
      <c r="E266" s="9" t="s">
        <v>2405</v>
      </c>
      <c r="F266" s="9" t="s">
        <v>340</v>
      </c>
      <c r="G266" s="1">
        <v>1108.5838000000001</v>
      </c>
      <c r="H266" s="2">
        <v>500</v>
      </c>
      <c r="I266" s="2">
        <v>2</v>
      </c>
      <c r="J266" s="1">
        <v>1108.5746999999999</v>
      </c>
      <c r="K266" s="1">
        <v>555.29920000000004</v>
      </c>
      <c r="L266" s="9" t="s">
        <v>341</v>
      </c>
      <c r="M266" s="2">
        <v>5.88</v>
      </c>
      <c r="N266" s="4">
        <v>6594.87</v>
      </c>
      <c r="O266" s="1">
        <v>-8.1937809382761575</v>
      </c>
      <c r="P266" s="6">
        <v>35.5</v>
      </c>
      <c r="Q266" s="6">
        <v>24.5</v>
      </c>
      <c r="R266" s="6">
        <v>11</v>
      </c>
      <c r="S266" s="6">
        <v>11.3</v>
      </c>
      <c r="T266" s="5">
        <v>4.2000000000000003E-2</v>
      </c>
      <c r="U266" s="1">
        <v>-9.1000000000000004E-3</v>
      </c>
      <c r="V266" s="1">
        <v>3.7433000000000001</v>
      </c>
    </row>
    <row r="267" spans="1:22" x14ac:dyDescent="0.25">
      <c r="A267" s="1">
        <v>0.99309999999999998</v>
      </c>
      <c r="B267" s="9" t="s">
        <v>2406</v>
      </c>
      <c r="C267" s="2">
        <v>4373</v>
      </c>
      <c r="D267" s="2" t="s">
        <v>178</v>
      </c>
      <c r="E267" s="9" t="s">
        <v>2407</v>
      </c>
      <c r="F267" s="9" t="s">
        <v>2408</v>
      </c>
      <c r="G267" s="1">
        <v>1335.8602000000001</v>
      </c>
      <c r="H267" s="2">
        <v>501</v>
      </c>
      <c r="I267" s="2">
        <v>2</v>
      </c>
      <c r="J267" s="1">
        <v>1335.8545999999999</v>
      </c>
      <c r="K267" s="1">
        <v>668.93740000000003</v>
      </c>
      <c r="L267" s="9" t="s">
        <v>673</v>
      </c>
      <c r="M267" s="2">
        <v>9.7899999999999991</v>
      </c>
      <c r="N267" s="4">
        <v>6605.77</v>
      </c>
      <c r="O267" s="1">
        <v>-4.1857429409687663</v>
      </c>
      <c r="P267" s="6">
        <v>37.799999999999997</v>
      </c>
      <c r="Q267" s="6">
        <v>27.8</v>
      </c>
      <c r="R267" s="6">
        <v>11</v>
      </c>
      <c r="S267" s="6">
        <v>9.3000000000000007</v>
      </c>
      <c r="T267" s="5">
        <v>2.5999999999999999E-2</v>
      </c>
      <c r="U267" s="1">
        <v>-5.5999999999999999E-3</v>
      </c>
      <c r="V267" s="1">
        <v>3.1934999999999998</v>
      </c>
    </row>
    <row r="268" spans="1:22" x14ac:dyDescent="0.25">
      <c r="A268" s="1">
        <v>0.99219999999999997</v>
      </c>
      <c r="B268" s="9" t="s">
        <v>2409</v>
      </c>
      <c r="C268" s="2">
        <v>4378</v>
      </c>
      <c r="D268" s="2" t="s">
        <v>630</v>
      </c>
      <c r="E268" s="9" t="s">
        <v>2410</v>
      </c>
      <c r="F268" s="9" t="s">
        <v>953</v>
      </c>
      <c r="G268" s="1">
        <v>1783.0166999999999</v>
      </c>
      <c r="H268" s="2">
        <v>626</v>
      </c>
      <c r="I268" s="2">
        <v>2</v>
      </c>
      <c r="J268" s="1">
        <v>1782.9878000000001</v>
      </c>
      <c r="K268" s="1">
        <v>892.51559999999995</v>
      </c>
      <c r="L268" s="9" t="s">
        <v>954</v>
      </c>
      <c r="M268" s="2">
        <v>6.25</v>
      </c>
      <c r="N268" s="4">
        <v>6616.52</v>
      </c>
      <c r="O268" s="1">
        <v>-16.190193202225259</v>
      </c>
      <c r="P268" s="6">
        <v>40</v>
      </c>
      <c r="Q268" s="6">
        <v>23.6</v>
      </c>
      <c r="R268" s="6">
        <v>11.8</v>
      </c>
      <c r="S268" s="6">
        <v>12.2</v>
      </c>
      <c r="T268" s="5">
        <v>5.5999999999999995E-4</v>
      </c>
      <c r="U268" s="1">
        <v>-2.8899999999999999E-2</v>
      </c>
      <c r="V268" s="1">
        <v>5.1870000000000003</v>
      </c>
    </row>
    <row r="269" spans="1:22" x14ac:dyDescent="0.25">
      <c r="A269" s="1">
        <v>0.99390000000000001</v>
      </c>
      <c r="B269" s="9" t="s">
        <v>2411</v>
      </c>
      <c r="C269" s="2">
        <v>4396</v>
      </c>
      <c r="D269" s="2" t="s">
        <v>326</v>
      </c>
      <c r="E269" s="9" t="s">
        <v>2412</v>
      </c>
      <c r="F269" s="9" t="s">
        <v>97</v>
      </c>
      <c r="G269" s="1">
        <v>1232.6477</v>
      </c>
      <c r="H269" s="2">
        <v>852</v>
      </c>
      <c r="I269" s="2">
        <v>2</v>
      </c>
      <c r="J269" s="1">
        <v>1232.6193000000001</v>
      </c>
      <c r="K269" s="1">
        <v>617.33109999999999</v>
      </c>
      <c r="L269" s="9" t="s">
        <v>98</v>
      </c>
      <c r="M269" s="2">
        <v>6.22</v>
      </c>
      <c r="N269" s="4">
        <v>6640.17</v>
      </c>
      <c r="O269" s="1">
        <v>-23.002243042671918</v>
      </c>
      <c r="P269" s="6">
        <v>42.5</v>
      </c>
      <c r="Q269" s="6">
        <v>28.2</v>
      </c>
      <c r="R269" s="6">
        <v>11.6</v>
      </c>
      <c r="S269" s="6">
        <v>11.2</v>
      </c>
      <c r="T269" s="5">
        <v>6.4000000000000003E-3</v>
      </c>
      <c r="U269" s="1">
        <v>-2.8400000000000002E-2</v>
      </c>
      <c r="V269" s="1">
        <v>4.6582999999999997</v>
      </c>
    </row>
    <row r="270" spans="1:22" x14ac:dyDescent="0.25">
      <c r="A270" s="1">
        <v>0.99990000000000001</v>
      </c>
      <c r="B270" s="9" t="s">
        <v>2413</v>
      </c>
      <c r="C270" s="2">
        <v>4437</v>
      </c>
      <c r="D270" s="2" t="s">
        <v>115</v>
      </c>
      <c r="E270" s="9" t="s">
        <v>618</v>
      </c>
      <c r="F270" s="9" t="s">
        <v>619</v>
      </c>
      <c r="G270" s="1">
        <v>1641.8336999999999</v>
      </c>
      <c r="H270" s="2">
        <v>503</v>
      </c>
      <c r="I270" s="2">
        <v>2</v>
      </c>
      <c r="J270" s="1">
        <v>1641.829</v>
      </c>
      <c r="K270" s="1">
        <v>821.92409999999995</v>
      </c>
      <c r="L270" s="9" t="s">
        <v>571</v>
      </c>
      <c r="M270" s="2">
        <v>6.76</v>
      </c>
      <c r="N270" s="4">
        <v>6690.28</v>
      </c>
      <c r="O270" s="1">
        <v>-2.8591447799133767</v>
      </c>
      <c r="P270" s="6">
        <v>46.5</v>
      </c>
      <c r="Q270" s="6">
        <v>29.7</v>
      </c>
      <c r="R270" s="6">
        <v>9.6</v>
      </c>
      <c r="S270" s="6">
        <v>12.5</v>
      </c>
      <c r="T270" s="5">
        <v>6.8999999999999996E-7</v>
      </c>
      <c r="U270" s="1">
        <v>-4.7000000000000002E-3</v>
      </c>
      <c r="V270" s="1">
        <v>8.2987000000000002</v>
      </c>
    </row>
    <row r="271" spans="1:22" x14ac:dyDescent="0.25">
      <c r="A271" s="1">
        <v>0.99319999999999997</v>
      </c>
      <c r="B271" s="9" t="s">
        <v>2414</v>
      </c>
      <c r="C271" s="2">
        <v>4439</v>
      </c>
      <c r="D271" s="2" t="s">
        <v>479</v>
      </c>
      <c r="E271" s="9" t="s">
        <v>2415</v>
      </c>
      <c r="F271" s="9" t="s">
        <v>748</v>
      </c>
      <c r="G271" s="1">
        <v>1604.933</v>
      </c>
      <c r="H271" s="2">
        <v>504</v>
      </c>
      <c r="I271" s="2">
        <v>2</v>
      </c>
      <c r="J271" s="1">
        <v>1604.9290000000001</v>
      </c>
      <c r="K271" s="1">
        <v>803.47379999999998</v>
      </c>
      <c r="L271" s="9" t="s">
        <v>749</v>
      </c>
      <c r="M271" s="2">
        <v>8.75</v>
      </c>
      <c r="N271" s="4">
        <v>6693.48</v>
      </c>
      <c r="O271" s="1">
        <v>-2.4891913090383286</v>
      </c>
      <c r="P271" s="6">
        <v>32.1</v>
      </c>
      <c r="Q271" s="6">
        <v>23.3</v>
      </c>
      <c r="R271" s="6">
        <v>12.5</v>
      </c>
      <c r="S271" s="6">
        <v>6.1</v>
      </c>
      <c r="T271" s="5">
        <v>3.1E-2</v>
      </c>
      <c r="U271" s="1">
        <v>-4.0000000000000001E-3</v>
      </c>
      <c r="V271" s="1">
        <v>3.1581000000000001</v>
      </c>
    </row>
    <row r="272" spans="1:22" x14ac:dyDescent="0.25">
      <c r="A272" s="1">
        <v>0.99790000000000001</v>
      </c>
      <c r="B272" s="9" t="s">
        <v>2416</v>
      </c>
      <c r="C272" s="2">
        <v>4442</v>
      </c>
      <c r="D272" s="2" t="s">
        <v>141</v>
      </c>
      <c r="E272" s="9" t="s">
        <v>2417</v>
      </c>
      <c r="F272" s="9" t="s">
        <v>2418</v>
      </c>
      <c r="G272" s="1">
        <v>1357.7638999999999</v>
      </c>
      <c r="H272" s="2">
        <v>505</v>
      </c>
      <c r="I272" s="2">
        <v>2</v>
      </c>
      <c r="J272" s="1">
        <v>1357.7624000000001</v>
      </c>
      <c r="K272" s="1">
        <v>679.88919999999996</v>
      </c>
      <c r="L272" s="9" t="s">
        <v>64</v>
      </c>
      <c r="M272" s="2">
        <v>5.96</v>
      </c>
      <c r="N272" s="4">
        <v>6697.78</v>
      </c>
      <c r="O272" s="1">
        <v>-1.1031209202911298</v>
      </c>
      <c r="P272" s="6">
        <v>49.8</v>
      </c>
      <c r="Q272" s="6">
        <v>33.4</v>
      </c>
      <c r="R272" s="6">
        <v>12</v>
      </c>
      <c r="S272" s="6">
        <v>13.2</v>
      </c>
      <c r="T272" s="5">
        <v>3.0999999999999999E-3</v>
      </c>
      <c r="U272" s="1">
        <v>-1.5E-3</v>
      </c>
      <c r="V272" s="1">
        <v>4.7752999999999997</v>
      </c>
    </row>
    <row r="273" spans="1:22" x14ac:dyDescent="0.25">
      <c r="A273" s="1">
        <v>0.99750000000000005</v>
      </c>
      <c r="B273" s="9" t="s">
        <v>2419</v>
      </c>
      <c r="C273" s="2">
        <v>4454</v>
      </c>
      <c r="D273" s="2" t="s">
        <v>451</v>
      </c>
      <c r="E273" s="9" t="s">
        <v>2420</v>
      </c>
      <c r="F273" s="9" t="s">
        <v>304</v>
      </c>
      <c r="G273" s="1">
        <v>1688.8841</v>
      </c>
      <c r="H273" s="2">
        <v>629</v>
      </c>
      <c r="I273" s="2">
        <v>2</v>
      </c>
      <c r="J273" s="1">
        <v>1688.8788999999999</v>
      </c>
      <c r="K273" s="1">
        <v>845.44929999999999</v>
      </c>
      <c r="L273" s="9" t="s">
        <v>118</v>
      </c>
      <c r="M273" s="2">
        <v>6.21</v>
      </c>
      <c r="N273" s="4">
        <v>6714.13</v>
      </c>
      <c r="O273" s="1">
        <v>-3.0752878972163087</v>
      </c>
      <c r="P273" s="6">
        <v>36.4</v>
      </c>
      <c r="Q273" s="6">
        <v>26</v>
      </c>
      <c r="R273" s="6">
        <v>11.8</v>
      </c>
      <c r="S273" s="6">
        <v>10.5</v>
      </c>
      <c r="T273" s="5">
        <v>4.4999999999999997E-3</v>
      </c>
      <c r="U273" s="1">
        <v>-5.1999999999999998E-3</v>
      </c>
      <c r="V273" s="1">
        <v>3.9325000000000001</v>
      </c>
    </row>
    <row r="274" spans="1:22" x14ac:dyDescent="0.25">
      <c r="A274" s="1">
        <v>0.99750000000000005</v>
      </c>
      <c r="B274" s="9" t="s">
        <v>2421</v>
      </c>
      <c r="C274" s="2">
        <v>4456</v>
      </c>
      <c r="D274" s="2" t="s">
        <v>280</v>
      </c>
      <c r="E274" s="9" t="s">
        <v>2422</v>
      </c>
      <c r="F274" s="9" t="s">
        <v>602</v>
      </c>
      <c r="G274" s="1">
        <v>1488.8257000000001</v>
      </c>
      <c r="H274" s="2">
        <v>853</v>
      </c>
      <c r="I274" s="2">
        <v>2</v>
      </c>
      <c r="J274" s="1">
        <v>1488.8098</v>
      </c>
      <c r="K274" s="1">
        <v>745.42010000000005</v>
      </c>
      <c r="L274" s="9" t="s">
        <v>603</v>
      </c>
      <c r="M274" s="2">
        <v>4.21</v>
      </c>
      <c r="N274" s="4">
        <v>6715.18</v>
      </c>
      <c r="O274" s="1">
        <v>-10.665126953244219</v>
      </c>
      <c r="P274" s="6">
        <v>44.3</v>
      </c>
      <c r="Q274" s="6">
        <v>28.8</v>
      </c>
      <c r="R274" s="6">
        <v>12.1</v>
      </c>
      <c r="S274" s="6">
        <v>13.9</v>
      </c>
      <c r="T274" s="5">
        <v>1.7000000000000001E-4</v>
      </c>
      <c r="U274" s="1">
        <v>-1.5900000000000001E-2</v>
      </c>
      <c r="V274" s="1">
        <v>5.8044000000000002</v>
      </c>
    </row>
    <row r="275" spans="1:22" x14ac:dyDescent="0.25">
      <c r="A275" s="1">
        <v>0.95860000000000001</v>
      </c>
      <c r="B275" s="9" t="s">
        <v>2423</v>
      </c>
      <c r="C275" s="2">
        <v>4460</v>
      </c>
      <c r="D275" s="2" t="s">
        <v>278</v>
      </c>
      <c r="E275" s="9" t="s">
        <v>2424</v>
      </c>
      <c r="F275" s="9" t="s">
        <v>2425</v>
      </c>
      <c r="G275" s="1">
        <v>1648.9949999999999</v>
      </c>
      <c r="H275" s="2">
        <v>854</v>
      </c>
      <c r="I275" s="2">
        <v>2</v>
      </c>
      <c r="J275" s="1">
        <v>1648.9921999999999</v>
      </c>
      <c r="K275" s="1">
        <v>825.50480000000005</v>
      </c>
      <c r="L275" s="9" t="s">
        <v>2426</v>
      </c>
      <c r="M275" s="2">
        <v>11</v>
      </c>
      <c r="N275" s="4">
        <v>6720.58</v>
      </c>
      <c r="O275" s="1">
        <v>-1.6959319921580103</v>
      </c>
      <c r="P275" s="6">
        <v>51.3</v>
      </c>
      <c r="Q275" s="6">
        <v>39</v>
      </c>
      <c r="R275" s="6">
        <v>11.8</v>
      </c>
      <c r="S275" s="6">
        <v>12.8</v>
      </c>
      <c r="T275" s="5">
        <v>2.5999999999999999E-2</v>
      </c>
      <c r="U275" s="1">
        <v>-2.8E-3</v>
      </c>
      <c r="V275" s="1">
        <v>2.9859</v>
      </c>
    </row>
    <row r="276" spans="1:22" x14ac:dyDescent="0.25">
      <c r="A276" s="1">
        <v>0.95979999999999999</v>
      </c>
      <c r="B276" s="9" t="s">
        <v>2427</v>
      </c>
      <c r="C276" s="2">
        <v>4469</v>
      </c>
      <c r="D276" s="2" t="s">
        <v>2428</v>
      </c>
      <c r="E276" s="9" t="s">
        <v>2429</v>
      </c>
      <c r="F276" s="9" t="s">
        <v>170</v>
      </c>
      <c r="G276" s="1">
        <v>3665.7707</v>
      </c>
      <c r="H276" s="2">
        <v>855</v>
      </c>
      <c r="I276" s="2">
        <v>4</v>
      </c>
      <c r="J276" s="1">
        <v>3665.8231999999998</v>
      </c>
      <c r="K276" s="1">
        <v>917.45</v>
      </c>
      <c r="L276" s="9" t="s">
        <v>64</v>
      </c>
      <c r="M276" s="2">
        <v>4.43</v>
      </c>
      <c r="N276" s="4">
        <v>6731.48</v>
      </c>
      <c r="O276" s="1">
        <v>14.305956727887077</v>
      </c>
      <c r="P276" s="6">
        <v>42.1</v>
      </c>
      <c r="Q276" s="6">
        <v>30.2</v>
      </c>
      <c r="R276" s="6">
        <v>12.4</v>
      </c>
      <c r="S276" s="6">
        <v>9.8000000000000007</v>
      </c>
      <c r="T276" s="5">
        <v>1.4E-2</v>
      </c>
      <c r="U276" s="1">
        <v>5.2499999999999998E-2</v>
      </c>
      <c r="V276" s="1">
        <v>2.7086000000000001</v>
      </c>
    </row>
    <row r="277" spans="1:22" x14ac:dyDescent="0.25">
      <c r="A277" s="1">
        <v>1</v>
      </c>
      <c r="B277" s="9" t="s">
        <v>2430</v>
      </c>
      <c r="C277" s="2">
        <v>4507</v>
      </c>
      <c r="D277" s="2" t="s">
        <v>1797</v>
      </c>
      <c r="E277" s="9" t="s">
        <v>2431</v>
      </c>
      <c r="F277" s="9" t="s">
        <v>2160</v>
      </c>
      <c r="G277" s="1">
        <v>2432.4077000000002</v>
      </c>
      <c r="H277" s="2">
        <v>857</v>
      </c>
      <c r="I277" s="2">
        <v>3</v>
      </c>
      <c r="J277" s="1">
        <v>2432.4238999999998</v>
      </c>
      <c r="K277" s="1">
        <v>811.8098</v>
      </c>
      <c r="L277" s="9" t="s">
        <v>2161</v>
      </c>
      <c r="M277" s="2">
        <v>8.56</v>
      </c>
      <c r="N277" s="4">
        <v>6782.28</v>
      </c>
      <c r="O277" s="1">
        <v>6.6518044004888823</v>
      </c>
      <c r="P277" s="6">
        <v>59.3</v>
      </c>
      <c r="Q277" s="6">
        <v>31.3</v>
      </c>
      <c r="R277" s="6">
        <v>11.5</v>
      </c>
      <c r="S277" s="6">
        <v>13.4</v>
      </c>
      <c r="T277" s="5">
        <v>6.5999999999999995E-8</v>
      </c>
      <c r="U277" s="1">
        <v>1.6199999999999999E-2</v>
      </c>
      <c r="V277" s="1">
        <v>9.2632999999999992</v>
      </c>
    </row>
    <row r="278" spans="1:22" x14ac:dyDescent="0.25">
      <c r="A278" s="1">
        <v>0.96</v>
      </c>
      <c r="B278" s="9" t="s">
        <v>2432</v>
      </c>
      <c r="C278" s="2">
        <v>4523</v>
      </c>
      <c r="D278" s="2" t="s">
        <v>1651</v>
      </c>
      <c r="E278" s="9" t="s">
        <v>2433</v>
      </c>
      <c r="F278" s="9" t="s">
        <v>2160</v>
      </c>
      <c r="G278" s="1">
        <v>1907.0667000000001</v>
      </c>
      <c r="H278" s="2">
        <v>860</v>
      </c>
      <c r="I278" s="2">
        <v>2</v>
      </c>
      <c r="J278" s="1">
        <v>1907.0817999999999</v>
      </c>
      <c r="K278" s="1">
        <v>954.54060000000004</v>
      </c>
      <c r="L278" s="9" t="s">
        <v>2161</v>
      </c>
      <c r="M278" s="2">
        <v>9.75</v>
      </c>
      <c r="N278" s="4">
        <v>6800.78</v>
      </c>
      <c r="O278" s="1">
        <v>7.9095640353066177</v>
      </c>
      <c r="P278" s="6">
        <v>49.2</v>
      </c>
      <c r="Q278" s="6">
        <v>49.2</v>
      </c>
      <c r="R278" s="6">
        <v>10.6</v>
      </c>
      <c r="S278" s="6">
        <v>12.8</v>
      </c>
      <c r="T278" s="5">
        <v>6.4999999999999996E-6</v>
      </c>
      <c r="U278" s="1">
        <v>1.5100000000000001E-2</v>
      </c>
      <c r="V278" s="1">
        <v>4.9043000000000001</v>
      </c>
    </row>
    <row r="279" spans="1:22" x14ac:dyDescent="0.25">
      <c r="A279" s="1">
        <v>0.99739999999999995</v>
      </c>
      <c r="B279" s="9" t="s">
        <v>2434</v>
      </c>
      <c r="C279" s="2">
        <v>4550</v>
      </c>
      <c r="D279" s="2" t="s">
        <v>370</v>
      </c>
      <c r="E279" s="9" t="s">
        <v>2435</v>
      </c>
      <c r="F279" s="9" t="s">
        <v>290</v>
      </c>
      <c r="G279" s="1">
        <v>1260.6635000000001</v>
      </c>
      <c r="H279" s="2">
        <v>506</v>
      </c>
      <c r="I279" s="2">
        <v>2</v>
      </c>
      <c r="J279" s="1">
        <v>1260.6612</v>
      </c>
      <c r="K279" s="1">
        <v>631.33900000000006</v>
      </c>
      <c r="L279" s="9" t="s">
        <v>291</v>
      </c>
      <c r="M279" s="2">
        <v>4.75</v>
      </c>
      <c r="N279" s="4">
        <v>6839.58</v>
      </c>
      <c r="O279" s="1">
        <v>-1.8215253611768001</v>
      </c>
      <c r="P279" s="6">
        <v>42.7</v>
      </c>
      <c r="Q279" s="6">
        <v>29.7</v>
      </c>
      <c r="R279" s="6">
        <v>10.6</v>
      </c>
      <c r="S279" s="6">
        <v>12.3</v>
      </c>
      <c r="T279" s="5">
        <v>1.6E-2</v>
      </c>
      <c r="U279" s="1">
        <v>-2.3E-3</v>
      </c>
      <c r="V279" s="1">
        <v>3.8635999999999999</v>
      </c>
    </row>
    <row r="280" spans="1:22" x14ac:dyDescent="0.25">
      <c r="A280" s="1">
        <v>0.95689999999999997</v>
      </c>
      <c r="B280" s="9" t="s">
        <v>2436</v>
      </c>
      <c r="C280" s="2">
        <v>4556</v>
      </c>
      <c r="D280" s="2" t="s">
        <v>343</v>
      </c>
      <c r="E280" s="9" t="s">
        <v>2437</v>
      </c>
      <c r="F280" s="9" t="s">
        <v>2438</v>
      </c>
      <c r="G280" s="1">
        <v>1162.5614</v>
      </c>
      <c r="H280" s="2">
        <v>259</v>
      </c>
      <c r="I280" s="2">
        <v>2</v>
      </c>
      <c r="J280" s="1">
        <v>1162.5658000000001</v>
      </c>
      <c r="K280" s="1">
        <v>582.28800000000001</v>
      </c>
      <c r="L280" s="9" t="s">
        <v>2063</v>
      </c>
      <c r="M280" s="2">
        <v>4.32</v>
      </c>
      <c r="N280" s="4">
        <v>6847.19</v>
      </c>
      <c r="O280" s="1">
        <v>3.77819910422334</v>
      </c>
      <c r="P280" s="6">
        <v>25.5</v>
      </c>
      <c r="Q280" s="6">
        <v>22</v>
      </c>
      <c r="R280" s="6">
        <v>10.5</v>
      </c>
      <c r="S280" s="6">
        <v>8.4</v>
      </c>
      <c r="T280" s="5">
        <v>0.16</v>
      </c>
      <c r="U280" s="1">
        <v>4.4000000000000003E-3</v>
      </c>
      <c r="V280" s="1">
        <v>2.1093999999999999</v>
      </c>
    </row>
    <row r="281" spans="1:22" x14ac:dyDescent="0.25">
      <c r="A281" s="1">
        <v>1</v>
      </c>
      <c r="B281" s="9" t="s">
        <v>2439</v>
      </c>
      <c r="C281" s="2">
        <v>4619</v>
      </c>
      <c r="D281" s="2" t="s">
        <v>770</v>
      </c>
      <c r="E281" s="9" t="s">
        <v>2440</v>
      </c>
      <c r="F281" s="9" t="s">
        <v>2392</v>
      </c>
      <c r="G281" s="1">
        <v>1894.0539000000001</v>
      </c>
      <c r="H281" s="2">
        <v>507</v>
      </c>
      <c r="I281" s="2">
        <v>3</v>
      </c>
      <c r="J281" s="1">
        <v>1894.0458000000001</v>
      </c>
      <c r="K281" s="1">
        <v>632.35860000000002</v>
      </c>
      <c r="L281" s="9" t="s">
        <v>2393</v>
      </c>
      <c r="M281" s="2">
        <v>8.75</v>
      </c>
      <c r="N281" s="4">
        <v>6924.49</v>
      </c>
      <c r="O281" s="1">
        <v>-4.2697292327486327</v>
      </c>
      <c r="P281" s="6">
        <v>43.8</v>
      </c>
      <c r="Q281" s="6">
        <v>28.4</v>
      </c>
      <c r="R281" s="6">
        <v>12.8</v>
      </c>
      <c r="S281" s="6">
        <v>13.2</v>
      </c>
      <c r="T281" s="5">
        <v>2.4000000000000001E-5</v>
      </c>
      <c r="U281" s="1">
        <v>-8.0999999999999996E-3</v>
      </c>
      <c r="V281" s="1">
        <v>7.7652999999999999</v>
      </c>
    </row>
    <row r="282" spans="1:22" x14ac:dyDescent="0.25">
      <c r="A282" s="1">
        <v>0.99460000000000004</v>
      </c>
      <c r="B282" s="9" t="s">
        <v>2441</v>
      </c>
      <c r="C282" s="2">
        <v>4622</v>
      </c>
      <c r="D282" s="2" t="s">
        <v>78</v>
      </c>
      <c r="E282" s="9" t="s">
        <v>2442</v>
      </c>
      <c r="F282" s="9" t="s">
        <v>282</v>
      </c>
      <c r="G282" s="1">
        <v>1218.6351999999999</v>
      </c>
      <c r="H282" s="2">
        <v>260</v>
      </c>
      <c r="I282" s="2">
        <v>2</v>
      </c>
      <c r="J282" s="1">
        <v>1218.6285</v>
      </c>
      <c r="K282" s="1">
        <v>610.32489999999996</v>
      </c>
      <c r="L282" s="9" t="s">
        <v>283</v>
      </c>
      <c r="M282" s="2">
        <v>5.94</v>
      </c>
      <c r="N282" s="4">
        <v>6929.79</v>
      </c>
      <c r="O282" s="1">
        <v>-5.488879775345886</v>
      </c>
      <c r="P282" s="6">
        <v>37.700000000000003</v>
      </c>
      <c r="Q282" s="6">
        <v>27.6</v>
      </c>
      <c r="R282" s="6">
        <v>9.9</v>
      </c>
      <c r="S282" s="6">
        <v>10.5</v>
      </c>
      <c r="T282" s="5">
        <v>8.2000000000000003E-2</v>
      </c>
      <c r="U282" s="1">
        <v>-6.7000000000000002E-3</v>
      </c>
      <c r="V282" s="1">
        <v>3.0209000000000001</v>
      </c>
    </row>
    <row r="283" spans="1:22" x14ac:dyDescent="0.25">
      <c r="A283" s="1">
        <v>0.99639999999999995</v>
      </c>
      <c r="B283" s="9" t="s">
        <v>2443</v>
      </c>
      <c r="C283" s="2">
        <v>4713</v>
      </c>
      <c r="D283" s="2" t="s">
        <v>331</v>
      </c>
      <c r="E283" s="9" t="s">
        <v>1707</v>
      </c>
      <c r="F283" s="9" t="s">
        <v>860</v>
      </c>
      <c r="G283" s="1">
        <v>1439.7807</v>
      </c>
      <c r="H283" s="2">
        <v>925</v>
      </c>
      <c r="I283" s="2">
        <v>2</v>
      </c>
      <c r="J283" s="1">
        <v>1439.7591</v>
      </c>
      <c r="K283" s="1">
        <v>720.89760000000001</v>
      </c>
      <c r="L283" s="9" t="s">
        <v>673</v>
      </c>
      <c r="M283" s="2">
        <v>6</v>
      </c>
      <c r="N283" s="4">
        <v>7036.05</v>
      </c>
      <c r="O283" s="1">
        <v>-14.981323283639728</v>
      </c>
      <c r="P283" s="6">
        <v>40.200000000000003</v>
      </c>
      <c r="Q283" s="6">
        <v>26.4</v>
      </c>
      <c r="R283" s="6">
        <v>11.2</v>
      </c>
      <c r="S283" s="6">
        <v>12.9</v>
      </c>
      <c r="T283" s="5">
        <v>4.0000000000000002E-4</v>
      </c>
      <c r="U283" s="1">
        <v>-2.1600000000000001E-2</v>
      </c>
      <c r="V283" s="1">
        <v>5.5993000000000004</v>
      </c>
    </row>
    <row r="284" spans="1:22" x14ac:dyDescent="0.25">
      <c r="A284" s="1">
        <v>0.99529999999999996</v>
      </c>
      <c r="B284" s="9" t="s">
        <v>2444</v>
      </c>
      <c r="C284" s="2">
        <v>4755</v>
      </c>
      <c r="D284" s="2" t="s">
        <v>1000</v>
      </c>
      <c r="E284" s="9" t="s">
        <v>2445</v>
      </c>
      <c r="F284" s="9" t="s">
        <v>1732</v>
      </c>
      <c r="G284" s="1">
        <v>1493.7437</v>
      </c>
      <c r="H284" s="2">
        <v>865</v>
      </c>
      <c r="I284" s="2">
        <v>2</v>
      </c>
      <c r="J284" s="1">
        <v>1493.7279000000001</v>
      </c>
      <c r="K284" s="1">
        <v>747.87909999999999</v>
      </c>
      <c r="L284" s="9" t="s">
        <v>1733</v>
      </c>
      <c r="M284" s="2">
        <v>4.21</v>
      </c>
      <c r="N284" s="4">
        <v>7083.1</v>
      </c>
      <c r="O284" s="1">
        <v>-10.563204667706319</v>
      </c>
      <c r="P284" s="6">
        <v>42.9</v>
      </c>
      <c r="Q284" s="6">
        <v>28.2</v>
      </c>
      <c r="R284" s="6">
        <v>11.6</v>
      </c>
      <c r="S284" s="6">
        <v>10.6</v>
      </c>
      <c r="T284" s="5">
        <v>1.6000000000000001E-3</v>
      </c>
      <c r="U284" s="1">
        <v>-1.5800000000000002E-2</v>
      </c>
      <c r="V284" s="1">
        <v>4.9561000000000002</v>
      </c>
    </row>
  </sheetData>
  <mergeCells count="1">
    <mergeCell ref="A2:I2"/>
  </mergeCells>
  <phoneticPr fontId="21" type="noConversion"/>
  <hyperlinks>
    <hyperlink ref="J1" location="'Supplementary Table 2'!A1" display="back to index"/>
  </hyperlinks>
  <pageMargins left="0.39000000000000007" right="0.39000000000000007" top="0.39000000000000007" bottom="0.39000000000000007" header="0" footer="0"/>
  <pageSetup orientation="landscape" r:id="rId1"/>
  <ignoredErrors>
    <ignoredError sqref="A5:N284 A4:N4 P4:V4 P5:V284" twoDigitTextYear="1"/>
  </ignoredError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05"/>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1"/>
    <col min="16" max="19" width="15.7109375" style="6"/>
    <col min="20" max="20" width="15.7109375" style="5"/>
    <col min="21" max="22" width="15.7109375" style="1"/>
    <col min="23" max="16384" width="15.7109375" style="2"/>
  </cols>
  <sheetData>
    <row r="1" spans="1:22" ht="15" customHeight="1" x14ac:dyDescent="0.25">
      <c r="A1" s="12" t="s">
        <v>5398</v>
      </c>
      <c r="J1" s="26" t="s">
        <v>5405</v>
      </c>
    </row>
    <row r="2" spans="1:22" s="21" customFormat="1" ht="90" customHeight="1" x14ac:dyDescent="0.25">
      <c r="A2" s="34" t="s">
        <v>5384</v>
      </c>
      <c r="B2" s="34"/>
      <c r="C2" s="34"/>
      <c r="D2" s="34"/>
      <c r="E2" s="34"/>
      <c r="F2" s="34"/>
      <c r="G2" s="34"/>
      <c r="H2" s="34"/>
      <c r="I2" s="34"/>
      <c r="N2" s="22"/>
      <c r="O2" s="1"/>
      <c r="P2" s="23"/>
      <c r="Q2" s="23"/>
      <c r="R2" s="23"/>
      <c r="S2" s="23"/>
      <c r="T2" s="24"/>
      <c r="U2" s="25"/>
      <c r="V2" s="25"/>
    </row>
    <row r="3" spans="1:22" s="8" customFormat="1" ht="45" x14ac:dyDescent="0.25">
      <c r="A3" s="7" t="str">
        <f>'MMP1-G'!A3</f>
        <v>probability</v>
      </c>
      <c r="B3" s="7" t="str">
        <f>'MMP1-G'!B3</f>
        <v>spectrum</v>
      </c>
      <c r="C3" s="7" t="str">
        <f>'MMP1-G'!C3</f>
        <v>start scan</v>
      </c>
      <c r="D3" s="7" t="str">
        <f>'MMP1-G'!D3</f>
        <v>ions</v>
      </c>
      <c r="E3" s="7" t="str">
        <f>'MMP1-G'!E3</f>
        <v>peptide</v>
      </c>
      <c r="F3" s="7" t="str">
        <f>'MMP1-G'!F3</f>
        <v>protein</v>
      </c>
      <c r="G3" s="7" t="str">
        <f>'MMP1-G'!G3</f>
        <v>calculated neutral
peptide mass</v>
      </c>
      <c r="H3" s="7" t="str">
        <f>'MMP1-G'!H3</f>
        <v>index</v>
      </c>
      <c r="I3" s="7" t="str">
        <f>'MMP1-G'!I3</f>
        <v>assumed charge</v>
      </c>
      <c r="J3" s="7" t="str">
        <f>'MMP1-G'!J3</f>
        <v>precursor neutral mass</v>
      </c>
      <c r="K3" s="7" t="str">
        <f>'MMP1-G'!K3</f>
        <v>m/z ratio</v>
      </c>
      <c r="L3" s="7" t="str">
        <f>'MMP1-G'!L3</f>
        <v>protein description</v>
      </c>
      <c r="M3" s="7" t="str">
        <f>'MMP1-G'!M3</f>
        <v>pI</v>
      </c>
      <c r="N3" s="7" t="str">
        <f>'MMP1-G'!N3</f>
        <v>retention
time (sec)</v>
      </c>
      <c r="O3" s="7" t="str">
        <f>'MMP1-G'!O3</f>
        <v>ppm</v>
      </c>
      <c r="P3" s="7" t="str">
        <f>'MMP1-G'!P3</f>
        <v>hyperscore</v>
      </c>
      <c r="Q3" s="7" t="str">
        <f>'MMP1-G'!Q3</f>
        <v>nextscore</v>
      </c>
      <c r="R3" s="7" t="str">
        <f>'MMP1-G'!R3</f>
        <v>bscore</v>
      </c>
      <c r="S3" s="7" t="str">
        <f>'MMP1-G'!S3</f>
        <v>yscore</v>
      </c>
      <c r="T3" s="7" t="str">
        <f>'MMP1-G'!T3</f>
        <v>expect</v>
      </c>
      <c r="U3" s="7" t="str">
        <f>'MMP1-G'!U3</f>
        <v>mass diff</v>
      </c>
      <c r="V3" s="7" t="str">
        <f>'MMP1-G'!V3</f>
        <v>fval</v>
      </c>
    </row>
    <row r="4" spans="1:22" x14ac:dyDescent="0.25">
      <c r="A4" s="1">
        <v>0.99250000000000005</v>
      </c>
      <c r="B4" s="9" t="s">
        <v>2446</v>
      </c>
      <c r="C4" s="2">
        <v>1171</v>
      </c>
      <c r="D4" s="3" t="s">
        <v>1875</v>
      </c>
      <c r="E4" s="9" t="s">
        <v>2447</v>
      </c>
      <c r="F4" s="9" t="s">
        <v>2448</v>
      </c>
      <c r="G4" s="1">
        <v>1564.9087</v>
      </c>
      <c r="H4" s="2">
        <v>1007</v>
      </c>
      <c r="I4" s="2">
        <v>3</v>
      </c>
      <c r="J4" s="1">
        <v>1566.0462</v>
      </c>
      <c r="K4" s="1">
        <v>522.64350000000002</v>
      </c>
      <c r="L4" s="9" t="s">
        <v>2449</v>
      </c>
      <c r="M4" s="2">
        <v>9.5299999999999994</v>
      </c>
      <c r="N4" s="4">
        <v>1279.8800000000001</v>
      </c>
      <c r="O4" s="1">
        <v>85.55545032129929</v>
      </c>
      <c r="P4" s="6">
        <v>33.200000000000003</v>
      </c>
      <c r="Q4" s="6">
        <v>23.3</v>
      </c>
      <c r="R4" s="6">
        <v>11.1</v>
      </c>
      <c r="S4" s="6">
        <v>12</v>
      </c>
      <c r="T4" s="5">
        <v>1.9E-3</v>
      </c>
      <c r="U4" s="1">
        <v>1.1375</v>
      </c>
      <c r="V4" s="1">
        <v>5.5392000000000001</v>
      </c>
    </row>
    <row r="5" spans="1:22" x14ac:dyDescent="0.25">
      <c r="A5" s="1">
        <v>0.99550000000000005</v>
      </c>
      <c r="B5" s="9" t="s">
        <v>2450</v>
      </c>
      <c r="C5" s="2">
        <v>1284</v>
      </c>
      <c r="D5" s="3" t="s">
        <v>2158</v>
      </c>
      <c r="E5" s="9" t="s">
        <v>1883</v>
      </c>
      <c r="F5" s="9" t="s">
        <v>1605</v>
      </c>
      <c r="G5" s="1">
        <v>1921.8737000000001</v>
      </c>
      <c r="H5" s="2">
        <v>728</v>
      </c>
      <c r="I5" s="2">
        <v>3</v>
      </c>
      <c r="J5" s="1">
        <v>1921.9731999999999</v>
      </c>
      <c r="K5" s="1">
        <v>641.6318</v>
      </c>
      <c r="L5" s="9" t="s">
        <v>1606</v>
      </c>
      <c r="M5" s="2">
        <v>6.79</v>
      </c>
      <c r="N5" s="4">
        <v>1552.39</v>
      </c>
      <c r="O5" s="1">
        <v>51.691120462961266</v>
      </c>
      <c r="P5" s="6">
        <v>37.1</v>
      </c>
      <c r="Q5" s="6">
        <v>27.7</v>
      </c>
      <c r="R5" s="6">
        <v>10.199999999999999</v>
      </c>
      <c r="S5" s="6">
        <v>8</v>
      </c>
      <c r="T5" s="5">
        <v>1.9E-3</v>
      </c>
      <c r="U5" s="1">
        <v>9.9500000000000005E-2</v>
      </c>
      <c r="V5" s="1">
        <v>4.0404999999999998</v>
      </c>
    </row>
    <row r="6" spans="1:22" x14ac:dyDescent="0.25">
      <c r="A6" s="1">
        <v>0.97609999999999997</v>
      </c>
      <c r="B6" s="9" t="s">
        <v>2451</v>
      </c>
      <c r="C6" s="2">
        <v>1341</v>
      </c>
      <c r="D6" s="3" t="s">
        <v>2452</v>
      </c>
      <c r="E6" s="9" t="s">
        <v>2453</v>
      </c>
      <c r="F6" s="9" t="s">
        <v>2454</v>
      </c>
      <c r="G6" s="1">
        <v>2171.9757</v>
      </c>
      <c r="H6" s="2">
        <v>1014</v>
      </c>
      <c r="I6" s="2">
        <v>3</v>
      </c>
      <c r="J6" s="1">
        <v>2172.1361000000002</v>
      </c>
      <c r="K6" s="1">
        <v>724.99919999999997</v>
      </c>
      <c r="L6" s="9" t="s">
        <v>2455</v>
      </c>
      <c r="M6" s="2">
        <v>5.54</v>
      </c>
      <c r="N6" s="4">
        <v>1702.4</v>
      </c>
      <c r="O6" s="1">
        <v>73.747207813010917</v>
      </c>
      <c r="P6" s="6">
        <v>35</v>
      </c>
      <c r="Q6" s="6">
        <v>26.1</v>
      </c>
      <c r="R6" s="6">
        <v>10.5</v>
      </c>
      <c r="S6" s="6">
        <v>11.2</v>
      </c>
      <c r="T6" s="5">
        <v>1.0999999999999999E-2</v>
      </c>
      <c r="U6" s="1">
        <v>0.16039999999999999</v>
      </c>
      <c r="V6" s="1">
        <v>3.4359999999999999</v>
      </c>
    </row>
    <row r="7" spans="1:22" x14ac:dyDescent="0.25">
      <c r="A7" s="1">
        <v>0.95609999999999995</v>
      </c>
      <c r="B7" s="9" t="s">
        <v>2456</v>
      </c>
      <c r="C7" s="2">
        <v>1391</v>
      </c>
      <c r="D7" s="3" t="s">
        <v>423</v>
      </c>
      <c r="E7" s="9" t="s">
        <v>2457</v>
      </c>
      <c r="F7" s="9" t="s">
        <v>2458</v>
      </c>
      <c r="G7" s="1">
        <v>1624.7766999999999</v>
      </c>
      <c r="H7" s="2">
        <v>244</v>
      </c>
      <c r="I7" s="2">
        <v>2</v>
      </c>
      <c r="J7" s="1">
        <v>1624.8628000000001</v>
      </c>
      <c r="K7" s="1">
        <v>813.39559999999994</v>
      </c>
      <c r="L7" s="9" t="s">
        <v>2459</v>
      </c>
      <c r="M7" s="2">
        <v>6.24</v>
      </c>
      <c r="N7" s="4">
        <v>1831.65</v>
      </c>
      <c r="O7" s="1">
        <v>52.926275971987067</v>
      </c>
      <c r="P7" s="6">
        <v>34.1</v>
      </c>
      <c r="Q7" s="6">
        <v>25.2</v>
      </c>
      <c r="R7" s="6">
        <v>10.8</v>
      </c>
      <c r="S7" s="6">
        <v>8.5</v>
      </c>
      <c r="T7" s="5">
        <v>1.4E-2</v>
      </c>
      <c r="U7" s="1">
        <v>8.6099999999999996E-2</v>
      </c>
      <c r="V7" s="1">
        <v>3.4525000000000001</v>
      </c>
    </row>
    <row r="8" spans="1:22" x14ac:dyDescent="0.25">
      <c r="A8" s="1">
        <v>0.97609999999999997</v>
      </c>
      <c r="B8" s="9" t="s">
        <v>2460</v>
      </c>
      <c r="C8" s="2">
        <v>1416</v>
      </c>
      <c r="D8" s="3" t="s">
        <v>1845</v>
      </c>
      <c r="E8" s="9" t="s">
        <v>2461</v>
      </c>
      <c r="F8" s="9" t="s">
        <v>860</v>
      </c>
      <c r="G8" s="1">
        <v>1433.7946999999999</v>
      </c>
      <c r="H8" s="2">
        <v>394</v>
      </c>
      <c r="I8" s="2">
        <v>3</v>
      </c>
      <c r="J8" s="1">
        <v>1433.9012</v>
      </c>
      <c r="K8" s="1">
        <v>478.93880000000001</v>
      </c>
      <c r="L8" s="9" t="s">
        <v>673</v>
      </c>
      <c r="M8" s="2">
        <v>9.5299999999999994</v>
      </c>
      <c r="N8" s="4">
        <v>1887.83</v>
      </c>
      <c r="O8" s="1">
        <v>74.122205175274999</v>
      </c>
      <c r="P8" s="6">
        <v>31.1</v>
      </c>
      <c r="Q8" s="6">
        <v>24.1</v>
      </c>
      <c r="R8" s="6">
        <v>10.199999999999999</v>
      </c>
      <c r="S8" s="6">
        <v>11.2</v>
      </c>
      <c r="T8" s="5">
        <v>3.1E-2</v>
      </c>
      <c r="U8" s="1">
        <v>0.1065</v>
      </c>
      <c r="V8" s="1">
        <v>3.6520000000000001</v>
      </c>
    </row>
    <row r="9" spans="1:22" x14ac:dyDescent="0.25">
      <c r="A9" s="1">
        <v>0.96750000000000003</v>
      </c>
      <c r="B9" s="9" t="s">
        <v>2462</v>
      </c>
      <c r="C9" s="2">
        <v>1442</v>
      </c>
      <c r="D9" s="3" t="s">
        <v>2463</v>
      </c>
      <c r="E9" s="9" t="s">
        <v>2464</v>
      </c>
      <c r="F9" s="9" t="s">
        <v>1122</v>
      </c>
      <c r="G9" s="1">
        <v>1956.9147</v>
      </c>
      <c r="H9" s="2">
        <v>663</v>
      </c>
      <c r="I9" s="2">
        <v>3</v>
      </c>
      <c r="J9" s="1">
        <v>1957.0289</v>
      </c>
      <c r="K9" s="1">
        <v>653.31219999999996</v>
      </c>
      <c r="L9" s="9" t="s">
        <v>456</v>
      </c>
      <c r="M9" s="2">
        <v>6.24</v>
      </c>
      <c r="N9" s="4">
        <v>1963.99</v>
      </c>
      <c r="O9" s="1">
        <v>58.267190887705247</v>
      </c>
      <c r="P9" s="6">
        <v>29.8</v>
      </c>
      <c r="Q9" s="6">
        <v>21.7</v>
      </c>
      <c r="R9" s="6">
        <v>13</v>
      </c>
      <c r="S9" s="6">
        <v>14</v>
      </c>
      <c r="T9" s="5">
        <v>1.9E-2</v>
      </c>
      <c r="U9" s="1">
        <v>0.1142</v>
      </c>
      <c r="V9" s="1">
        <v>3.4409999999999998</v>
      </c>
    </row>
    <row r="10" spans="1:22" x14ac:dyDescent="0.25">
      <c r="A10" s="1">
        <v>0.99950000000000006</v>
      </c>
      <c r="B10" s="9" t="s">
        <v>2465</v>
      </c>
      <c r="C10" s="2">
        <v>1471</v>
      </c>
      <c r="D10" s="3" t="s">
        <v>384</v>
      </c>
      <c r="E10" s="9" t="s">
        <v>1950</v>
      </c>
      <c r="F10" s="9" t="s">
        <v>1140</v>
      </c>
      <c r="G10" s="1">
        <v>1586.7687000000001</v>
      </c>
      <c r="H10" s="2">
        <v>732</v>
      </c>
      <c r="I10" s="2">
        <v>3</v>
      </c>
      <c r="J10" s="1">
        <v>1586.8859</v>
      </c>
      <c r="K10" s="1">
        <v>529.93020000000001</v>
      </c>
      <c r="L10" s="9" t="s">
        <v>745</v>
      </c>
      <c r="M10" s="2">
        <v>5.3</v>
      </c>
      <c r="N10" s="4">
        <v>2033.69</v>
      </c>
      <c r="O10" s="1">
        <v>73.720400661571404</v>
      </c>
      <c r="P10" s="6">
        <v>41</v>
      </c>
      <c r="Q10" s="6">
        <v>28.7</v>
      </c>
      <c r="R10" s="6">
        <v>13.6</v>
      </c>
      <c r="S10" s="6">
        <v>14</v>
      </c>
      <c r="T10" s="5">
        <v>8.7000000000000001E-4</v>
      </c>
      <c r="U10" s="1">
        <v>0.1172</v>
      </c>
      <c r="V10" s="1">
        <v>5.7731000000000003</v>
      </c>
    </row>
    <row r="11" spans="1:22" x14ac:dyDescent="0.25">
      <c r="A11" s="1">
        <v>0.99809999999999999</v>
      </c>
      <c r="B11" s="9" t="s">
        <v>2466</v>
      </c>
      <c r="C11" s="2">
        <v>1480</v>
      </c>
      <c r="D11" s="3" t="s">
        <v>2467</v>
      </c>
      <c r="E11" s="9" t="s">
        <v>2468</v>
      </c>
      <c r="F11" s="9" t="s">
        <v>2469</v>
      </c>
      <c r="G11" s="1">
        <v>1315.6187</v>
      </c>
      <c r="H11" s="2">
        <v>927</v>
      </c>
      <c r="I11" s="2">
        <v>2</v>
      </c>
      <c r="J11" s="1">
        <v>1315.3932</v>
      </c>
      <c r="K11" s="1">
        <v>658.81659999999999</v>
      </c>
      <c r="L11" s="9" t="s">
        <v>2470</v>
      </c>
      <c r="M11" s="2">
        <v>8.49</v>
      </c>
      <c r="N11" s="4">
        <v>2063.92</v>
      </c>
      <c r="O11" s="1">
        <v>-171.14019288524304</v>
      </c>
      <c r="P11" s="6">
        <v>29.1</v>
      </c>
      <c r="Q11" s="6">
        <v>22.4</v>
      </c>
      <c r="R11" s="6">
        <v>5.3</v>
      </c>
      <c r="S11" s="6">
        <v>10.6</v>
      </c>
      <c r="T11" s="5">
        <v>5.4000000000000003E-3</v>
      </c>
      <c r="U11" s="1">
        <v>-0.22550000000000001</v>
      </c>
      <c r="V11" s="1">
        <v>4.0296000000000003</v>
      </c>
    </row>
    <row r="12" spans="1:22" x14ac:dyDescent="0.25">
      <c r="A12" s="1">
        <v>0.97319999999999995</v>
      </c>
      <c r="B12" s="9" t="s">
        <v>2471</v>
      </c>
      <c r="C12" s="2">
        <v>1484</v>
      </c>
      <c r="D12" s="3" t="s">
        <v>2472</v>
      </c>
      <c r="E12" s="9" t="s">
        <v>2473</v>
      </c>
      <c r="F12" s="9" t="s">
        <v>2474</v>
      </c>
      <c r="G12" s="1">
        <v>2521.1626999999999</v>
      </c>
      <c r="H12" s="2">
        <v>400</v>
      </c>
      <c r="I12" s="2">
        <v>3</v>
      </c>
      <c r="J12" s="1">
        <v>2521.3906000000002</v>
      </c>
      <c r="K12" s="1">
        <v>841.39480000000003</v>
      </c>
      <c r="L12" s="9" t="s">
        <v>2475</v>
      </c>
      <c r="M12" s="2">
        <v>8</v>
      </c>
      <c r="N12" s="4">
        <v>2064.9499999999998</v>
      </c>
      <c r="O12" s="1">
        <v>90.286589204814035</v>
      </c>
      <c r="P12" s="6">
        <v>31.2</v>
      </c>
      <c r="Q12" s="6">
        <v>21.1</v>
      </c>
      <c r="R12" s="6">
        <v>10.6</v>
      </c>
      <c r="S12" s="6">
        <v>12.9</v>
      </c>
      <c r="T12" s="5">
        <v>1.7000000000000001E-2</v>
      </c>
      <c r="U12" s="1">
        <v>0.22789999999999999</v>
      </c>
      <c r="V12" s="1">
        <v>3.3176999999999999</v>
      </c>
    </row>
    <row r="13" spans="1:22" x14ac:dyDescent="0.25">
      <c r="A13" s="1">
        <v>0.99870000000000003</v>
      </c>
      <c r="B13" s="9" t="s">
        <v>2476</v>
      </c>
      <c r="C13" s="2">
        <v>1498</v>
      </c>
      <c r="D13" s="3" t="s">
        <v>201</v>
      </c>
      <c r="E13" s="9" t="s">
        <v>79</v>
      </c>
      <c r="F13" s="9" t="s">
        <v>80</v>
      </c>
      <c r="G13" s="1">
        <v>1140.5237</v>
      </c>
      <c r="H13" s="2">
        <v>246</v>
      </c>
      <c r="I13" s="2">
        <v>2</v>
      </c>
      <c r="J13" s="1">
        <v>1140.5758000000001</v>
      </c>
      <c r="K13" s="1">
        <v>571.26909999999998</v>
      </c>
      <c r="L13" s="9" t="s">
        <v>81</v>
      </c>
      <c r="M13" s="2">
        <v>5.47</v>
      </c>
      <c r="N13" s="4">
        <v>2109.88</v>
      </c>
      <c r="O13" s="1">
        <v>45.600225883038313</v>
      </c>
      <c r="P13" s="6">
        <v>47.7</v>
      </c>
      <c r="Q13" s="6">
        <v>29.7</v>
      </c>
      <c r="R13" s="6">
        <v>9.9</v>
      </c>
      <c r="S13" s="6">
        <v>11</v>
      </c>
      <c r="T13" s="5">
        <v>2.5000000000000001E-4</v>
      </c>
      <c r="U13" s="1">
        <v>5.21E-2</v>
      </c>
      <c r="V13" s="1">
        <v>6.5057999999999998</v>
      </c>
    </row>
    <row r="14" spans="1:22" x14ac:dyDescent="0.25">
      <c r="A14" s="1">
        <v>0.99990000000000001</v>
      </c>
      <c r="B14" s="9" t="s">
        <v>2477</v>
      </c>
      <c r="C14" s="2">
        <v>1504</v>
      </c>
      <c r="D14" s="3" t="s">
        <v>20</v>
      </c>
      <c r="E14" s="9" t="s">
        <v>1956</v>
      </c>
      <c r="F14" s="9" t="s">
        <v>1957</v>
      </c>
      <c r="G14" s="1">
        <v>1570.7737</v>
      </c>
      <c r="H14" s="2">
        <v>1096</v>
      </c>
      <c r="I14" s="2">
        <v>3</v>
      </c>
      <c r="J14" s="1">
        <v>1570.8813</v>
      </c>
      <c r="K14" s="1">
        <v>524.59849999999994</v>
      </c>
      <c r="L14" s="9" t="s">
        <v>1958</v>
      </c>
      <c r="M14" s="2">
        <v>5.3</v>
      </c>
      <c r="N14" s="4">
        <v>2117.0500000000002</v>
      </c>
      <c r="O14" s="1">
        <v>68.369746895324084</v>
      </c>
      <c r="P14" s="6">
        <v>37.4</v>
      </c>
      <c r="Q14" s="6">
        <v>23</v>
      </c>
      <c r="R14" s="6">
        <v>13</v>
      </c>
      <c r="S14" s="6">
        <v>13.6</v>
      </c>
      <c r="T14" s="5">
        <v>1.7E-5</v>
      </c>
      <c r="U14" s="1">
        <v>0.1076</v>
      </c>
      <c r="V14" s="1">
        <v>8.4276</v>
      </c>
    </row>
    <row r="15" spans="1:22" x14ac:dyDescent="0.25">
      <c r="A15" s="1">
        <v>0.98719999999999997</v>
      </c>
      <c r="B15" s="9" t="s">
        <v>2478</v>
      </c>
      <c r="C15" s="2">
        <v>1512</v>
      </c>
      <c r="D15" s="3" t="s">
        <v>568</v>
      </c>
      <c r="E15" s="9" t="s">
        <v>2479</v>
      </c>
      <c r="F15" s="9" t="s">
        <v>799</v>
      </c>
      <c r="G15" s="1">
        <v>1542.7247</v>
      </c>
      <c r="H15" s="2">
        <v>736</v>
      </c>
      <c r="I15" s="2">
        <v>2</v>
      </c>
      <c r="J15" s="1">
        <v>1542.8317999999999</v>
      </c>
      <c r="K15" s="1">
        <v>772.36959999999999</v>
      </c>
      <c r="L15" s="9" t="s">
        <v>800</v>
      </c>
      <c r="M15" s="2">
        <v>6.92</v>
      </c>
      <c r="N15" s="4">
        <v>2137.9</v>
      </c>
      <c r="O15" s="1">
        <v>69.33209178610862</v>
      </c>
      <c r="P15" s="6">
        <v>32.9</v>
      </c>
      <c r="Q15" s="6">
        <v>23.9</v>
      </c>
      <c r="R15" s="6">
        <v>12.7</v>
      </c>
      <c r="S15" s="6">
        <v>10.6</v>
      </c>
      <c r="T15" s="5">
        <v>2.8E-3</v>
      </c>
      <c r="U15" s="1">
        <v>0.1071</v>
      </c>
      <c r="V15" s="1">
        <v>4.0834000000000001</v>
      </c>
    </row>
    <row r="16" spans="1:22" x14ac:dyDescent="0.25">
      <c r="A16" s="1">
        <v>0.999</v>
      </c>
      <c r="B16" s="9" t="s">
        <v>2480</v>
      </c>
      <c r="C16" s="2">
        <v>1516</v>
      </c>
      <c r="D16" s="3" t="s">
        <v>1419</v>
      </c>
      <c r="E16" s="9" t="s">
        <v>1169</v>
      </c>
      <c r="F16" s="9" t="s">
        <v>1170</v>
      </c>
      <c r="G16" s="1">
        <v>1760.8367000000001</v>
      </c>
      <c r="H16" s="2">
        <v>247</v>
      </c>
      <c r="I16" s="2">
        <v>2</v>
      </c>
      <c r="J16" s="1">
        <v>1760.9681</v>
      </c>
      <c r="K16" s="1">
        <v>881.42560000000003</v>
      </c>
      <c r="L16" s="9" t="s">
        <v>1171</v>
      </c>
      <c r="M16" s="2">
        <v>6.25</v>
      </c>
      <c r="N16" s="4">
        <v>2157.7199999999998</v>
      </c>
      <c r="O16" s="1">
        <v>74.538338800234513</v>
      </c>
      <c r="P16" s="6">
        <v>54.3</v>
      </c>
      <c r="Q16" s="6">
        <v>29.2</v>
      </c>
      <c r="R16" s="6">
        <v>12.2</v>
      </c>
      <c r="S16" s="6">
        <v>12</v>
      </c>
      <c r="T16" s="5">
        <v>9.3000000000000007E-6</v>
      </c>
      <c r="U16" s="1">
        <v>0.13139999999999999</v>
      </c>
      <c r="V16" s="1">
        <v>6.8832000000000004</v>
      </c>
    </row>
    <row r="17" spans="1:22" x14ac:dyDescent="0.25">
      <c r="A17" s="1">
        <v>0.95430000000000004</v>
      </c>
      <c r="B17" s="9" t="s">
        <v>2481</v>
      </c>
      <c r="C17" s="2">
        <v>1522</v>
      </c>
      <c r="D17" s="3" t="s">
        <v>621</v>
      </c>
      <c r="E17" s="9" t="s">
        <v>2482</v>
      </c>
      <c r="F17" s="9" t="s">
        <v>2483</v>
      </c>
      <c r="G17" s="1">
        <v>1357.6617000000001</v>
      </c>
      <c r="H17" s="2">
        <v>404</v>
      </c>
      <c r="I17" s="2">
        <v>2</v>
      </c>
      <c r="J17" s="1">
        <v>1357.7354</v>
      </c>
      <c r="K17" s="1">
        <v>679.83810000000005</v>
      </c>
      <c r="L17" s="9" t="s">
        <v>2484</v>
      </c>
      <c r="M17" s="2">
        <v>5.01</v>
      </c>
      <c r="N17" s="4">
        <v>2169.16</v>
      </c>
      <c r="O17" s="1">
        <v>54.204081824775635</v>
      </c>
      <c r="P17" s="6">
        <v>35.4</v>
      </c>
      <c r="Q17" s="6">
        <v>26</v>
      </c>
      <c r="R17" s="6">
        <v>11.6</v>
      </c>
      <c r="S17" s="6">
        <v>11</v>
      </c>
      <c r="T17" s="5">
        <v>3.6999999999999998E-2</v>
      </c>
      <c r="U17" s="1">
        <v>7.3700000000000002E-2</v>
      </c>
      <c r="V17" s="1">
        <v>3.4116</v>
      </c>
    </row>
    <row r="18" spans="1:22" x14ac:dyDescent="0.25">
      <c r="A18" s="1">
        <v>0.99729999999999996</v>
      </c>
      <c r="B18" s="9" t="s">
        <v>2485</v>
      </c>
      <c r="C18" s="2">
        <v>1523</v>
      </c>
      <c r="D18" s="3" t="s">
        <v>326</v>
      </c>
      <c r="E18" s="9" t="s">
        <v>79</v>
      </c>
      <c r="F18" s="9" t="s">
        <v>80</v>
      </c>
      <c r="G18" s="1">
        <v>1140.5237</v>
      </c>
      <c r="H18" s="2">
        <v>62</v>
      </c>
      <c r="I18" s="2">
        <v>2</v>
      </c>
      <c r="J18" s="1">
        <v>1140.6070999999999</v>
      </c>
      <c r="K18" s="1">
        <v>571.26909999999998</v>
      </c>
      <c r="L18" s="9" t="s">
        <v>81</v>
      </c>
      <c r="M18" s="2">
        <v>5.47</v>
      </c>
      <c r="N18" s="4">
        <v>2169.16</v>
      </c>
      <c r="O18" s="1">
        <v>72.995371183212967</v>
      </c>
      <c r="P18" s="6">
        <v>44.1</v>
      </c>
      <c r="Q18" s="6">
        <v>28.6</v>
      </c>
      <c r="R18" s="6">
        <v>9.9</v>
      </c>
      <c r="S18" s="6">
        <v>11.9</v>
      </c>
      <c r="T18" s="5">
        <v>1.6000000000000001E-3</v>
      </c>
      <c r="U18" s="1">
        <v>8.3400000000000002E-2</v>
      </c>
      <c r="V18" s="1">
        <v>5.4356</v>
      </c>
    </row>
    <row r="19" spans="1:22" x14ac:dyDescent="0.25">
      <c r="A19" s="1">
        <v>0.98950000000000005</v>
      </c>
      <c r="B19" s="9" t="s">
        <v>2486</v>
      </c>
      <c r="C19" s="2">
        <v>1544</v>
      </c>
      <c r="D19" s="3" t="s">
        <v>752</v>
      </c>
      <c r="E19" s="9" t="s">
        <v>2487</v>
      </c>
      <c r="F19" s="9" t="s">
        <v>2488</v>
      </c>
      <c r="G19" s="1">
        <v>1160.5857000000001</v>
      </c>
      <c r="H19" s="2">
        <v>249</v>
      </c>
      <c r="I19" s="2">
        <v>2</v>
      </c>
      <c r="J19" s="1">
        <v>1160.6510000000001</v>
      </c>
      <c r="K19" s="1">
        <v>581.30010000000004</v>
      </c>
      <c r="L19" s="9" t="s">
        <v>2489</v>
      </c>
      <c r="M19" s="2">
        <v>6.25</v>
      </c>
      <c r="N19" s="4">
        <v>2230.75</v>
      </c>
      <c r="O19" s="1">
        <v>56.167201760329988</v>
      </c>
      <c r="P19" s="6">
        <v>48.7</v>
      </c>
      <c r="Q19" s="6">
        <v>31.4</v>
      </c>
      <c r="R19" s="6">
        <v>7.8</v>
      </c>
      <c r="S19" s="6">
        <v>10.5</v>
      </c>
      <c r="T19" s="5">
        <v>1.7000000000000001E-2</v>
      </c>
      <c r="U19" s="1">
        <v>6.5299999999999997E-2</v>
      </c>
      <c r="V19" s="1">
        <v>4.4676999999999998</v>
      </c>
    </row>
    <row r="20" spans="1:22" x14ac:dyDescent="0.25">
      <c r="A20" s="1">
        <v>0.99570000000000003</v>
      </c>
      <c r="B20" s="9" t="s">
        <v>2490</v>
      </c>
      <c r="C20" s="2">
        <v>1558</v>
      </c>
      <c r="D20" s="3" t="s">
        <v>370</v>
      </c>
      <c r="E20" s="9" t="s">
        <v>89</v>
      </c>
      <c r="F20" s="9" t="s">
        <v>90</v>
      </c>
      <c r="G20" s="1">
        <v>1263.6377</v>
      </c>
      <c r="H20" s="2">
        <v>569</v>
      </c>
      <c r="I20" s="2">
        <v>2</v>
      </c>
      <c r="J20" s="1">
        <v>1263.6650999999999</v>
      </c>
      <c r="K20" s="1">
        <v>632.8261</v>
      </c>
      <c r="L20" s="9" t="s">
        <v>91</v>
      </c>
      <c r="M20" s="2">
        <v>6.22</v>
      </c>
      <c r="N20" s="4">
        <v>2266.41</v>
      </c>
      <c r="O20" s="1">
        <v>21.648917451413588</v>
      </c>
      <c r="P20" s="6">
        <v>43.9</v>
      </c>
      <c r="Q20" s="6">
        <v>25</v>
      </c>
      <c r="R20" s="6">
        <v>9.1999999999999993</v>
      </c>
      <c r="S20" s="6">
        <v>9.1</v>
      </c>
      <c r="T20" s="5">
        <v>1.2999999999999999E-3</v>
      </c>
      <c r="U20" s="1">
        <v>2.7400000000000001E-2</v>
      </c>
      <c r="V20" s="1">
        <v>5.6828000000000003</v>
      </c>
    </row>
    <row r="21" spans="1:22" x14ac:dyDescent="0.25">
      <c r="A21" s="1">
        <v>0.99470000000000003</v>
      </c>
      <c r="B21" s="9" t="s">
        <v>2491</v>
      </c>
      <c r="C21" s="2">
        <v>1566</v>
      </c>
      <c r="D21" s="3" t="s">
        <v>2492</v>
      </c>
      <c r="E21" s="9" t="s">
        <v>2493</v>
      </c>
      <c r="F21" s="9" t="s">
        <v>1478</v>
      </c>
      <c r="G21" s="1">
        <v>1490.7537</v>
      </c>
      <c r="H21" s="2">
        <v>741</v>
      </c>
      <c r="I21" s="2">
        <v>3</v>
      </c>
      <c r="J21" s="1">
        <v>1490.8251</v>
      </c>
      <c r="K21" s="1">
        <v>497.92520000000002</v>
      </c>
      <c r="L21" s="9" t="s">
        <v>1479</v>
      </c>
      <c r="M21" s="2">
        <v>4.63</v>
      </c>
      <c r="N21" s="4">
        <v>2284.0300000000002</v>
      </c>
      <c r="O21" s="1">
        <v>47.79834400829683</v>
      </c>
      <c r="P21" s="6">
        <v>39</v>
      </c>
      <c r="Q21" s="6">
        <v>31.6</v>
      </c>
      <c r="R21" s="6">
        <v>10.1</v>
      </c>
      <c r="S21" s="6">
        <v>11.2</v>
      </c>
      <c r="T21" s="5">
        <v>1.4E-2</v>
      </c>
      <c r="U21" s="1">
        <v>7.1400000000000005E-2</v>
      </c>
      <c r="V21" s="1">
        <v>3.9182999999999999</v>
      </c>
    </row>
    <row r="22" spans="1:22" x14ac:dyDescent="0.25">
      <c r="A22" s="1">
        <v>1</v>
      </c>
      <c r="B22" s="9" t="s">
        <v>2494</v>
      </c>
      <c r="C22" s="2">
        <v>1568</v>
      </c>
      <c r="D22" s="3" t="s">
        <v>2069</v>
      </c>
      <c r="E22" s="9" t="s">
        <v>2495</v>
      </c>
      <c r="F22" s="9" t="s">
        <v>2496</v>
      </c>
      <c r="G22" s="1">
        <v>1718.9486999999999</v>
      </c>
      <c r="H22" s="2">
        <v>407</v>
      </c>
      <c r="I22" s="2">
        <v>3</v>
      </c>
      <c r="J22" s="1">
        <v>1719.0836999999999</v>
      </c>
      <c r="K22" s="1">
        <v>573.99019999999996</v>
      </c>
      <c r="L22" s="9" t="s">
        <v>2497</v>
      </c>
      <c r="M22" s="2">
        <v>8.5</v>
      </c>
      <c r="N22" s="4">
        <v>2284.0300000000002</v>
      </c>
      <c r="O22" s="1">
        <v>78.398551055401299</v>
      </c>
      <c r="P22" s="6">
        <v>41.2</v>
      </c>
      <c r="Q22" s="6">
        <v>19.8</v>
      </c>
      <c r="R22" s="6">
        <v>10.7</v>
      </c>
      <c r="S22" s="6">
        <v>10.6</v>
      </c>
      <c r="T22" s="5">
        <v>6.3999999999999997E-6</v>
      </c>
      <c r="U22" s="1">
        <v>0.13500000000000001</v>
      </c>
      <c r="V22" s="1">
        <v>9.3689</v>
      </c>
    </row>
    <row r="23" spans="1:22" x14ac:dyDescent="0.25">
      <c r="A23" s="1">
        <v>0.9909</v>
      </c>
      <c r="B23" s="9" t="s">
        <v>2498</v>
      </c>
      <c r="C23" s="2">
        <v>1583</v>
      </c>
      <c r="D23" s="3" t="s">
        <v>2499</v>
      </c>
      <c r="E23" s="9" t="s">
        <v>2500</v>
      </c>
      <c r="F23" s="9" t="s">
        <v>2501</v>
      </c>
      <c r="G23" s="1">
        <v>1885.9457</v>
      </c>
      <c r="H23" s="2">
        <v>933</v>
      </c>
      <c r="I23" s="2">
        <v>2</v>
      </c>
      <c r="J23" s="1">
        <v>1886.0645</v>
      </c>
      <c r="K23" s="1">
        <v>943.98009999999999</v>
      </c>
      <c r="L23" s="9" t="s">
        <v>2502</v>
      </c>
      <c r="M23" s="2">
        <v>6.25</v>
      </c>
      <c r="N23" s="4">
        <v>2332.12</v>
      </c>
      <c r="O23" s="1">
        <v>62.925055305720967</v>
      </c>
      <c r="P23" s="6">
        <v>38.1</v>
      </c>
      <c r="Q23" s="6">
        <v>23.9</v>
      </c>
      <c r="R23" s="6">
        <v>9.8000000000000007</v>
      </c>
      <c r="S23" s="6">
        <v>11.2</v>
      </c>
      <c r="T23" s="5">
        <v>1.2999999999999999E-3</v>
      </c>
      <c r="U23" s="1">
        <v>0.1188</v>
      </c>
      <c r="V23" s="1">
        <v>4.4250999999999996</v>
      </c>
    </row>
    <row r="24" spans="1:22" x14ac:dyDescent="0.25">
      <c r="A24" s="1">
        <v>0.97260000000000002</v>
      </c>
      <c r="B24" s="9" t="s">
        <v>2503</v>
      </c>
      <c r="C24" s="2">
        <v>1587</v>
      </c>
      <c r="D24" s="3" t="s">
        <v>69</v>
      </c>
      <c r="E24" s="9" t="s">
        <v>2504</v>
      </c>
      <c r="F24" s="9" t="s">
        <v>2505</v>
      </c>
      <c r="G24" s="1">
        <v>1182.6427000000001</v>
      </c>
      <c r="H24" s="2">
        <v>410</v>
      </c>
      <c r="I24" s="2">
        <v>2</v>
      </c>
      <c r="J24" s="1">
        <v>1182.6850999999999</v>
      </c>
      <c r="K24" s="1">
        <v>592.32860000000005</v>
      </c>
      <c r="L24" s="9" t="s">
        <v>2506</v>
      </c>
      <c r="M24" s="2">
        <v>8.75</v>
      </c>
      <c r="N24" s="4">
        <v>2336.2199999999998</v>
      </c>
      <c r="O24" s="1">
        <v>35.790944418351572</v>
      </c>
      <c r="P24" s="6">
        <v>44.8</v>
      </c>
      <c r="Q24" s="6">
        <v>30.2</v>
      </c>
      <c r="R24" s="6">
        <v>9.6999999999999993</v>
      </c>
      <c r="S24" s="6">
        <v>12.9</v>
      </c>
      <c r="T24" s="5">
        <v>4.3999999999999997E-2</v>
      </c>
      <c r="U24" s="1">
        <v>4.24E-2</v>
      </c>
      <c r="V24" s="1">
        <v>3.8039999999999998</v>
      </c>
    </row>
    <row r="25" spans="1:22" x14ac:dyDescent="0.25">
      <c r="A25" s="1">
        <v>0.99980000000000002</v>
      </c>
      <c r="B25" s="9" t="s">
        <v>2507</v>
      </c>
      <c r="C25" s="2">
        <v>1588</v>
      </c>
      <c r="D25" s="3" t="s">
        <v>904</v>
      </c>
      <c r="E25" s="9" t="s">
        <v>2508</v>
      </c>
      <c r="F25" s="9" t="s">
        <v>1924</v>
      </c>
      <c r="G25" s="1">
        <v>1591.7597000000001</v>
      </c>
      <c r="H25" s="2">
        <v>743</v>
      </c>
      <c r="I25" s="2">
        <v>3</v>
      </c>
      <c r="J25" s="1">
        <v>1591.8454999999999</v>
      </c>
      <c r="K25" s="1">
        <v>531.59379999999999</v>
      </c>
      <c r="L25" s="9" t="s">
        <v>898</v>
      </c>
      <c r="M25" s="2">
        <v>8.24</v>
      </c>
      <c r="N25" s="4">
        <v>2336.2199999999998</v>
      </c>
      <c r="O25" s="1">
        <v>53.800476980732284</v>
      </c>
      <c r="P25" s="6">
        <v>43.2</v>
      </c>
      <c r="Q25" s="6">
        <v>25.8</v>
      </c>
      <c r="R25" s="6">
        <v>10.5</v>
      </c>
      <c r="S25" s="6">
        <v>10</v>
      </c>
      <c r="T25" s="5">
        <v>1.3999999999999999E-4</v>
      </c>
      <c r="U25" s="1">
        <v>8.5800000000000001E-2</v>
      </c>
      <c r="V25" s="1">
        <v>7.0961999999999996</v>
      </c>
    </row>
    <row r="26" spans="1:22" x14ac:dyDescent="0.25">
      <c r="A26" s="1">
        <v>0.99460000000000004</v>
      </c>
      <c r="B26" s="9" t="s">
        <v>2509</v>
      </c>
      <c r="C26" s="2">
        <v>1590</v>
      </c>
      <c r="D26" s="3" t="s">
        <v>93</v>
      </c>
      <c r="E26" s="9" t="s">
        <v>2510</v>
      </c>
      <c r="F26" s="9" t="s">
        <v>2511</v>
      </c>
      <c r="G26" s="1">
        <v>1419.6487</v>
      </c>
      <c r="H26" s="2">
        <v>65</v>
      </c>
      <c r="I26" s="2">
        <v>2</v>
      </c>
      <c r="J26" s="1">
        <v>1419.7085999999999</v>
      </c>
      <c r="K26" s="1">
        <v>710.83159999999998</v>
      </c>
      <c r="L26" s="9" t="s">
        <v>2512</v>
      </c>
      <c r="M26" s="2">
        <v>4.93</v>
      </c>
      <c r="N26" s="4">
        <v>2346.6799999999998</v>
      </c>
      <c r="O26" s="1">
        <v>42.13374869659706</v>
      </c>
      <c r="P26" s="6">
        <v>49.3</v>
      </c>
      <c r="Q26" s="6">
        <v>30.8</v>
      </c>
      <c r="R26" s="6">
        <v>11.3</v>
      </c>
      <c r="S26" s="6">
        <v>10.9</v>
      </c>
      <c r="T26" s="5">
        <v>3.8999999999999998E-3</v>
      </c>
      <c r="U26" s="1">
        <v>5.9900000000000002E-2</v>
      </c>
      <c r="V26" s="1">
        <v>4.8861999999999997</v>
      </c>
    </row>
    <row r="27" spans="1:22" x14ac:dyDescent="0.25">
      <c r="A27" s="1">
        <v>0.9929</v>
      </c>
      <c r="B27" s="9" t="s">
        <v>2513</v>
      </c>
      <c r="C27" s="2">
        <v>1606</v>
      </c>
      <c r="D27" s="3" t="s">
        <v>333</v>
      </c>
      <c r="E27" s="9" t="s">
        <v>2514</v>
      </c>
      <c r="F27" s="9" t="s">
        <v>1284</v>
      </c>
      <c r="G27" s="1">
        <v>1735.7867000000001</v>
      </c>
      <c r="H27" s="2">
        <v>744</v>
      </c>
      <c r="I27" s="2">
        <v>3</v>
      </c>
      <c r="J27" s="1">
        <v>1735.8907999999999</v>
      </c>
      <c r="K27" s="1">
        <v>579.6028</v>
      </c>
      <c r="L27" s="9" t="s">
        <v>1285</v>
      </c>
      <c r="M27" s="2">
        <v>4.6900000000000004</v>
      </c>
      <c r="N27" s="4">
        <v>2388.4499999999998</v>
      </c>
      <c r="O27" s="1">
        <v>59.868585866044818</v>
      </c>
      <c r="P27" s="6">
        <v>35.799999999999997</v>
      </c>
      <c r="Q27" s="6">
        <v>28</v>
      </c>
      <c r="R27" s="6">
        <v>9.8000000000000007</v>
      </c>
      <c r="S27" s="6">
        <v>10.1</v>
      </c>
      <c r="T27" s="5">
        <v>1.2E-2</v>
      </c>
      <c r="U27" s="1">
        <v>0.1041</v>
      </c>
      <c r="V27" s="1">
        <v>3.7286999999999999</v>
      </c>
    </row>
    <row r="28" spans="1:22" x14ac:dyDescent="0.25">
      <c r="A28" s="1">
        <v>0.9899</v>
      </c>
      <c r="B28" s="9" t="s">
        <v>2515</v>
      </c>
      <c r="C28" s="2">
        <v>1612</v>
      </c>
      <c r="D28" s="3" t="s">
        <v>670</v>
      </c>
      <c r="E28" s="9" t="s">
        <v>2516</v>
      </c>
      <c r="F28" s="9" t="s">
        <v>647</v>
      </c>
      <c r="G28" s="1">
        <v>1287.6867</v>
      </c>
      <c r="H28" s="2">
        <v>413</v>
      </c>
      <c r="I28" s="2">
        <v>3</v>
      </c>
      <c r="J28" s="1">
        <v>1287.7451000000001</v>
      </c>
      <c r="K28" s="1">
        <v>430.2362</v>
      </c>
      <c r="L28" s="9" t="s">
        <v>118</v>
      </c>
      <c r="M28" s="2">
        <v>12.01</v>
      </c>
      <c r="N28" s="4">
        <v>2398.88</v>
      </c>
      <c r="O28" s="1">
        <v>45.246463841644818</v>
      </c>
      <c r="P28" s="6">
        <v>27.1</v>
      </c>
      <c r="Q28" s="6">
        <v>19.399999999999999</v>
      </c>
      <c r="R28" s="6">
        <v>9.8000000000000007</v>
      </c>
      <c r="S28" s="6">
        <v>11.1</v>
      </c>
      <c r="T28" s="5">
        <v>4.7E-2</v>
      </c>
      <c r="U28" s="1">
        <v>5.8400000000000001E-2</v>
      </c>
      <c r="V28" s="1">
        <v>3.9308000000000001</v>
      </c>
    </row>
    <row r="29" spans="1:22" x14ac:dyDescent="0.25">
      <c r="A29" s="1">
        <v>0.99870000000000003</v>
      </c>
      <c r="B29" s="9" t="s">
        <v>2517</v>
      </c>
      <c r="C29" s="2">
        <v>1634</v>
      </c>
      <c r="D29" s="3" t="s">
        <v>2518</v>
      </c>
      <c r="E29" s="9" t="s">
        <v>1202</v>
      </c>
      <c r="F29" s="9" t="s">
        <v>363</v>
      </c>
      <c r="G29" s="1">
        <v>1545.8077000000001</v>
      </c>
      <c r="H29" s="2">
        <v>745</v>
      </c>
      <c r="I29" s="2">
        <v>2</v>
      </c>
      <c r="J29" s="1">
        <v>1545.8563999999999</v>
      </c>
      <c r="K29" s="1">
        <v>773.91110000000003</v>
      </c>
      <c r="L29" s="9" t="s">
        <v>364</v>
      </c>
      <c r="M29" s="2">
        <v>8.59</v>
      </c>
      <c r="N29" s="4">
        <v>2461.54</v>
      </c>
      <c r="O29" s="1">
        <v>31.463562158495982</v>
      </c>
      <c r="P29" s="6">
        <v>66.3</v>
      </c>
      <c r="Q29" s="6">
        <v>37</v>
      </c>
      <c r="R29" s="6">
        <v>10.5</v>
      </c>
      <c r="S29" s="6">
        <v>11.5</v>
      </c>
      <c r="T29" s="5">
        <v>3.8999999999999999E-5</v>
      </c>
      <c r="U29" s="1">
        <v>4.87E-2</v>
      </c>
      <c r="V29" s="1">
        <v>6.6308999999999996</v>
      </c>
    </row>
    <row r="30" spans="1:22" x14ac:dyDescent="0.25">
      <c r="A30" s="1">
        <v>0.9778</v>
      </c>
      <c r="B30" s="9" t="s">
        <v>2519</v>
      </c>
      <c r="C30" s="2">
        <v>1638</v>
      </c>
      <c r="D30" s="3" t="s">
        <v>183</v>
      </c>
      <c r="E30" s="9" t="s">
        <v>2520</v>
      </c>
      <c r="F30" s="9" t="s">
        <v>2521</v>
      </c>
      <c r="G30" s="1">
        <v>1160.5317</v>
      </c>
      <c r="H30" s="2">
        <v>67</v>
      </c>
      <c r="I30" s="2">
        <v>2</v>
      </c>
      <c r="J30" s="1">
        <v>1160.6545000000001</v>
      </c>
      <c r="K30" s="1">
        <v>581.2731</v>
      </c>
      <c r="L30" s="9" t="s">
        <v>2522</v>
      </c>
      <c r="M30" s="2">
        <v>6.21</v>
      </c>
      <c r="N30" s="4">
        <v>2471.96</v>
      </c>
      <c r="O30" s="1">
        <v>105.63021065313363</v>
      </c>
      <c r="P30" s="6">
        <v>37.5</v>
      </c>
      <c r="Q30" s="6">
        <v>26.1</v>
      </c>
      <c r="R30" s="6">
        <v>5.0999999999999996</v>
      </c>
      <c r="S30" s="6">
        <v>11.2</v>
      </c>
      <c r="T30" s="5">
        <v>1.7000000000000001E-2</v>
      </c>
      <c r="U30" s="1">
        <v>0.12280000000000001</v>
      </c>
      <c r="V30" s="1">
        <v>3.9996999999999998</v>
      </c>
    </row>
    <row r="31" spans="1:22" x14ac:dyDescent="0.25">
      <c r="A31" s="1">
        <v>0.98299999999999998</v>
      </c>
      <c r="B31" s="9" t="s">
        <v>2523</v>
      </c>
      <c r="C31" s="2">
        <v>1639</v>
      </c>
      <c r="D31" s="3" t="s">
        <v>2492</v>
      </c>
      <c r="E31" s="9" t="s">
        <v>2524</v>
      </c>
      <c r="F31" s="9" t="s">
        <v>2525</v>
      </c>
      <c r="G31" s="1">
        <v>1395.8017</v>
      </c>
      <c r="H31" s="2">
        <v>746</v>
      </c>
      <c r="I31" s="2">
        <v>3</v>
      </c>
      <c r="J31" s="1">
        <v>1395.8172</v>
      </c>
      <c r="K31" s="1">
        <v>466.27449999999999</v>
      </c>
      <c r="L31" s="9" t="s">
        <v>2526</v>
      </c>
      <c r="M31" s="2">
        <v>10.84</v>
      </c>
      <c r="N31" s="4">
        <v>2471.96</v>
      </c>
      <c r="O31" s="1">
        <v>11.080740350730453</v>
      </c>
      <c r="P31" s="6">
        <v>34.9</v>
      </c>
      <c r="Q31" s="6">
        <v>28</v>
      </c>
      <c r="R31" s="6">
        <v>8.8000000000000007</v>
      </c>
      <c r="S31" s="6">
        <v>8.6999999999999993</v>
      </c>
      <c r="T31" s="5">
        <v>5.1999999999999998E-2</v>
      </c>
      <c r="U31" s="1">
        <v>1.55E-2</v>
      </c>
      <c r="V31" s="1">
        <v>3.1751</v>
      </c>
    </row>
    <row r="32" spans="1:22" x14ac:dyDescent="0.25">
      <c r="A32" s="1">
        <v>0.98029999999999995</v>
      </c>
      <c r="B32" s="9" t="s">
        <v>2527</v>
      </c>
      <c r="C32" s="2">
        <v>1644</v>
      </c>
      <c r="D32" s="3" t="s">
        <v>752</v>
      </c>
      <c r="E32" s="9" t="s">
        <v>2000</v>
      </c>
      <c r="F32" s="9" t="s">
        <v>2001</v>
      </c>
      <c r="G32" s="1">
        <v>1171.6637000000001</v>
      </c>
      <c r="H32" s="2">
        <v>251</v>
      </c>
      <c r="I32" s="2">
        <v>2</v>
      </c>
      <c r="J32" s="1">
        <v>1171.7351000000001</v>
      </c>
      <c r="K32" s="1">
        <v>586.83910000000003</v>
      </c>
      <c r="L32" s="9" t="s">
        <v>2002</v>
      </c>
      <c r="M32" s="2">
        <v>8.59</v>
      </c>
      <c r="N32" s="4">
        <v>2491.81</v>
      </c>
      <c r="O32" s="1">
        <v>60.834392255049131</v>
      </c>
      <c r="P32" s="6">
        <v>44.2</v>
      </c>
      <c r="Q32" s="6">
        <v>33.9</v>
      </c>
      <c r="R32" s="6">
        <v>9.8000000000000007</v>
      </c>
      <c r="S32" s="6">
        <v>9.8000000000000007</v>
      </c>
      <c r="T32" s="5">
        <v>7.7999999999999996E-3</v>
      </c>
      <c r="U32" s="1">
        <v>7.1400000000000005E-2</v>
      </c>
      <c r="V32" s="1">
        <v>4.2313999999999998</v>
      </c>
    </row>
    <row r="33" spans="1:22" x14ac:dyDescent="0.25">
      <c r="A33" s="1">
        <v>0.99880000000000002</v>
      </c>
      <c r="B33" s="9" t="s">
        <v>2528</v>
      </c>
      <c r="C33" s="2">
        <v>1658</v>
      </c>
      <c r="D33" s="3" t="s">
        <v>2220</v>
      </c>
      <c r="E33" s="9" t="s">
        <v>1202</v>
      </c>
      <c r="F33" s="9" t="s">
        <v>363</v>
      </c>
      <c r="G33" s="1">
        <v>1545.8077000000001</v>
      </c>
      <c r="H33" s="2">
        <v>749</v>
      </c>
      <c r="I33" s="2">
        <v>2</v>
      </c>
      <c r="J33" s="1">
        <v>1545.8956000000001</v>
      </c>
      <c r="K33" s="1">
        <v>773.91110000000003</v>
      </c>
      <c r="L33" s="9" t="s">
        <v>364</v>
      </c>
      <c r="M33" s="2">
        <v>8.59</v>
      </c>
      <c r="N33" s="4">
        <v>2524.15</v>
      </c>
      <c r="O33" s="1">
        <v>56.789468454451686</v>
      </c>
      <c r="P33" s="6">
        <v>61.3</v>
      </c>
      <c r="Q33" s="6">
        <v>36.4</v>
      </c>
      <c r="R33" s="6">
        <v>9.5</v>
      </c>
      <c r="S33" s="6">
        <v>11.3</v>
      </c>
      <c r="T33" s="5">
        <v>1.2999999999999999E-5</v>
      </c>
      <c r="U33" s="1">
        <v>8.7900000000000006E-2</v>
      </c>
      <c r="V33" s="1">
        <v>6.9478999999999997</v>
      </c>
    </row>
    <row r="34" spans="1:22" x14ac:dyDescent="0.25">
      <c r="A34" s="1">
        <v>0.999</v>
      </c>
      <c r="B34" s="9" t="s">
        <v>2529</v>
      </c>
      <c r="C34" s="2">
        <v>1666</v>
      </c>
      <c r="D34" s="3" t="s">
        <v>1246</v>
      </c>
      <c r="E34" s="9" t="s">
        <v>134</v>
      </c>
      <c r="F34" s="9" t="s">
        <v>122</v>
      </c>
      <c r="G34" s="1">
        <v>1996.0667000000001</v>
      </c>
      <c r="H34" s="2">
        <v>71</v>
      </c>
      <c r="I34" s="2">
        <v>3</v>
      </c>
      <c r="J34" s="1">
        <v>1996.114</v>
      </c>
      <c r="K34" s="1">
        <v>666.36279999999999</v>
      </c>
      <c r="L34" s="9" t="s">
        <v>123</v>
      </c>
      <c r="M34" s="2">
        <v>6.33</v>
      </c>
      <c r="N34" s="4">
        <v>2545.02</v>
      </c>
      <c r="O34" s="1">
        <v>23.660784585614127</v>
      </c>
      <c r="P34" s="6">
        <v>40.299999999999997</v>
      </c>
      <c r="Q34" s="6">
        <v>26.3</v>
      </c>
      <c r="R34" s="6">
        <v>12.1</v>
      </c>
      <c r="S34" s="6">
        <v>13.4</v>
      </c>
      <c r="T34" s="5">
        <v>1.1999999999999999E-3</v>
      </c>
      <c r="U34" s="1">
        <v>4.7300000000000002E-2</v>
      </c>
      <c r="V34" s="1">
        <v>5.1474000000000002</v>
      </c>
    </row>
    <row r="35" spans="1:22" x14ac:dyDescent="0.25">
      <c r="A35" s="1">
        <v>0.99199999999999999</v>
      </c>
      <c r="B35" s="9" t="s">
        <v>2530</v>
      </c>
      <c r="C35" s="2">
        <v>1668</v>
      </c>
      <c r="D35" s="3" t="s">
        <v>469</v>
      </c>
      <c r="E35" s="9" t="s">
        <v>134</v>
      </c>
      <c r="F35" s="9" t="s">
        <v>122</v>
      </c>
      <c r="G35" s="1">
        <v>1996.0667000000001</v>
      </c>
      <c r="H35" s="2">
        <v>300</v>
      </c>
      <c r="I35" s="2">
        <v>3</v>
      </c>
      <c r="J35" s="1">
        <v>1997.6880000000001</v>
      </c>
      <c r="K35" s="1">
        <v>666.36279999999999</v>
      </c>
      <c r="L35" s="9" t="s">
        <v>123</v>
      </c>
      <c r="M35" s="2">
        <v>6.33</v>
      </c>
      <c r="N35" s="4">
        <v>2554.44</v>
      </c>
      <c r="O35" s="1">
        <v>-192.79287499242153</v>
      </c>
      <c r="P35" s="6">
        <v>43.7</v>
      </c>
      <c r="Q35" s="6">
        <v>26.5</v>
      </c>
      <c r="R35" s="6">
        <v>12.7</v>
      </c>
      <c r="S35" s="6">
        <v>13.3</v>
      </c>
      <c r="T35" s="5">
        <v>3.8000000000000002E-4</v>
      </c>
      <c r="U35" s="1">
        <v>1.6213</v>
      </c>
      <c r="V35" s="1">
        <v>5.9292999999999996</v>
      </c>
    </row>
    <row r="36" spans="1:22" x14ac:dyDescent="0.25">
      <c r="A36" s="1">
        <v>0.97450000000000003</v>
      </c>
      <c r="B36" s="9" t="s">
        <v>2531</v>
      </c>
      <c r="C36" s="2">
        <v>1670</v>
      </c>
      <c r="D36" s="3" t="s">
        <v>1090</v>
      </c>
      <c r="E36" s="9" t="s">
        <v>2532</v>
      </c>
      <c r="F36" s="9" t="s">
        <v>2533</v>
      </c>
      <c r="G36" s="1">
        <v>1743.9296999999999</v>
      </c>
      <c r="H36" s="2">
        <v>419</v>
      </c>
      <c r="I36" s="2">
        <v>3</v>
      </c>
      <c r="J36" s="1">
        <v>1744.0235</v>
      </c>
      <c r="K36" s="1">
        <v>582.31719999999996</v>
      </c>
      <c r="L36" s="9" t="s">
        <v>2534</v>
      </c>
      <c r="M36" s="2">
        <v>10.84</v>
      </c>
      <c r="N36" s="4">
        <v>2555.4699999999998</v>
      </c>
      <c r="O36" s="1">
        <v>53.69353106290982</v>
      </c>
      <c r="P36" s="6">
        <v>29.9</v>
      </c>
      <c r="Q36" s="6">
        <v>24</v>
      </c>
      <c r="R36" s="6">
        <v>11</v>
      </c>
      <c r="S36" s="6">
        <v>10</v>
      </c>
      <c r="T36" s="5">
        <v>2.9000000000000001E-2</v>
      </c>
      <c r="U36" s="1">
        <v>9.3799999999999994E-2</v>
      </c>
      <c r="V36" s="1">
        <v>3.0472999999999999</v>
      </c>
    </row>
    <row r="37" spans="1:22" x14ac:dyDescent="0.25">
      <c r="A37" s="1">
        <v>0.97829999999999995</v>
      </c>
      <c r="B37" s="9" t="s">
        <v>2535</v>
      </c>
      <c r="C37" s="2">
        <v>1671</v>
      </c>
      <c r="D37" s="3" t="s">
        <v>311</v>
      </c>
      <c r="E37" s="9" t="s">
        <v>2536</v>
      </c>
      <c r="F37" s="9" t="s">
        <v>2537</v>
      </c>
      <c r="G37" s="1">
        <v>1569.7357</v>
      </c>
      <c r="H37" s="2">
        <v>750</v>
      </c>
      <c r="I37" s="2">
        <v>2</v>
      </c>
      <c r="J37" s="1">
        <v>1569.8134</v>
      </c>
      <c r="K37" s="1">
        <v>785.87509999999997</v>
      </c>
      <c r="L37" s="9" t="s">
        <v>2538</v>
      </c>
      <c r="M37" s="2">
        <v>9.6999999999999993</v>
      </c>
      <c r="N37" s="4">
        <v>2555.4699999999998</v>
      </c>
      <c r="O37" s="1">
        <v>49.435336480313481</v>
      </c>
      <c r="P37" s="6">
        <v>33.700000000000003</v>
      </c>
      <c r="Q37" s="6">
        <v>29.4</v>
      </c>
      <c r="R37" s="6">
        <v>10.5</v>
      </c>
      <c r="S37" s="6">
        <v>7.6</v>
      </c>
      <c r="T37" s="5">
        <v>3.0000000000000001E-3</v>
      </c>
      <c r="U37" s="1">
        <v>7.7700000000000005E-2</v>
      </c>
      <c r="V37" s="1">
        <v>3.6724999999999999</v>
      </c>
    </row>
    <row r="38" spans="1:22" x14ac:dyDescent="0.25">
      <c r="A38" s="1">
        <v>0.99939999999999996</v>
      </c>
      <c r="B38" s="9" t="s">
        <v>2539</v>
      </c>
      <c r="C38" s="2">
        <v>1672</v>
      </c>
      <c r="D38" s="3" t="s">
        <v>110</v>
      </c>
      <c r="E38" s="9" t="s">
        <v>111</v>
      </c>
      <c r="F38" s="9" t="s">
        <v>112</v>
      </c>
      <c r="G38" s="1">
        <v>1460.6747</v>
      </c>
      <c r="H38" s="2">
        <v>252</v>
      </c>
      <c r="I38" s="2">
        <v>2</v>
      </c>
      <c r="J38" s="1">
        <v>1460.7692999999999</v>
      </c>
      <c r="K38" s="1">
        <v>731.34460000000001</v>
      </c>
      <c r="L38" s="9" t="s">
        <v>113</v>
      </c>
      <c r="M38" s="2">
        <v>6.13</v>
      </c>
      <c r="N38" s="4">
        <v>2564.9</v>
      </c>
      <c r="O38" s="1">
        <v>64.675393788372816</v>
      </c>
      <c r="P38" s="6">
        <v>55.2</v>
      </c>
      <c r="Q38" s="6">
        <v>26.1</v>
      </c>
      <c r="R38" s="6">
        <v>12.9</v>
      </c>
      <c r="S38" s="6">
        <v>13.7</v>
      </c>
      <c r="T38" s="5">
        <v>1.3999999999999999E-6</v>
      </c>
      <c r="U38" s="1">
        <v>9.4600000000000004E-2</v>
      </c>
      <c r="V38" s="1">
        <v>9.0606000000000009</v>
      </c>
    </row>
    <row r="39" spans="1:22" x14ac:dyDescent="0.25">
      <c r="A39" s="1">
        <v>0.99919999999999998</v>
      </c>
      <c r="B39" s="9" t="s">
        <v>2540</v>
      </c>
      <c r="C39" s="2">
        <v>1674</v>
      </c>
      <c r="D39" s="3" t="s">
        <v>1405</v>
      </c>
      <c r="E39" s="9" t="s">
        <v>2541</v>
      </c>
      <c r="F39" s="9" t="s">
        <v>2542</v>
      </c>
      <c r="G39" s="1">
        <v>2307.2006999999999</v>
      </c>
      <c r="H39" s="2">
        <v>751</v>
      </c>
      <c r="I39" s="2">
        <v>3</v>
      </c>
      <c r="J39" s="1">
        <v>2307.4115999999999</v>
      </c>
      <c r="K39" s="1">
        <v>770.07420000000002</v>
      </c>
      <c r="L39" s="9" t="s">
        <v>2543</v>
      </c>
      <c r="M39" s="2">
        <v>10.84</v>
      </c>
      <c r="N39" s="4">
        <v>2565.9299999999998</v>
      </c>
      <c r="O39" s="1">
        <v>91.289904271562406</v>
      </c>
      <c r="P39" s="6">
        <v>44</v>
      </c>
      <c r="Q39" s="6">
        <v>27.2</v>
      </c>
      <c r="R39" s="6">
        <v>10</v>
      </c>
      <c r="S39" s="6">
        <v>12.5</v>
      </c>
      <c r="T39" s="5">
        <v>2.7E-4</v>
      </c>
      <c r="U39" s="1">
        <v>0.2109</v>
      </c>
      <c r="V39" s="1">
        <v>5.3319000000000001</v>
      </c>
    </row>
    <row r="40" spans="1:22" x14ac:dyDescent="0.25">
      <c r="A40" s="1">
        <v>0.97770000000000001</v>
      </c>
      <c r="B40" s="9" t="s">
        <v>2544</v>
      </c>
      <c r="C40" s="2">
        <v>1690</v>
      </c>
      <c r="D40" s="3" t="s">
        <v>51</v>
      </c>
      <c r="E40" s="9" t="s">
        <v>2545</v>
      </c>
      <c r="F40" s="9" t="s">
        <v>2546</v>
      </c>
      <c r="G40" s="1">
        <v>1217.6686999999999</v>
      </c>
      <c r="H40" s="2">
        <v>421</v>
      </c>
      <c r="I40" s="2">
        <v>2</v>
      </c>
      <c r="J40" s="1">
        <v>1217.6877999999999</v>
      </c>
      <c r="K40" s="1">
        <v>609.84159999999997</v>
      </c>
      <c r="L40" s="9" t="s">
        <v>2547</v>
      </c>
      <c r="M40" s="2">
        <v>8.59</v>
      </c>
      <c r="N40" s="4">
        <v>2607.6999999999998</v>
      </c>
      <c r="O40" s="1">
        <v>15.659804119627131</v>
      </c>
      <c r="P40" s="6">
        <v>52.3</v>
      </c>
      <c r="Q40" s="6">
        <v>34.1</v>
      </c>
      <c r="R40" s="6">
        <v>9.1</v>
      </c>
      <c r="S40" s="6">
        <v>9.4</v>
      </c>
      <c r="T40" s="5">
        <v>2.8000000000000001E-2</v>
      </c>
      <c r="U40" s="1">
        <v>1.9099999999999999E-2</v>
      </c>
      <c r="V40" s="1">
        <v>3.9698000000000002</v>
      </c>
    </row>
    <row r="41" spans="1:22" x14ac:dyDescent="0.25">
      <c r="A41" s="1">
        <v>0.99660000000000004</v>
      </c>
      <c r="B41" s="9" t="s">
        <v>2548</v>
      </c>
      <c r="C41" s="2">
        <v>1696</v>
      </c>
      <c r="D41" s="3" t="s">
        <v>2194</v>
      </c>
      <c r="E41" s="9" t="s">
        <v>2549</v>
      </c>
      <c r="F41" s="9" t="s">
        <v>860</v>
      </c>
      <c r="G41" s="1">
        <v>1832.0077000000001</v>
      </c>
      <c r="H41" s="2">
        <v>753</v>
      </c>
      <c r="I41" s="2">
        <v>3</v>
      </c>
      <c r="J41" s="1">
        <v>1832.1694</v>
      </c>
      <c r="K41" s="1">
        <v>611.67650000000003</v>
      </c>
      <c r="L41" s="9" t="s">
        <v>673</v>
      </c>
      <c r="M41" s="2">
        <v>9.6999999999999993</v>
      </c>
      <c r="N41" s="4">
        <v>2618.14</v>
      </c>
      <c r="O41" s="1">
        <v>88.118474389648782</v>
      </c>
      <c r="P41" s="6">
        <v>41.3</v>
      </c>
      <c r="Q41" s="6">
        <v>28.9</v>
      </c>
      <c r="R41" s="6">
        <v>10</v>
      </c>
      <c r="S41" s="6">
        <v>12.7</v>
      </c>
      <c r="T41" s="5">
        <v>6.4999999999999997E-3</v>
      </c>
      <c r="U41" s="1">
        <v>0.16170000000000001</v>
      </c>
      <c r="V41" s="1">
        <v>4.2191999999999998</v>
      </c>
    </row>
    <row r="42" spans="1:22" x14ac:dyDescent="0.25">
      <c r="A42" s="1">
        <v>0.98699999999999999</v>
      </c>
      <c r="B42" s="9" t="s">
        <v>2550</v>
      </c>
      <c r="C42" s="2">
        <v>1698</v>
      </c>
      <c r="D42" s="3" t="s">
        <v>1000</v>
      </c>
      <c r="E42" s="9" t="s">
        <v>2551</v>
      </c>
      <c r="F42" s="9" t="s">
        <v>1600</v>
      </c>
      <c r="G42" s="1">
        <v>1490.7587000000001</v>
      </c>
      <c r="H42" s="2">
        <v>754</v>
      </c>
      <c r="I42" s="2">
        <v>2</v>
      </c>
      <c r="J42" s="1">
        <v>1490.8996</v>
      </c>
      <c r="K42" s="1">
        <v>746.38660000000004</v>
      </c>
      <c r="L42" s="9" t="s">
        <v>1601</v>
      </c>
      <c r="M42" s="2">
        <v>10</v>
      </c>
      <c r="N42" s="4">
        <v>2628.61</v>
      </c>
      <c r="O42" s="1">
        <v>94.388082529884642</v>
      </c>
      <c r="P42" s="6">
        <v>39.9</v>
      </c>
      <c r="Q42" s="6">
        <v>26.9</v>
      </c>
      <c r="R42" s="6">
        <v>9.6</v>
      </c>
      <c r="S42" s="6">
        <v>8.1999999999999993</v>
      </c>
      <c r="T42" s="5">
        <v>9.1999999999999998E-3</v>
      </c>
      <c r="U42" s="1">
        <v>0.1409</v>
      </c>
      <c r="V42" s="1">
        <v>4.0704000000000002</v>
      </c>
    </row>
    <row r="43" spans="1:22" x14ac:dyDescent="0.25">
      <c r="A43" s="1">
        <v>0.99729999999999996</v>
      </c>
      <c r="B43" s="9" t="s">
        <v>2552</v>
      </c>
      <c r="C43" s="2">
        <v>1703</v>
      </c>
      <c r="D43" s="3" t="s">
        <v>69</v>
      </c>
      <c r="E43" s="9" t="s">
        <v>155</v>
      </c>
      <c r="F43" s="9" t="s">
        <v>156</v>
      </c>
      <c r="G43" s="1">
        <v>1064.5287000000001</v>
      </c>
      <c r="H43" s="2">
        <v>755</v>
      </c>
      <c r="I43" s="2">
        <v>2</v>
      </c>
      <c r="J43" s="1">
        <v>1064.5824</v>
      </c>
      <c r="K43" s="1">
        <v>533.27160000000003</v>
      </c>
      <c r="L43" s="9" t="s">
        <v>157</v>
      </c>
      <c r="M43" s="2">
        <v>6.46</v>
      </c>
      <c r="N43" s="4">
        <v>2639.05</v>
      </c>
      <c r="O43" s="1">
        <v>50.349577963649288</v>
      </c>
      <c r="P43" s="6">
        <v>37.700000000000003</v>
      </c>
      <c r="Q43" s="6">
        <v>28.2</v>
      </c>
      <c r="R43" s="6">
        <v>10.199999999999999</v>
      </c>
      <c r="S43" s="6">
        <v>10.3</v>
      </c>
      <c r="T43" s="5">
        <v>1.4999999999999999E-2</v>
      </c>
      <c r="U43" s="1">
        <v>5.3699999999999998E-2</v>
      </c>
      <c r="V43" s="1">
        <v>3.9838</v>
      </c>
    </row>
    <row r="44" spans="1:22" x14ac:dyDescent="0.25">
      <c r="A44" s="1">
        <v>0.96960000000000002</v>
      </c>
      <c r="B44" s="9" t="s">
        <v>2553</v>
      </c>
      <c r="C44" s="2">
        <v>1704</v>
      </c>
      <c r="D44" s="3" t="s">
        <v>702</v>
      </c>
      <c r="E44" s="9" t="s">
        <v>2554</v>
      </c>
      <c r="F44" s="9" t="s">
        <v>2555</v>
      </c>
      <c r="G44" s="1">
        <v>1258.6706999999999</v>
      </c>
      <c r="H44" s="2">
        <v>72</v>
      </c>
      <c r="I44" s="2">
        <v>2</v>
      </c>
      <c r="J44" s="1">
        <v>1258.7317</v>
      </c>
      <c r="K44" s="1">
        <v>630.34259999999995</v>
      </c>
      <c r="L44" s="9" t="s">
        <v>2556</v>
      </c>
      <c r="M44" s="2">
        <v>8.75</v>
      </c>
      <c r="N44" s="4">
        <v>2639.05</v>
      </c>
      <c r="O44" s="1">
        <v>48.386385435475887</v>
      </c>
      <c r="P44" s="6">
        <v>33.1</v>
      </c>
      <c r="Q44" s="6">
        <v>23.1</v>
      </c>
      <c r="R44" s="6">
        <v>8.6999999999999993</v>
      </c>
      <c r="S44" s="6">
        <v>8.6999999999999993</v>
      </c>
      <c r="T44" s="5">
        <v>1.9E-2</v>
      </c>
      <c r="U44" s="1">
        <v>6.0999999999999999E-2</v>
      </c>
      <c r="V44" s="1">
        <v>3.7694000000000001</v>
      </c>
    </row>
    <row r="45" spans="1:22" x14ac:dyDescent="0.25">
      <c r="A45" s="1">
        <v>0.98870000000000002</v>
      </c>
      <c r="B45" s="9" t="s">
        <v>2557</v>
      </c>
      <c r="C45" s="2">
        <v>1736</v>
      </c>
      <c r="D45" s="3" t="s">
        <v>260</v>
      </c>
      <c r="E45" s="9" t="s">
        <v>155</v>
      </c>
      <c r="F45" s="9" t="s">
        <v>597</v>
      </c>
      <c r="G45" s="1">
        <v>1064.5287000000001</v>
      </c>
      <c r="H45" s="2">
        <v>939</v>
      </c>
      <c r="I45" s="2">
        <v>2</v>
      </c>
      <c r="J45" s="1">
        <v>1064.5988</v>
      </c>
      <c r="K45" s="1">
        <v>533.27160000000003</v>
      </c>
      <c r="L45" s="9" t="s">
        <v>157</v>
      </c>
      <c r="M45" s="2">
        <v>6.46</v>
      </c>
      <c r="N45" s="4">
        <v>2732.07</v>
      </c>
      <c r="O45" s="1">
        <v>65.726357825918342</v>
      </c>
      <c r="P45" s="6">
        <v>32.6</v>
      </c>
      <c r="Q45" s="6">
        <v>27.1</v>
      </c>
      <c r="R45" s="6">
        <v>11.1</v>
      </c>
      <c r="S45" s="6">
        <v>10.9</v>
      </c>
      <c r="T45" s="5">
        <v>5.1999999999999998E-2</v>
      </c>
      <c r="U45" s="1">
        <v>7.0099999999999996E-2</v>
      </c>
      <c r="V45" s="1">
        <v>2.8765999999999998</v>
      </c>
    </row>
    <row r="46" spans="1:22" x14ac:dyDescent="0.25">
      <c r="A46" s="1">
        <v>0.99039999999999995</v>
      </c>
      <c r="B46" s="9" t="s">
        <v>2558</v>
      </c>
      <c r="C46" s="2">
        <v>1747</v>
      </c>
      <c r="D46" s="3" t="s">
        <v>2559</v>
      </c>
      <c r="E46" s="9" t="s">
        <v>2560</v>
      </c>
      <c r="F46" s="9" t="s">
        <v>2561</v>
      </c>
      <c r="G46" s="1">
        <v>2057.1347000000001</v>
      </c>
      <c r="H46" s="2">
        <v>1026</v>
      </c>
      <c r="I46" s="2">
        <v>3</v>
      </c>
      <c r="J46" s="1">
        <v>2057.2833000000001</v>
      </c>
      <c r="K46" s="1">
        <v>686.71879999999999</v>
      </c>
      <c r="L46" s="9" t="s">
        <v>2562</v>
      </c>
      <c r="M46" s="2">
        <v>9.5299999999999994</v>
      </c>
      <c r="N46" s="4">
        <v>2760.3</v>
      </c>
      <c r="O46" s="1">
        <v>72.130446018564427</v>
      </c>
      <c r="P46" s="6">
        <v>33.9</v>
      </c>
      <c r="Q46" s="6">
        <v>26.6</v>
      </c>
      <c r="R46" s="6">
        <v>11.3</v>
      </c>
      <c r="S46" s="6">
        <v>9.1</v>
      </c>
      <c r="T46" s="5">
        <v>3.0999999999999999E-3</v>
      </c>
      <c r="U46" s="1">
        <v>0.14860000000000001</v>
      </c>
      <c r="V46" s="1">
        <v>4.0465</v>
      </c>
    </row>
    <row r="47" spans="1:22" x14ac:dyDescent="0.25">
      <c r="A47" s="1">
        <v>0.96360000000000001</v>
      </c>
      <c r="B47" s="9" t="s">
        <v>2563</v>
      </c>
      <c r="C47" s="2">
        <v>1758</v>
      </c>
      <c r="D47" s="3" t="s">
        <v>752</v>
      </c>
      <c r="E47" s="9" t="s">
        <v>2564</v>
      </c>
      <c r="F47" s="9" t="s">
        <v>1861</v>
      </c>
      <c r="G47" s="1">
        <v>1247.6337000000001</v>
      </c>
      <c r="H47" s="2">
        <v>759</v>
      </c>
      <c r="I47" s="2">
        <v>2</v>
      </c>
      <c r="J47" s="1">
        <v>1247.7040999999999</v>
      </c>
      <c r="K47" s="1">
        <v>624.82410000000004</v>
      </c>
      <c r="L47" s="9" t="s">
        <v>1556</v>
      </c>
      <c r="M47" s="2">
        <v>8.75</v>
      </c>
      <c r="N47" s="4">
        <v>2785.25</v>
      </c>
      <c r="O47" s="1">
        <v>56.335855163077099</v>
      </c>
      <c r="P47" s="6">
        <v>47.7</v>
      </c>
      <c r="Q47" s="6">
        <v>37.5</v>
      </c>
      <c r="R47" s="6">
        <v>12.5</v>
      </c>
      <c r="S47" s="6">
        <v>13.8</v>
      </c>
      <c r="T47" s="5">
        <v>3.6999999999999998E-2</v>
      </c>
      <c r="U47" s="1">
        <v>7.0400000000000004E-2</v>
      </c>
      <c r="V47" s="1">
        <v>3.2988</v>
      </c>
    </row>
    <row r="48" spans="1:22" x14ac:dyDescent="0.25">
      <c r="A48" s="1">
        <v>0.99960000000000004</v>
      </c>
      <c r="B48" s="9" t="s">
        <v>2565</v>
      </c>
      <c r="C48" s="2">
        <v>1770</v>
      </c>
      <c r="D48" s="3" t="s">
        <v>1678</v>
      </c>
      <c r="E48" s="9" t="s">
        <v>2566</v>
      </c>
      <c r="F48" s="9" t="s">
        <v>415</v>
      </c>
      <c r="G48" s="1">
        <v>1588.8126999999999</v>
      </c>
      <c r="H48" s="2">
        <v>78</v>
      </c>
      <c r="I48" s="2">
        <v>2</v>
      </c>
      <c r="J48" s="1">
        <v>1588.9133999999999</v>
      </c>
      <c r="K48" s="1">
        <v>795.41359999999997</v>
      </c>
      <c r="L48" s="9" t="s">
        <v>416</v>
      </c>
      <c r="M48" s="2">
        <v>6.25</v>
      </c>
      <c r="N48" s="4">
        <v>2816.51</v>
      </c>
      <c r="O48" s="1">
        <v>63.300401200080053</v>
      </c>
      <c r="P48" s="6">
        <v>57.1</v>
      </c>
      <c r="Q48" s="6">
        <v>28.7</v>
      </c>
      <c r="R48" s="6">
        <v>11.7</v>
      </c>
      <c r="S48" s="6">
        <v>10.5</v>
      </c>
      <c r="T48" s="5">
        <v>2.7E-6</v>
      </c>
      <c r="U48" s="1">
        <v>0.1007</v>
      </c>
      <c r="V48" s="1">
        <v>8.2972000000000001</v>
      </c>
    </row>
    <row r="49" spans="1:22" x14ac:dyDescent="0.25">
      <c r="A49" s="1">
        <v>1</v>
      </c>
      <c r="B49" s="9" t="s">
        <v>2567</v>
      </c>
      <c r="C49" s="2">
        <v>1784</v>
      </c>
      <c r="D49" s="3" t="s">
        <v>275</v>
      </c>
      <c r="E49" s="9" t="s">
        <v>2568</v>
      </c>
      <c r="F49" s="9" t="s">
        <v>2569</v>
      </c>
      <c r="G49" s="1">
        <v>1498.7266999999999</v>
      </c>
      <c r="H49" s="2">
        <v>12</v>
      </c>
      <c r="I49" s="2">
        <v>3</v>
      </c>
      <c r="J49" s="1">
        <v>1498.8267000000001</v>
      </c>
      <c r="K49" s="1">
        <v>500.58280000000002</v>
      </c>
      <c r="L49" s="9" t="s">
        <v>2570</v>
      </c>
      <c r="M49" s="2">
        <v>6.77</v>
      </c>
      <c r="N49" s="4">
        <v>2847.85</v>
      </c>
      <c r="O49" s="1">
        <v>66.589050469439485</v>
      </c>
      <c r="P49" s="6">
        <v>36.4</v>
      </c>
      <c r="Q49" s="6">
        <v>23.9</v>
      </c>
      <c r="R49" s="6">
        <v>10.9</v>
      </c>
      <c r="S49" s="6">
        <v>11.3</v>
      </c>
      <c r="T49" s="5">
        <v>3.2000000000000003E-4</v>
      </c>
      <c r="U49" s="1">
        <v>0.1</v>
      </c>
      <c r="V49" s="1">
        <v>6.8287000000000004</v>
      </c>
    </row>
    <row r="50" spans="1:22" x14ac:dyDescent="0.25">
      <c r="A50" s="1">
        <v>0.99229999999999996</v>
      </c>
      <c r="B50" s="9" t="s">
        <v>2571</v>
      </c>
      <c r="C50" s="2">
        <v>1795</v>
      </c>
      <c r="D50" s="3" t="s">
        <v>2572</v>
      </c>
      <c r="E50" s="9" t="s">
        <v>2573</v>
      </c>
      <c r="F50" s="9" t="s">
        <v>732</v>
      </c>
      <c r="G50" s="1">
        <v>2257.9666999999999</v>
      </c>
      <c r="H50" s="2">
        <v>1029</v>
      </c>
      <c r="I50" s="2">
        <v>3</v>
      </c>
      <c r="J50" s="1">
        <v>2258.1914000000002</v>
      </c>
      <c r="K50" s="1">
        <v>753.66279999999995</v>
      </c>
      <c r="L50" s="9" t="s">
        <v>733</v>
      </c>
      <c r="M50" s="2">
        <v>7.98</v>
      </c>
      <c r="N50" s="4">
        <v>2885.5</v>
      </c>
      <c r="O50" s="1">
        <v>99.381314826736855</v>
      </c>
      <c r="P50" s="6">
        <v>35.6</v>
      </c>
      <c r="Q50" s="6">
        <v>28.3</v>
      </c>
      <c r="R50" s="6">
        <v>8.6999999999999993</v>
      </c>
      <c r="S50" s="6">
        <v>10.4</v>
      </c>
      <c r="T50" s="5">
        <v>1E-3</v>
      </c>
      <c r="U50" s="1">
        <v>0.22470000000000001</v>
      </c>
      <c r="V50" s="1">
        <v>4.2062999999999997</v>
      </c>
    </row>
    <row r="51" spans="1:22" x14ac:dyDescent="0.25">
      <c r="A51" s="1">
        <v>0.99680000000000002</v>
      </c>
      <c r="B51" s="9" t="s">
        <v>2574</v>
      </c>
      <c r="C51" s="2">
        <v>1796</v>
      </c>
      <c r="D51" s="3" t="s">
        <v>245</v>
      </c>
      <c r="E51" s="9" t="s">
        <v>815</v>
      </c>
      <c r="F51" s="9" t="s">
        <v>484</v>
      </c>
      <c r="G51" s="1">
        <v>1482.7936999999999</v>
      </c>
      <c r="H51" s="2">
        <v>431</v>
      </c>
      <c r="I51" s="2">
        <v>3</v>
      </c>
      <c r="J51" s="1">
        <v>1482.9032</v>
      </c>
      <c r="K51" s="1">
        <v>495.27179999999998</v>
      </c>
      <c r="L51" s="9" t="s">
        <v>485</v>
      </c>
      <c r="M51" s="2">
        <v>6.77</v>
      </c>
      <c r="N51" s="4">
        <v>2879.15</v>
      </c>
      <c r="O51" s="1">
        <v>73.696907435472795</v>
      </c>
      <c r="P51" s="6">
        <v>30.7</v>
      </c>
      <c r="Q51" s="6">
        <v>22.2</v>
      </c>
      <c r="R51" s="6">
        <v>9.3000000000000007</v>
      </c>
      <c r="S51" s="6">
        <v>9.6</v>
      </c>
      <c r="T51" s="5">
        <v>6.6E-3</v>
      </c>
      <c r="U51" s="1">
        <v>0.1095</v>
      </c>
      <c r="V51" s="1">
        <v>4.6971999999999996</v>
      </c>
    </row>
    <row r="52" spans="1:22" x14ac:dyDescent="0.25">
      <c r="A52" s="1">
        <v>0.9768</v>
      </c>
      <c r="B52" s="9" t="s">
        <v>2575</v>
      </c>
      <c r="C52" s="2">
        <v>1807</v>
      </c>
      <c r="D52" s="3" t="s">
        <v>2463</v>
      </c>
      <c r="E52" s="9" t="s">
        <v>2576</v>
      </c>
      <c r="F52" s="9" t="s">
        <v>1546</v>
      </c>
      <c r="G52" s="1">
        <v>1993.1277</v>
      </c>
      <c r="H52" s="2">
        <v>432</v>
      </c>
      <c r="I52" s="2">
        <v>3</v>
      </c>
      <c r="J52" s="1">
        <v>1993.222</v>
      </c>
      <c r="K52" s="1">
        <v>665.38319999999999</v>
      </c>
      <c r="L52" s="9" t="s">
        <v>1547</v>
      </c>
      <c r="M52" s="2">
        <v>9.6999999999999993</v>
      </c>
      <c r="N52" s="4">
        <v>2910.48</v>
      </c>
      <c r="O52" s="1">
        <v>47.240948273616368</v>
      </c>
      <c r="P52" s="6">
        <v>30.3</v>
      </c>
      <c r="Q52" s="6">
        <v>25.3</v>
      </c>
      <c r="R52" s="6">
        <v>9</v>
      </c>
      <c r="S52" s="6">
        <v>12.4</v>
      </c>
      <c r="T52" s="5">
        <v>7.0000000000000001E-3</v>
      </c>
      <c r="U52" s="1">
        <v>9.4299999999999995E-2</v>
      </c>
      <c r="V52" s="1">
        <v>3.4073000000000002</v>
      </c>
    </row>
    <row r="53" spans="1:22" x14ac:dyDescent="0.25">
      <c r="A53" s="1">
        <v>0.99980000000000002</v>
      </c>
      <c r="B53" s="9" t="s">
        <v>2577</v>
      </c>
      <c r="C53" s="2">
        <v>1814</v>
      </c>
      <c r="D53" s="3" t="s">
        <v>2559</v>
      </c>
      <c r="E53" s="9" t="s">
        <v>2013</v>
      </c>
      <c r="F53" s="9" t="s">
        <v>860</v>
      </c>
      <c r="G53" s="1">
        <v>2047.0657000000001</v>
      </c>
      <c r="H53" s="2">
        <v>674</v>
      </c>
      <c r="I53" s="2">
        <v>3</v>
      </c>
      <c r="J53" s="1">
        <v>2047.1913999999999</v>
      </c>
      <c r="K53" s="1">
        <v>683.36249999999995</v>
      </c>
      <c r="L53" s="9" t="s">
        <v>673</v>
      </c>
      <c r="M53" s="2">
        <v>6.24</v>
      </c>
      <c r="N53" s="4">
        <v>2934.62</v>
      </c>
      <c r="O53" s="1">
        <v>61.314456090288829</v>
      </c>
      <c r="P53" s="6">
        <v>34.799999999999997</v>
      </c>
      <c r="Q53" s="6">
        <v>19.899999999999999</v>
      </c>
      <c r="R53" s="6">
        <v>9.5</v>
      </c>
      <c r="S53" s="6">
        <v>11.4</v>
      </c>
      <c r="T53" s="5">
        <v>1.5999999999999999E-5</v>
      </c>
      <c r="U53" s="1">
        <v>0.12570000000000001</v>
      </c>
      <c r="V53" s="1">
        <v>7.6334999999999997</v>
      </c>
    </row>
    <row r="54" spans="1:22" x14ac:dyDescent="0.25">
      <c r="A54" s="1">
        <v>0.9536</v>
      </c>
      <c r="B54" s="9" t="s">
        <v>2578</v>
      </c>
      <c r="C54" s="2">
        <v>1818</v>
      </c>
      <c r="D54" s="3" t="s">
        <v>100</v>
      </c>
      <c r="E54" s="9" t="s">
        <v>2579</v>
      </c>
      <c r="F54" s="9" t="s">
        <v>748</v>
      </c>
      <c r="G54" s="1">
        <v>1550.8027</v>
      </c>
      <c r="H54" s="2">
        <v>81</v>
      </c>
      <c r="I54" s="2">
        <v>3</v>
      </c>
      <c r="J54" s="1">
        <v>1550.8125</v>
      </c>
      <c r="K54" s="1">
        <v>517.94150000000002</v>
      </c>
      <c r="L54" s="9" t="s">
        <v>749</v>
      </c>
      <c r="M54" s="2">
        <v>10.84</v>
      </c>
      <c r="N54" s="4">
        <v>2941.83</v>
      </c>
      <c r="O54" s="1">
        <v>6.3070185854322665</v>
      </c>
      <c r="P54" s="6">
        <v>35</v>
      </c>
      <c r="Q54" s="6">
        <v>30</v>
      </c>
      <c r="R54" s="6">
        <v>12.2</v>
      </c>
      <c r="S54" s="6">
        <v>9.5</v>
      </c>
      <c r="T54" s="5">
        <v>0.03</v>
      </c>
      <c r="U54" s="1">
        <v>9.7999999999999997E-3</v>
      </c>
      <c r="V54" s="1">
        <v>3.1760000000000002</v>
      </c>
    </row>
    <row r="55" spans="1:22" x14ac:dyDescent="0.25">
      <c r="A55" s="1">
        <v>0.99750000000000005</v>
      </c>
      <c r="B55" s="9" t="s">
        <v>2580</v>
      </c>
      <c r="C55" s="2">
        <v>1830</v>
      </c>
      <c r="D55" s="3" t="s">
        <v>174</v>
      </c>
      <c r="E55" s="9" t="s">
        <v>175</v>
      </c>
      <c r="F55" s="9" t="s">
        <v>176</v>
      </c>
      <c r="G55" s="1">
        <v>1740.8287</v>
      </c>
      <c r="H55" s="2">
        <v>434</v>
      </c>
      <c r="I55" s="2">
        <v>2</v>
      </c>
      <c r="J55" s="1">
        <v>1740.9299000000001</v>
      </c>
      <c r="K55" s="1">
        <v>871.42160000000001</v>
      </c>
      <c r="L55" s="9" t="s">
        <v>118</v>
      </c>
      <c r="M55" s="2">
        <v>6.73</v>
      </c>
      <c r="N55" s="4">
        <v>2973.16</v>
      </c>
      <c r="O55" s="1">
        <v>58.06603829879819</v>
      </c>
      <c r="P55" s="6">
        <v>42.3</v>
      </c>
      <c r="Q55" s="6">
        <v>25.6</v>
      </c>
      <c r="R55" s="6">
        <v>10.4</v>
      </c>
      <c r="S55" s="6">
        <v>10.7</v>
      </c>
      <c r="T55" s="5">
        <v>1.9000000000000001E-5</v>
      </c>
      <c r="U55" s="1">
        <v>0.1012</v>
      </c>
      <c r="V55" s="1">
        <v>6.3276000000000003</v>
      </c>
    </row>
    <row r="56" spans="1:22" x14ac:dyDescent="0.25">
      <c r="A56" s="1">
        <v>0.99199999999999999</v>
      </c>
      <c r="B56" s="9" t="s">
        <v>2581</v>
      </c>
      <c r="C56" s="2">
        <v>1838</v>
      </c>
      <c r="D56" s="3" t="s">
        <v>807</v>
      </c>
      <c r="E56" s="9" t="s">
        <v>2582</v>
      </c>
      <c r="F56" s="9" t="s">
        <v>2583</v>
      </c>
      <c r="G56" s="1">
        <v>1746.9186999999999</v>
      </c>
      <c r="H56" s="2">
        <v>675</v>
      </c>
      <c r="I56" s="2">
        <v>3</v>
      </c>
      <c r="J56" s="1">
        <v>1747.0410999999999</v>
      </c>
      <c r="K56" s="1">
        <v>583.31349999999998</v>
      </c>
      <c r="L56" s="9" t="s">
        <v>673</v>
      </c>
      <c r="M56" s="2">
        <v>6.3</v>
      </c>
      <c r="N56" s="4">
        <v>2997.28</v>
      </c>
      <c r="O56" s="1">
        <v>69.945235280856679</v>
      </c>
      <c r="P56" s="6">
        <v>28.5</v>
      </c>
      <c r="Q56" s="6">
        <v>19.600000000000001</v>
      </c>
      <c r="R56" s="6">
        <v>7.8</v>
      </c>
      <c r="S56" s="6">
        <v>9.9</v>
      </c>
      <c r="T56" s="5">
        <v>0.01</v>
      </c>
      <c r="U56" s="1">
        <v>0.12239999999999999</v>
      </c>
      <c r="V56" s="1">
        <v>4.3308</v>
      </c>
    </row>
    <row r="57" spans="1:22" x14ac:dyDescent="0.25">
      <c r="A57" s="1">
        <v>0.999</v>
      </c>
      <c r="B57" s="9" t="s">
        <v>2584</v>
      </c>
      <c r="C57" s="2">
        <v>1842</v>
      </c>
      <c r="D57" s="3" t="s">
        <v>2220</v>
      </c>
      <c r="E57" s="9" t="s">
        <v>194</v>
      </c>
      <c r="F57" s="9" t="s">
        <v>2585</v>
      </c>
      <c r="G57" s="1">
        <v>1531.8647000000001</v>
      </c>
      <c r="H57" s="2">
        <v>765</v>
      </c>
      <c r="I57" s="2">
        <v>2</v>
      </c>
      <c r="J57" s="1">
        <v>1531.9222</v>
      </c>
      <c r="K57" s="1">
        <v>766.93960000000004</v>
      </c>
      <c r="L57" s="9" t="s">
        <v>2586</v>
      </c>
      <c r="M57" s="2">
        <v>10</v>
      </c>
      <c r="N57" s="4">
        <v>3004.47</v>
      </c>
      <c r="O57" s="1">
        <v>37.486654750908677</v>
      </c>
      <c r="P57" s="6">
        <v>61.5</v>
      </c>
      <c r="Q57" s="6">
        <v>38.6</v>
      </c>
      <c r="R57" s="6">
        <v>12.2</v>
      </c>
      <c r="S57" s="6">
        <v>11.3</v>
      </c>
      <c r="T57" s="5">
        <v>3.4000000000000001E-6</v>
      </c>
      <c r="U57" s="1">
        <v>5.7500000000000002E-2</v>
      </c>
      <c r="V57" s="1">
        <v>7.3766999999999996</v>
      </c>
    </row>
    <row r="58" spans="1:22" x14ac:dyDescent="0.25">
      <c r="A58" s="1">
        <v>0.99960000000000004</v>
      </c>
      <c r="B58" s="9" t="s">
        <v>2587</v>
      </c>
      <c r="C58" s="2">
        <v>1858</v>
      </c>
      <c r="D58" s="3" t="s">
        <v>41</v>
      </c>
      <c r="E58" s="9" t="s">
        <v>207</v>
      </c>
      <c r="F58" s="9" t="s">
        <v>97</v>
      </c>
      <c r="G58" s="1">
        <v>1882.9607000000001</v>
      </c>
      <c r="H58" s="2">
        <v>436</v>
      </c>
      <c r="I58" s="2">
        <v>3</v>
      </c>
      <c r="J58" s="1">
        <v>1883.0768</v>
      </c>
      <c r="K58" s="1">
        <v>628.66079999999999</v>
      </c>
      <c r="L58" s="9" t="s">
        <v>98</v>
      </c>
      <c r="M58" s="2">
        <v>6.77</v>
      </c>
      <c r="N58" s="4">
        <v>3046.24</v>
      </c>
      <c r="O58" s="1">
        <v>61.559429186613833</v>
      </c>
      <c r="P58" s="6">
        <v>33.799999999999997</v>
      </c>
      <c r="Q58" s="6">
        <v>21.1</v>
      </c>
      <c r="R58" s="6">
        <v>11.1</v>
      </c>
      <c r="S58" s="6">
        <v>9.4</v>
      </c>
      <c r="T58" s="5">
        <v>6.4999999999999997E-4</v>
      </c>
      <c r="U58" s="1">
        <v>0.11609999999999999</v>
      </c>
      <c r="V58" s="1">
        <v>5.9298999999999999</v>
      </c>
    </row>
    <row r="59" spans="1:22" x14ac:dyDescent="0.25">
      <c r="A59" s="1">
        <v>0.99070000000000003</v>
      </c>
      <c r="B59" s="9" t="s">
        <v>2588</v>
      </c>
      <c r="C59" s="2">
        <v>1872</v>
      </c>
      <c r="D59" s="3" t="s">
        <v>105</v>
      </c>
      <c r="E59" s="9" t="s">
        <v>194</v>
      </c>
      <c r="F59" s="9" t="s">
        <v>1262</v>
      </c>
      <c r="G59" s="1">
        <v>1531.8647000000001</v>
      </c>
      <c r="H59" s="2">
        <v>943</v>
      </c>
      <c r="I59" s="2">
        <v>2</v>
      </c>
      <c r="J59" s="1">
        <v>1531.9833000000001</v>
      </c>
      <c r="K59" s="1">
        <v>766.93960000000004</v>
      </c>
      <c r="L59" s="9" t="s">
        <v>1263</v>
      </c>
      <c r="M59" s="2">
        <v>10</v>
      </c>
      <c r="N59" s="4">
        <v>3086.98</v>
      </c>
      <c r="O59" s="1">
        <v>77.320300060135096</v>
      </c>
      <c r="P59" s="6">
        <v>46.5</v>
      </c>
      <c r="Q59" s="6">
        <v>35.299999999999997</v>
      </c>
      <c r="R59" s="6">
        <v>12.5</v>
      </c>
      <c r="S59" s="6">
        <v>11.4</v>
      </c>
      <c r="T59" s="5">
        <v>9.6000000000000002E-4</v>
      </c>
      <c r="U59" s="1">
        <v>0.1186</v>
      </c>
      <c r="V59" s="1">
        <v>4.4013</v>
      </c>
    </row>
    <row r="60" spans="1:22" x14ac:dyDescent="0.25">
      <c r="A60" s="1">
        <v>0.98750000000000004</v>
      </c>
      <c r="B60" s="9" t="s">
        <v>2589</v>
      </c>
      <c r="C60" s="2">
        <v>1884</v>
      </c>
      <c r="D60" s="3" t="s">
        <v>2559</v>
      </c>
      <c r="E60" s="9" t="s">
        <v>2590</v>
      </c>
      <c r="F60" s="9" t="s">
        <v>2591</v>
      </c>
      <c r="G60" s="1">
        <v>2099.1887000000002</v>
      </c>
      <c r="H60" s="2">
        <v>766</v>
      </c>
      <c r="I60" s="2">
        <v>3</v>
      </c>
      <c r="J60" s="1">
        <v>2099.4002999999998</v>
      </c>
      <c r="K60" s="1">
        <v>700.73680000000002</v>
      </c>
      <c r="L60" s="9" t="s">
        <v>2592</v>
      </c>
      <c r="M60" s="2">
        <v>9.52</v>
      </c>
      <c r="N60" s="4">
        <v>3108.89</v>
      </c>
      <c r="O60" s="1">
        <v>100.65595717726447</v>
      </c>
      <c r="P60" s="6">
        <v>37</v>
      </c>
      <c r="Q60" s="6">
        <v>28.4</v>
      </c>
      <c r="R60" s="6">
        <v>12.5</v>
      </c>
      <c r="S60" s="6">
        <v>12.1</v>
      </c>
      <c r="T60" s="5">
        <v>1.4999999999999999E-2</v>
      </c>
      <c r="U60" s="1">
        <v>0.21160000000000001</v>
      </c>
      <c r="V60" s="1">
        <v>3.3645999999999998</v>
      </c>
    </row>
    <row r="61" spans="1:22" x14ac:dyDescent="0.25">
      <c r="A61" s="1">
        <v>0.99480000000000002</v>
      </c>
      <c r="B61" s="9" t="s">
        <v>2593</v>
      </c>
      <c r="C61" s="2">
        <v>1891</v>
      </c>
      <c r="D61" s="3" t="s">
        <v>61</v>
      </c>
      <c r="E61" s="9" t="s">
        <v>2594</v>
      </c>
      <c r="F61" s="9" t="s">
        <v>2595</v>
      </c>
      <c r="G61" s="1">
        <v>1851.9296999999999</v>
      </c>
      <c r="H61" s="2">
        <v>441</v>
      </c>
      <c r="I61" s="2">
        <v>3</v>
      </c>
      <c r="J61" s="1">
        <v>1852.0574999999999</v>
      </c>
      <c r="K61" s="1">
        <v>618.31719999999996</v>
      </c>
      <c r="L61" s="9" t="s">
        <v>2596</v>
      </c>
      <c r="M61" s="2">
        <v>6.93</v>
      </c>
      <c r="N61" s="4">
        <v>3129.77</v>
      </c>
      <c r="O61" s="1">
        <v>68.896676333765271</v>
      </c>
      <c r="P61" s="6">
        <v>32.799999999999997</v>
      </c>
      <c r="Q61" s="6">
        <v>21.6</v>
      </c>
      <c r="R61" s="6">
        <v>9.4</v>
      </c>
      <c r="S61" s="6">
        <v>8.9</v>
      </c>
      <c r="T61" s="5">
        <v>9.4000000000000004E-3</v>
      </c>
      <c r="U61" s="1">
        <v>0.1278</v>
      </c>
      <c r="V61" s="1">
        <v>4.3734000000000002</v>
      </c>
    </row>
    <row r="62" spans="1:22" x14ac:dyDescent="0.25">
      <c r="A62" s="1">
        <v>0.99929999999999997</v>
      </c>
      <c r="B62" s="9" t="s">
        <v>2597</v>
      </c>
      <c r="C62" s="2">
        <v>1900</v>
      </c>
      <c r="D62" s="3" t="s">
        <v>493</v>
      </c>
      <c r="E62" s="9" t="s">
        <v>1280</v>
      </c>
      <c r="F62" s="9" t="s">
        <v>2598</v>
      </c>
      <c r="G62" s="1">
        <v>1567.8027</v>
      </c>
      <c r="H62" s="2">
        <v>85</v>
      </c>
      <c r="I62" s="2">
        <v>2</v>
      </c>
      <c r="J62" s="1">
        <v>1567.9103</v>
      </c>
      <c r="K62" s="1">
        <v>784.90859999999998</v>
      </c>
      <c r="L62" s="9" t="s">
        <v>2599</v>
      </c>
      <c r="M62" s="2">
        <v>6.28</v>
      </c>
      <c r="N62" s="4">
        <v>3150.64</v>
      </c>
      <c r="O62" s="1">
        <v>68.543012524005988</v>
      </c>
      <c r="P62" s="6">
        <v>53</v>
      </c>
      <c r="Q62" s="6">
        <v>29.7</v>
      </c>
      <c r="R62" s="6">
        <v>9.4</v>
      </c>
      <c r="S62" s="6">
        <v>12.5</v>
      </c>
      <c r="T62" s="5">
        <v>2.0000000000000002E-5</v>
      </c>
      <c r="U62" s="1">
        <v>0.1076</v>
      </c>
      <c r="V62" s="1">
        <v>7.1523000000000003</v>
      </c>
    </row>
    <row r="63" spans="1:22" x14ac:dyDescent="0.25">
      <c r="A63" s="1">
        <v>0.99550000000000005</v>
      </c>
      <c r="B63" s="9" t="s">
        <v>2600</v>
      </c>
      <c r="C63" s="2">
        <v>1910</v>
      </c>
      <c r="D63" s="3" t="s">
        <v>2601</v>
      </c>
      <c r="E63" s="9" t="s">
        <v>2602</v>
      </c>
      <c r="F63" s="9" t="s">
        <v>2488</v>
      </c>
      <c r="G63" s="1">
        <v>1996.1387</v>
      </c>
      <c r="H63" s="2">
        <v>86</v>
      </c>
      <c r="I63" s="2">
        <v>3</v>
      </c>
      <c r="J63" s="1">
        <v>1996.2651000000001</v>
      </c>
      <c r="K63" s="1">
        <v>666.38679999999999</v>
      </c>
      <c r="L63" s="9" t="s">
        <v>2489</v>
      </c>
      <c r="M63" s="2">
        <v>8.6</v>
      </c>
      <c r="N63" s="4">
        <v>3181.95</v>
      </c>
      <c r="O63" s="1">
        <v>63.226542502542571</v>
      </c>
      <c r="P63" s="6">
        <v>33.9</v>
      </c>
      <c r="Q63" s="6">
        <v>23.1</v>
      </c>
      <c r="R63" s="6">
        <v>7.3</v>
      </c>
      <c r="S63" s="6">
        <v>10.199999999999999</v>
      </c>
      <c r="T63" s="5">
        <v>9.4999999999999998E-3</v>
      </c>
      <c r="U63" s="1">
        <v>0.12640000000000001</v>
      </c>
      <c r="V63" s="1">
        <v>4.1212</v>
      </c>
    </row>
    <row r="64" spans="1:22" x14ac:dyDescent="0.25">
      <c r="A64" s="1">
        <v>0.96550000000000002</v>
      </c>
      <c r="B64" s="9" t="s">
        <v>2603</v>
      </c>
      <c r="C64" s="2">
        <v>1919</v>
      </c>
      <c r="D64" s="3" t="s">
        <v>306</v>
      </c>
      <c r="E64" s="9" t="s">
        <v>2604</v>
      </c>
      <c r="F64" s="9" t="s">
        <v>1546</v>
      </c>
      <c r="G64" s="1">
        <v>1057.6026999999999</v>
      </c>
      <c r="H64" s="2">
        <v>346</v>
      </c>
      <c r="I64" s="2">
        <v>2</v>
      </c>
      <c r="J64" s="1">
        <v>1057.6523</v>
      </c>
      <c r="K64" s="1">
        <v>529.80859999999996</v>
      </c>
      <c r="L64" s="9" t="s">
        <v>1547</v>
      </c>
      <c r="M64" s="2">
        <v>10</v>
      </c>
      <c r="N64" s="4">
        <v>3202.84</v>
      </c>
      <c r="O64" s="1">
        <v>46.809357190502382</v>
      </c>
      <c r="P64" s="6">
        <v>29.5</v>
      </c>
      <c r="Q64" s="6">
        <v>22.6</v>
      </c>
      <c r="R64" s="6">
        <v>10.199999999999999</v>
      </c>
      <c r="S64" s="6">
        <v>12</v>
      </c>
      <c r="T64" s="5">
        <v>2.8000000000000001E-2</v>
      </c>
      <c r="U64" s="1">
        <v>4.9599999999999998E-2</v>
      </c>
      <c r="V64" s="1">
        <v>3.7458</v>
      </c>
    </row>
    <row r="65" spans="1:22" x14ac:dyDescent="0.25">
      <c r="A65" s="1">
        <v>1</v>
      </c>
      <c r="B65" s="9" t="s">
        <v>2605</v>
      </c>
      <c r="C65" s="2">
        <v>1928</v>
      </c>
      <c r="D65" s="3" t="s">
        <v>1870</v>
      </c>
      <c r="E65" s="9" t="s">
        <v>863</v>
      </c>
      <c r="F65" s="9" t="s">
        <v>864</v>
      </c>
      <c r="G65" s="1">
        <v>1779.9186999999999</v>
      </c>
      <c r="H65" s="2">
        <v>87</v>
      </c>
      <c r="I65" s="2">
        <v>3</v>
      </c>
      <c r="J65" s="1">
        <v>1780.1079</v>
      </c>
      <c r="K65" s="1">
        <v>594.31349999999998</v>
      </c>
      <c r="L65" s="9" t="s">
        <v>865</v>
      </c>
      <c r="M65" s="2">
        <v>8.59</v>
      </c>
      <c r="N65" s="4">
        <v>3223.74</v>
      </c>
      <c r="O65" s="1">
        <v>106.11683339965637</v>
      </c>
      <c r="P65" s="6">
        <v>46.8</v>
      </c>
      <c r="Q65" s="6">
        <v>25.2</v>
      </c>
      <c r="R65" s="6">
        <v>9.4</v>
      </c>
      <c r="S65" s="6">
        <v>11.5</v>
      </c>
      <c r="T65" s="5">
        <v>8.8999999999999995E-6</v>
      </c>
      <c r="U65" s="1">
        <v>0.18920000000000001</v>
      </c>
      <c r="V65" s="1">
        <v>8.8832000000000004</v>
      </c>
    </row>
    <row r="66" spans="1:22" x14ac:dyDescent="0.25">
      <c r="A66" s="1">
        <v>0.99980000000000002</v>
      </c>
      <c r="B66" s="9" t="s">
        <v>2606</v>
      </c>
      <c r="C66" s="2">
        <v>1935</v>
      </c>
      <c r="D66" s="3" t="s">
        <v>2607</v>
      </c>
      <c r="E66" s="9" t="s">
        <v>2608</v>
      </c>
      <c r="F66" s="9" t="s">
        <v>97</v>
      </c>
      <c r="G66" s="1">
        <v>2666.3847000000001</v>
      </c>
      <c r="H66" s="2">
        <v>768</v>
      </c>
      <c r="I66" s="2">
        <v>3</v>
      </c>
      <c r="J66" s="1">
        <v>2666.8308999999999</v>
      </c>
      <c r="K66" s="1">
        <v>889.80219999999997</v>
      </c>
      <c r="L66" s="9" t="s">
        <v>98</v>
      </c>
      <c r="M66" s="2">
        <v>6.25</v>
      </c>
      <c r="N66" s="4">
        <v>3244.59</v>
      </c>
      <c r="O66" s="1">
        <v>167.15325421013046</v>
      </c>
      <c r="P66" s="6">
        <v>42.6</v>
      </c>
      <c r="Q66" s="6">
        <v>23</v>
      </c>
      <c r="R66" s="6">
        <v>10.8</v>
      </c>
      <c r="S66" s="6">
        <v>13.6</v>
      </c>
      <c r="T66" s="5">
        <v>1.0000000000000001E-5</v>
      </c>
      <c r="U66" s="1">
        <v>0.44619999999999999</v>
      </c>
      <c r="V66" s="1">
        <v>6.7785000000000002</v>
      </c>
    </row>
    <row r="67" spans="1:22" x14ac:dyDescent="0.25">
      <c r="A67" s="1">
        <v>0.99850000000000005</v>
      </c>
      <c r="B67" s="9" t="s">
        <v>2609</v>
      </c>
      <c r="C67" s="2">
        <v>1950</v>
      </c>
      <c r="D67" s="3" t="s">
        <v>115</v>
      </c>
      <c r="E67" s="9" t="s">
        <v>2076</v>
      </c>
      <c r="F67" s="9" t="s">
        <v>897</v>
      </c>
      <c r="G67" s="1">
        <v>1431.7391</v>
      </c>
      <c r="H67" s="2">
        <v>89</v>
      </c>
      <c r="I67" s="2">
        <v>2</v>
      </c>
      <c r="J67" s="1">
        <v>1431.7394999999999</v>
      </c>
      <c r="K67" s="1">
        <v>716.8768</v>
      </c>
      <c r="L67" s="9" t="s">
        <v>898</v>
      </c>
      <c r="M67" s="2">
        <v>6.25</v>
      </c>
      <c r="N67" s="4">
        <v>3286.37</v>
      </c>
      <c r="O67" s="1">
        <v>0.27898796557511696</v>
      </c>
      <c r="P67" s="6">
        <v>44.7</v>
      </c>
      <c r="Q67" s="6">
        <v>26.8</v>
      </c>
      <c r="R67" s="6">
        <v>9.6999999999999993</v>
      </c>
      <c r="S67" s="6">
        <v>9.9</v>
      </c>
      <c r="T67" s="5">
        <v>6.2000000000000003E-5</v>
      </c>
      <c r="U67" s="1">
        <v>4.0000000000000002E-4</v>
      </c>
      <c r="V67" s="1">
        <v>6.4763000000000002</v>
      </c>
    </row>
    <row r="68" spans="1:22" x14ac:dyDescent="0.25">
      <c r="A68" s="1">
        <v>0.98899999999999999</v>
      </c>
      <c r="B68" s="9" t="s">
        <v>2610</v>
      </c>
      <c r="C68" s="2">
        <v>1962</v>
      </c>
      <c r="D68" s="3" t="s">
        <v>423</v>
      </c>
      <c r="E68" s="9" t="s">
        <v>2611</v>
      </c>
      <c r="F68" s="9" t="s">
        <v>2612</v>
      </c>
      <c r="G68" s="1">
        <v>1575.7466999999999</v>
      </c>
      <c r="H68" s="2">
        <v>90</v>
      </c>
      <c r="I68" s="2">
        <v>2</v>
      </c>
      <c r="J68" s="1">
        <v>1575.8571999999999</v>
      </c>
      <c r="K68" s="1">
        <v>788.88059999999996</v>
      </c>
      <c r="L68" s="9" t="s">
        <v>2613</v>
      </c>
      <c r="M68" s="2">
        <v>6.25</v>
      </c>
      <c r="N68" s="4">
        <v>3317.65</v>
      </c>
      <c r="O68" s="1">
        <v>70.035947138261491</v>
      </c>
      <c r="P68" s="6">
        <v>36.200000000000003</v>
      </c>
      <c r="Q68" s="6">
        <v>27.4</v>
      </c>
      <c r="R68" s="6">
        <v>12.3</v>
      </c>
      <c r="S68" s="6">
        <v>11.3</v>
      </c>
      <c r="T68" s="5">
        <v>1.6999999999999999E-3</v>
      </c>
      <c r="U68" s="1">
        <v>0.1105</v>
      </c>
      <c r="V68" s="1">
        <v>4.3087</v>
      </c>
    </row>
    <row r="69" spans="1:22" x14ac:dyDescent="0.25">
      <c r="A69" s="1">
        <v>0.99729999999999996</v>
      </c>
      <c r="B69" s="9" t="s">
        <v>2614</v>
      </c>
      <c r="C69" s="2">
        <v>1964</v>
      </c>
      <c r="D69" s="3" t="s">
        <v>1271</v>
      </c>
      <c r="E69" s="9" t="s">
        <v>1267</v>
      </c>
      <c r="F69" s="9" t="s">
        <v>1268</v>
      </c>
      <c r="G69" s="1">
        <v>1803.9557</v>
      </c>
      <c r="H69" s="2">
        <v>585</v>
      </c>
      <c r="I69" s="2">
        <v>2</v>
      </c>
      <c r="J69" s="1">
        <v>1804.1320000000001</v>
      </c>
      <c r="K69" s="1">
        <v>902.98509999999999</v>
      </c>
      <c r="L69" s="9" t="s">
        <v>1269</v>
      </c>
      <c r="M69" s="2">
        <v>6.28</v>
      </c>
      <c r="N69" s="4">
        <v>3327.05</v>
      </c>
      <c r="O69" s="1">
        <v>97.620658413964975</v>
      </c>
      <c r="P69" s="6">
        <v>37.299999999999997</v>
      </c>
      <c r="Q69" s="6">
        <v>21.8</v>
      </c>
      <c r="R69" s="6">
        <v>13.3</v>
      </c>
      <c r="S69" s="6">
        <v>13</v>
      </c>
      <c r="T69" s="5">
        <v>1.8E-5</v>
      </c>
      <c r="U69" s="1">
        <v>0.17630000000000001</v>
      </c>
      <c r="V69" s="1">
        <v>6.6300999999999997</v>
      </c>
    </row>
    <row r="70" spans="1:22" x14ac:dyDescent="0.25">
      <c r="A70" s="1">
        <v>0.99880000000000002</v>
      </c>
      <c r="B70" s="9" t="s">
        <v>2615</v>
      </c>
      <c r="C70" s="2">
        <v>1968</v>
      </c>
      <c r="D70" s="3" t="s">
        <v>2607</v>
      </c>
      <c r="E70" s="9" t="s">
        <v>2616</v>
      </c>
      <c r="F70" s="9" t="s">
        <v>2617</v>
      </c>
      <c r="G70" s="1">
        <v>2657.3987000000002</v>
      </c>
      <c r="H70" s="2">
        <v>91</v>
      </c>
      <c r="I70" s="2">
        <v>3</v>
      </c>
      <c r="J70" s="1">
        <v>2657.8139999999999</v>
      </c>
      <c r="K70" s="1">
        <v>886.80679999999995</v>
      </c>
      <c r="L70" s="9" t="s">
        <v>2618</v>
      </c>
      <c r="M70" s="2">
        <v>6.27</v>
      </c>
      <c r="N70" s="4">
        <v>3328.07</v>
      </c>
      <c r="O70" s="1">
        <v>156.10314820920783</v>
      </c>
      <c r="P70" s="6">
        <v>36.5</v>
      </c>
      <c r="Q70" s="6">
        <v>21.3</v>
      </c>
      <c r="R70" s="6">
        <v>10</v>
      </c>
      <c r="S70" s="6">
        <v>10.1</v>
      </c>
      <c r="T70" s="5">
        <v>5.4000000000000001E-4</v>
      </c>
      <c r="U70" s="1">
        <v>0.4153</v>
      </c>
      <c r="V70" s="1">
        <v>4.9717000000000002</v>
      </c>
    </row>
    <row r="71" spans="1:22" x14ac:dyDescent="0.25">
      <c r="A71" s="1">
        <v>0.99260000000000004</v>
      </c>
      <c r="B71" s="9" t="s">
        <v>2619</v>
      </c>
      <c r="C71" s="2">
        <v>1971</v>
      </c>
      <c r="D71" s="3" t="s">
        <v>168</v>
      </c>
      <c r="E71" s="9" t="s">
        <v>2620</v>
      </c>
      <c r="F71" s="9" t="s">
        <v>860</v>
      </c>
      <c r="G71" s="1">
        <v>2283.2296999999999</v>
      </c>
      <c r="H71" s="2">
        <v>1036</v>
      </c>
      <c r="I71" s="2">
        <v>3</v>
      </c>
      <c r="J71" s="1">
        <v>2283.4139</v>
      </c>
      <c r="K71" s="1">
        <v>762.0838</v>
      </c>
      <c r="L71" s="9" t="s">
        <v>673</v>
      </c>
      <c r="M71" s="2">
        <v>10.29</v>
      </c>
      <c r="N71" s="4">
        <v>3344.88</v>
      </c>
      <c r="O71" s="1">
        <v>80.568567393769555</v>
      </c>
      <c r="P71" s="6">
        <v>38</v>
      </c>
      <c r="Q71" s="6">
        <v>27.1</v>
      </c>
      <c r="R71" s="6">
        <v>11.1</v>
      </c>
      <c r="S71" s="6">
        <v>8.6</v>
      </c>
      <c r="T71" s="5">
        <v>3.3999999999999998E-3</v>
      </c>
      <c r="U71" s="1">
        <v>0.1842</v>
      </c>
      <c r="V71" s="1">
        <v>4.2316000000000003</v>
      </c>
    </row>
    <row r="72" spans="1:22" x14ac:dyDescent="0.25">
      <c r="A72" s="1">
        <v>0.98529999999999995</v>
      </c>
      <c r="B72" s="9" t="s">
        <v>2621</v>
      </c>
      <c r="C72" s="2">
        <v>1974</v>
      </c>
      <c r="D72" s="3" t="s">
        <v>178</v>
      </c>
      <c r="E72" s="9" t="s">
        <v>2076</v>
      </c>
      <c r="F72" s="9" t="s">
        <v>897</v>
      </c>
      <c r="G72" s="1">
        <v>1431.7387000000001</v>
      </c>
      <c r="H72" s="2">
        <v>93</v>
      </c>
      <c r="I72" s="2">
        <v>2</v>
      </c>
      <c r="J72" s="1">
        <v>1431.808</v>
      </c>
      <c r="K72" s="1">
        <v>716.87660000000005</v>
      </c>
      <c r="L72" s="9" t="s">
        <v>898</v>
      </c>
      <c r="M72" s="2">
        <v>6.25</v>
      </c>
      <c r="N72" s="4">
        <v>3348.98</v>
      </c>
      <c r="O72" s="1">
        <v>48.334678520682637</v>
      </c>
      <c r="P72" s="6">
        <v>37.299999999999997</v>
      </c>
      <c r="Q72" s="6">
        <v>25.5</v>
      </c>
      <c r="R72" s="6">
        <v>9.6999999999999993</v>
      </c>
      <c r="S72" s="6">
        <v>8.8000000000000007</v>
      </c>
      <c r="T72" s="5">
        <v>3.5000000000000001E-3</v>
      </c>
      <c r="U72" s="1">
        <v>6.93E-2</v>
      </c>
      <c r="V72" s="1">
        <v>4.3132999999999999</v>
      </c>
    </row>
    <row r="73" spans="1:22" x14ac:dyDescent="0.25">
      <c r="A73" s="1">
        <v>0.99399999999999999</v>
      </c>
      <c r="B73" s="9" t="s">
        <v>2622</v>
      </c>
      <c r="C73" s="2">
        <v>1984</v>
      </c>
      <c r="D73" s="3" t="s">
        <v>451</v>
      </c>
      <c r="E73" s="9" t="s">
        <v>2623</v>
      </c>
      <c r="F73" s="9" t="s">
        <v>2081</v>
      </c>
      <c r="G73" s="1">
        <v>1791.7956999999999</v>
      </c>
      <c r="H73" s="2">
        <v>944</v>
      </c>
      <c r="I73" s="2">
        <v>2</v>
      </c>
      <c r="J73" s="1">
        <v>1791.9718</v>
      </c>
      <c r="K73" s="1">
        <v>896.90509999999995</v>
      </c>
      <c r="L73" s="9" t="s">
        <v>2082</v>
      </c>
      <c r="M73" s="2">
        <v>5.55</v>
      </c>
      <c r="N73" s="4">
        <v>3379.24</v>
      </c>
      <c r="O73" s="1">
        <v>98.170921315978703</v>
      </c>
      <c r="P73" s="6">
        <v>37.700000000000003</v>
      </c>
      <c r="Q73" s="6">
        <v>24.5</v>
      </c>
      <c r="R73" s="6">
        <v>13.4</v>
      </c>
      <c r="S73" s="6">
        <v>10.9</v>
      </c>
      <c r="T73" s="5">
        <v>1.1999999999999999E-3</v>
      </c>
      <c r="U73" s="1">
        <v>0.17610000000000001</v>
      </c>
      <c r="V73" s="1">
        <v>4.7731000000000003</v>
      </c>
    </row>
    <row r="74" spans="1:22" x14ac:dyDescent="0.25">
      <c r="A74" s="1">
        <v>0.99909999999999999</v>
      </c>
      <c r="B74" s="9" t="s">
        <v>2624</v>
      </c>
      <c r="C74" s="2">
        <v>1987</v>
      </c>
      <c r="D74" s="3" t="s">
        <v>1145</v>
      </c>
      <c r="E74" s="9" t="s">
        <v>2625</v>
      </c>
      <c r="F74" s="9" t="s">
        <v>2458</v>
      </c>
      <c r="G74" s="1">
        <v>1868.9006999999999</v>
      </c>
      <c r="H74" s="2">
        <v>257</v>
      </c>
      <c r="I74" s="2">
        <v>2</v>
      </c>
      <c r="J74" s="1">
        <v>1869.1223</v>
      </c>
      <c r="K74" s="1">
        <v>935.45759999999996</v>
      </c>
      <c r="L74" s="9" t="s">
        <v>2459</v>
      </c>
      <c r="M74" s="2">
        <v>6</v>
      </c>
      <c r="N74" s="4">
        <v>3386.62</v>
      </c>
      <c r="O74" s="1">
        <v>118.44470556442108</v>
      </c>
      <c r="P74" s="6">
        <v>46</v>
      </c>
      <c r="Q74" s="6">
        <v>25.7</v>
      </c>
      <c r="R74" s="6">
        <v>12.1</v>
      </c>
      <c r="S74" s="6">
        <v>10.8</v>
      </c>
      <c r="T74" s="5">
        <v>1.0000000000000001E-5</v>
      </c>
      <c r="U74" s="1">
        <v>0.22159999999999999</v>
      </c>
      <c r="V74" s="1">
        <v>6.9793000000000003</v>
      </c>
    </row>
    <row r="75" spans="1:22" x14ac:dyDescent="0.25">
      <c r="A75" s="1">
        <v>0.99229999999999996</v>
      </c>
      <c r="B75" s="9" t="s">
        <v>2626</v>
      </c>
      <c r="C75" s="2">
        <v>1996</v>
      </c>
      <c r="D75" s="3" t="s">
        <v>2627</v>
      </c>
      <c r="E75" s="9" t="s">
        <v>232</v>
      </c>
      <c r="F75" s="9" t="s">
        <v>156</v>
      </c>
      <c r="G75" s="1">
        <v>2621.5187000000001</v>
      </c>
      <c r="H75" s="2">
        <v>448</v>
      </c>
      <c r="I75" s="2">
        <v>4</v>
      </c>
      <c r="J75" s="1">
        <v>2621.7406999999998</v>
      </c>
      <c r="K75" s="1">
        <v>656.38699999999994</v>
      </c>
      <c r="L75" s="9" t="s">
        <v>157</v>
      </c>
      <c r="M75" s="2">
        <v>9.5299999999999994</v>
      </c>
      <c r="N75" s="4">
        <v>3401.22</v>
      </c>
      <c r="O75" s="1">
        <v>84.553776963894776</v>
      </c>
      <c r="P75" s="6">
        <v>33.6</v>
      </c>
      <c r="Q75" s="6">
        <v>20.3</v>
      </c>
      <c r="R75" s="6">
        <v>13</v>
      </c>
      <c r="S75" s="6">
        <v>9.6</v>
      </c>
      <c r="T75" s="5">
        <v>2.1000000000000001E-4</v>
      </c>
      <c r="U75" s="1">
        <v>0.222</v>
      </c>
      <c r="V75" s="1">
        <v>5.1707000000000001</v>
      </c>
    </row>
    <row r="76" spans="1:22" x14ac:dyDescent="0.25">
      <c r="A76" s="1">
        <v>0.98629999999999995</v>
      </c>
      <c r="B76" s="9" t="s">
        <v>2628</v>
      </c>
      <c r="C76" s="2">
        <v>2000</v>
      </c>
      <c r="D76" s="3" t="s">
        <v>2629</v>
      </c>
      <c r="E76" s="9" t="s">
        <v>2630</v>
      </c>
      <c r="F76" s="9" t="s">
        <v>2631</v>
      </c>
      <c r="G76" s="1">
        <v>2103.1007</v>
      </c>
      <c r="H76" s="2">
        <v>1114</v>
      </c>
      <c r="I76" s="2">
        <v>4</v>
      </c>
      <c r="J76" s="1">
        <v>2103.2791000000002</v>
      </c>
      <c r="K76" s="1">
        <v>526.78250000000003</v>
      </c>
      <c r="L76" s="9" t="s">
        <v>2632</v>
      </c>
      <c r="M76" s="2">
        <v>8.9</v>
      </c>
      <c r="N76" s="4">
        <v>3411.64</v>
      </c>
      <c r="O76" s="1">
        <v>84.664923379193496</v>
      </c>
      <c r="P76" s="6">
        <v>35.700000000000003</v>
      </c>
      <c r="Q76" s="6">
        <v>27.2</v>
      </c>
      <c r="R76" s="6">
        <v>12.4</v>
      </c>
      <c r="S76" s="6">
        <v>13.7</v>
      </c>
      <c r="T76" s="5">
        <v>1.2999999999999999E-2</v>
      </c>
      <c r="U76" s="1">
        <v>0.1784</v>
      </c>
      <c r="V76" s="1">
        <v>3.5619000000000001</v>
      </c>
    </row>
    <row r="77" spans="1:22" x14ac:dyDescent="0.25">
      <c r="A77" s="1">
        <v>0.98540000000000005</v>
      </c>
      <c r="B77" s="9" t="s">
        <v>2633</v>
      </c>
      <c r="C77" s="2">
        <v>2008</v>
      </c>
      <c r="D77" s="3" t="s">
        <v>178</v>
      </c>
      <c r="E77" s="9" t="s">
        <v>2634</v>
      </c>
      <c r="F77" s="9" t="s">
        <v>2635</v>
      </c>
      <c r="G77" s="1">
        <v>1644.8067000000001</v>
      </c>
      <c r="H77" s="2">
        <v>769</v>
      </c>
      <c r="I77" s="2">
        <v>2</v>
      </c>
      <c r="J77" s="1">
        <v>1644.9282000000001</v>
      </c>
      <c r="K77" s="1">
        <v>823.41060000000004</v>
      </c>
      <c r="L77" s="9" t="s">
        <v>2636</v>
      </c>
      <c r="M77" s="2">
        <v>4.62</v>
      </c>
      <c r="N77" s="4">
        <v>3432.54</v>
      </c>
      <c r="O77" s="1">
        <v>73.778501272633605</v>
      </c>
      <c r="P77" s="6">
        <v>38.1</v>
      </c>
      <c r="Q77" s="6">
        <v>28.5</v>
      </c>
      <c r="R77" s="6">
        <v>11.1</v>
      </c>
      <c r="S77" s="6">
        <v>9.9</v>
      </c>
      <c r="T77" s="5">
        <v>3.8999999999999998E-3</v>
      </c>
      <c r="U77" s="1">
        <v>0.1215</v>
      </c>
      <c r="V77" s="1">
        <v>3.9796</v>
      </c>
    </row>
    <row r="78" spans="1:22" x14ac:dyDescent="0.25">
      <c r="A78" s="1">
        <v>0.97550000000000003</v>
      </c>
      <c r="B78" s="9" t="s">
        <v>2637</v>
      </c>
      <c r="C78" s="2">
        <v>2016</v>
      </c>
      <c r="D78" s="3" t="s">
        <v>146</v>
      </c>
      <c r="E78" s="9" t="s">
        <v>2638</v>
      </c>
      <c r="F78" s="9" t="s">
        <v>2639</v>
      </c>
      <c r="G78" s="1">
        <v>1273.7317</v>
      </c>
      <c r="H78" s="2">
        <v>258</v>
      </c>
      <c r="I78" s="2">
        <v>2</v>
      </c>
      <c r="J78" s="1">
        <v>1273.8068000000001</v>
      </c>
      <c r="K78" s="1">
        <v>637.87310000000002</v>
      </c>
      <c r="L78" s="9" t="s">
        <v>2586</v>
      </c>
      <c r="M78" s="2">
        <v>8.59</v>
      </c>
      <c r="N78" s="4">
        <v>3462.85</v>
      </c>
      <c r="O78" s="1">
        <v>58.867508286522821</v>
      </c>
      <c r="P78" s="6">
        <v>37.299999999999997</v>
      </c>
      <c r="Q78" s="6">
        <v>27.2</v>
      </c>
      <c r="R78" s="6">
        <v>9.6999999999999993</v>
      </c>
      <c r="S78" s="6">
        <v>8.9</v>
      </c>
      <c r="T78" s="5">
        <v>1.0999999999999999E-2</v>
      </c>
      <c r="U78" s="1">
        <v>7.51E-2</v>
      </c>
      <c r="V78" s="1">
        <v>3.8818999999999999</v>
      </c>
    </row>
    <row r="79" spans="1:22" x14ac:dyDescent="0.25">
      <c r="A79" s="1">
        <v>0.98309999999999997</v>
      </c>
      <c r="B79" s="9" t="s">
        <v>2640</v>
      </c>
      <c r="C79" s="2">
        <v>2026</v>
      </c>
      <c r="D79" s="3" t="s">
        <v>326</v>
      </c>
      <c r="E79" s="9" t="s">
        <v>2641</v>
      </c>
      <c r="F79" s="9" t="s">
        <v>2642</v>
      </c>
      <c r="G79" s="1">
        <v>1294.6957</v>
      </c>
      <c r="H79" s="2">
        <v>96</v>
      </c>
      <c r="I79" s="2">
        <v>2</v>
      </c>
      <c r="J79" s="1">
        <v>1294.7629999999999</v>
      </c>
      <c r="K79" s="1">
        <v>648.35509999999999</v>
      </c>
      <c r="L79" s="9" t="s">
        <v>2643</v>
      </c>
      <c r="M79" s="2">
        <v>8.59</v>
      </c>
      <c r="N79" s="4">
        <v>3484.78</v>
      </c>
      <c r="O79" s="1">
        <v>51.90057115306103</v>
      </c>
      <c r="P79" s="6">
        <v>40.9</v>
      </c>
      <c r="Q79" s="6">
        <v>27.3</v>
      </c>
      <c r="R79" s="6">
        <v>7.3</v>
      </c>
      <c r="S79" s="6">
        <v>8.4</v>
      </c>
      <c r="T79" s="5">
        <v>1.4999999999999999E-2</v>
      </c>
      <c r="U79" s="1">
        <v>6.7299999999999999E-2</v>
      </c>
      <c r="V79" s="1">
        <v>4.2073</v>
      </c>
    </row>
    <row r="80" spans="1:22" x14ac:dyDescent="0.25">
      <c r="A80" s="1">
        <v>0.99990000000000001</v>
      </c>
      <c r="B80" s="9" t="s">
        <v>2644</v>
      </c>
      <c r="C80" s="2">
        <v>2050</v>
      </c>
      <c r="D80" s="3" t="s">
        <v>814</v>
      </c>
      <c r="E80" s="9" t="s">
        <v>2645</v>
      </c>
      <c r="F80" s="9" t="s">
        <v>2319</v>
      </c>
      <c r="G80" s="1">
        <v>1558.8497</v>
      </c>
      <c r="H80" s="2">
        <v>771</v>
      </c>
      <c r="I80" s="2">
        <v>3</v>
      </c>
      <c r="J80" s="1">
        <v>1558.9804999999999</v>
      </c>
      <c r="K80" s="1">
        <v>520.62379999999996</v>
      </c>
      <c r="L80" s="9" t="s">
        <v>2320</v>
      </c>
      <c r="M80" s="2">
        <v>8.75</v>
      </c>
      <c r="N80" s="4">
        <v>3547.57</v>
      </c>
      <c r="O80" s="1">
        <v>83.74569122656321</v>
      </c>
      <c r="P80" s="6">
        <v>45.6</v>
      </c>
      <c r="Q80" s="6">
        <v>26.8</v>
      </c>
      <c r="R80" s="6">
        <v>11.4</v>
      </c>
      <c r="S80" s="6">
        <v>12</v>
      </c>
      <c r="T80" s="5">
        <v>6.2000000000000003E-5</v>
      </c>
      <c r="U80" s="1">
        <v>0.1308</v>
      </c>
      <c r="V80" s="1">
        <v>8.1738999999999997</v>
      </c>
    </row>
    <row r="81" spans="1:22" x14ac:dyDescent="0.25">
      <c r="A81" s="1">
        <v>0.99299999999999999</v>
      </c>
      <c r="B81" s="9" t="s">
        <v>2646</v>
      </c>
      <c r="C81" s="2">
        <v>2056</v>
      </c>
      <c r="D81" s="3" t="s">
        <v>423</v>
      </c>
      <c r="E81" s="9" t="s">
        <v>2647</v>
      </c>
      <c r="F81" s="9" t="s">
        <v>1365</v>
      </c>
      <c r="G81" s="1">
        <v>1516.8536999999999</v>
      </c>
      <c r="H81" s="2">
        <v>592</v>
      </c>
      <c r="I81" s="2">
        <v>2</v>
      </c>
      <c r="J81" s="1">
        <v>1516.9550999999999</v>
      </c>
      <c r="K81" s="1">
        <v>759.43409999999994</v>
      </c>
      <c r="L81" s="9" t="s">
        <v>1366</v>
      </c>
      <c r="M81" s="2">
        <v>8.59</v>
      </c>
      <c r="N81" s="4">
        <v>3567.43</v>
      </c>
      <c r="O81" s="1">
        <v>66.760236339137265</v>
      </c>
      <c r="P81" s="6">
        <v>35.1</v>
      </c>
      <c r="Q81" s="6">
        <v>22.1</v>
      </c>
      <c r="R81" s="6">
        <v>10.199999999999999</v>
      </c>
      <c r="S81" s="6">
        <v>9.5</v>
      </c>
      <c r="T81" s="5">
        <v>7.2000000000000005E-4</v>
      </c>
      <c r="U81" s="1">
        <v>0.1014</v>
      </c>
      <c r="V81" s="1">
        <v>5.2546999999999997</v>
      </c>
    </row>
    <row r="82" spans="1:22" x14ac:dyDescent="0.25">
      <c r="A82" s="1">
        <v>0.99729999999999996</v>
      </c>
      <c r="B82" s="9" t="s">
        <v>2648</v>
      </c>
      <c r="C82" s="2">
        <v>2058</v>
      </c>
      <c r="D82" s="3" t="s">
        <v>146</v>
      </c>
      <c r="E82" s="9" t="s">
        <v>825</v>
      </c>
      <c r="F82" s="9" t="s">
        <v>829</v>
      </c>
      <c r="G82" s="1">
        <v>1243.6116999999999</v>
      </c>
      <c r="H82" s="2">
        <v>98</v>
      </c>
      <c r="I82" s="2">
        <v>2</v>
      </c>
      <c r="J82" s="1">
        <v>1243.6939</v>
      </c>
      <c r="K82" s="1">
        <v>622.81309999999996</v>
      </c>
      <c r="L82" s="9" t="s">
        <v>827</v>
      </c>
      <c r="M82" s="2">
        <v>4.75</v>
      </c>
      <c r="N82" s="4">
        <v>3568.45</v>
      </c>
      <c r="O82" s="1">
        <v>65.990904815585921</v>
      </c>
      <c r="P82" s="6">
        <v>39.700000000000003</v>
      </c>
      <c r="Q82" s="6">
        <v>26.7</v>
      </c>
      <c r="R82" s="6">
        <v>12.7</v>
      </c>
      <c r="S82" s="6">
        <v>9.6</v>
      </c>
      <c r="T82" s="5">
        <v>6.4999999999999997E-4</v>
      </c>
      <c r="U82" s="1">
        <v>8.2199999999999995E-2</v>
      </c>
      <c r="V82" s="1">
        <v>5.52</v>
      </c>
    </row>
    <row r="83" spans="1:22" x14ac:dyDescent="0.25">
      <c r="A83" s="1">
        <v>0.99880000000000002</v>
      </c>
      <c r="B83" s="9" t="s">
        <v>2649</v>
      </c>
      <c r="C83" s="2">
        <v>2066</v>
      </c>
      <c r="D83" s="3" t="s">
        <v>141</v>
      </c>
      <c r="E83" s="9" t="s">
        <v>2650</v>
      </c>
      <c r="F83" s="9" t="s">
        <v>1519</v>
      </c>
      <c r="G83" s="1">
        <v>1389.7247</v>
      </c>
      <c r="H83" s="2">
        <v>260</v>
      </c>
      <c r="I83" s="2">
        <v>2</v>
      </c>
      <c r="J83" s="1">
        <v>1389.7935</v>
      </c>
      <c r="K83" s="1">
        <v>695.86959999999999</v>
      </c>
      <c r="L83" s="9" t="s">
        <v>1520</v>
      </c>
      <c r="M83" s="2">
        <v>6.25</v>
      </c>
      <c r="N83" s="4">
        <v>3592.59</v>
      </c>
      <c r="O83" s="1">
        <v>49.434549231637646</v>
      </c>
      <c r="P83" s="6">
        <v>50.3</v>
      </c>
      <c r="Q83" s="6">
        <v>29</v>
      </c>
      <c r="R83" s="6">
        <v>9.4</v>
      </c>
      <c r="S83" s="6">
        <v>14.2</v>
      </c>
      <c r="T83" s="5">
        <v>7.7000000000000001E-5</v>
      </c>
      <c r="U83" s="1">
        <v>6.88E-2</v>
      </c>
      <c r="V83" s="1">
        <v>7.0122</v>
      </c>
    </row>
    <row r="84" spans="1:22" x14ac:dyDescent="0.25">
      <c r="A84" s="1">
        <v>0.999</v>
      </c>
      <c r="B84" s="9" t="s">
        <v>2651</v>
      </c>
      <c r="C84" s="2">
        <v>2067</v>
      </c>
      <c r="D84" s="3" t="s">
        <v>2652</v>
      </c>
      <c r="E84" s="9" t="s">
        <v>2653</v>
      </c>
      <c r="F84" s="9" t="s">
        <v>860</v>
      </c>
      <c r="G84" s="1">
        <v>2980.5327000000002</v>
      </c>
      <c r="H84" s="2">
        <v>772</v>
      </c>
      <c r="I84" s="2">
        <v>3</v>
      </c>
      <c r="J84" s="1">
        <v>2980.9643999999998</v>
      </c>
      <c r="K84" s="1">
        <v>994.51819999999998</v>
      </c>
      <c r="L84" s="9" t="s">
        <v>673</v>
      </c>
      <c r="M84" s="2">
        <v>9.6999999999999993</v>
      </c>
      <c r="N84" s="4">
        <v>3589.33</v>
      </c>
      <c r="O84" s="1">
        <v>144.69317906902057</v>
      </c>
      <c r="P84" s="6">
        <v>46.8</v>
      </c>
      <c r="Q84" s="6">
        <v>28.3</v>
      </c>
      <c r="R84" s="6">
        <v>12.5</v>
      </c>
      <c r="S84" s="6">
        <v>10.9</v>
      </c>
      <c r="T84" s="5">
        <v>2.3000000000000001E-4</v>
      </c>
      <c r="U84" s="1">
        <v>0.43169999999999997</v>
      </c>
      <c r="V84" s="1">
        <v>5.1322000000000001</v>
      </c>
    </row>
    <row r="85" spans="1:22" x14ac:dyDescent="0.25">
      <c r="A85" s="1">
        <v>0.96709999999999996</v>
      </c>
      <c r="B85" s="9" t="s">
        <v>2654</v>
      </c>
      <c r="C85" s="2">
        <v>2076</v>
      </c>
      <c r="D85" s="3" t="s">
        <v>2655</v>
      </c>
      <c r="E85" s="9" t="s">
        <v>2653</v>
      </c>
      <c r="F85" s="9" t="s">
        <v>860</v>
      </c>
      <c r="G85" s="1">
        <v>2980.5327000000002</v>
      </c>
      <c r="H85" s="2">
        <v>1046</v>
      </c>
      <c r="I85" s="2">
        <v>3</v>
      </c>
      <c r="J85" s="1">
        <v>2980.3469</v>
      </c>
      <c r="K85" s="1">
        <v>994.51819999999998</v>
      </c>
      <c r="L85" s="9" t="s">
        <v>673</v>
      </c>
      <c r="M85" s="2">
        <v>9.6999999999999993</v>
      </c>
      <c r="N85" s="4">
        <v>3619.63</v>
      </c>
      <c r="O85" s="1">
        <v>-62.27471084323377</v>
      </c>
      <c r="P85" s="6">
        <v>36.1</v>
      </c>
      <c r="Q85" s="6">
        <v>26.5</v>
      </c>
      <c r="R85" s="6">
        <v>12.2</v>
      </c>
      <c r="S85" s="6">
        <v>12.1</v>
      </c>
      <c r="T85" s="5">
        <v>7.1999999999999998E-3</v>
      </c>
      <c r="U85" s="1">
        <v>-0.18579999999999999</v>
      </c>
      <c r="V85" s="1">
        <v>3.2372000000000001</v>
      </c>
    </row>
    <row r="86" spans="1:22" x14ac:dyDescent="0.25">
      <c r="A86" s="1">
        <v>0.98660000000000003</v>
      </c>
      <c r="B86" s="9" t="s">
        <v>2656</v>
      </c>
      <c r="C86" s="2">
        <v>2079</v>
      </c>
      <c r="D86" s="3" t="s">
        <v>2657</v>
      </c>
      <c r="E86" s="9" t="s">
        <v>2658</v>
      </c>
      <c r="F86" s="9" t="s">
        <v>1590</v>
      </c>
      <c r="G86" s="1">
        <v>1561.7956999999999</v>
      </c>
      <c r="H86" s="2">
        <v>100</v>
      </c>
      <c r="I86" s="2">
        <v>2</v>
      </c>
      <c r="J86" s="1">
        <v>1561.9103</v>
      </c>
      <c r="K86" s="1">
        <v>781.90509999999995</v>
      </c>
      <c r="L86" s="9" t="s">
        <v>49</v>
      </c>
      <c r="M86" s="2">
        <v>8.2200000000000006</v>
      </c>
      <c r="N86" s="4">
        <v>3620.65</v>
      </c>
      <c r="O86" s="1">
        <v>73.282550529469617</v>
      </c>
      <c r="P86" s="6">
        <v>62.8</v>
      </c>
      <c r="Q86" s="6">
        <v>43.8</v>
      </c>
      <c r="R86" s="6">
        <v>10.5</v>
      </c>
      <c r="S86" s="6">
        <v>11.4</v>
      </c>
      <c r="T86" s="5">
        <v>2.5999999999999999E-3</v>
      </c>
      <c r="U86" s="1">
        <v>0.11459999999999999</v>
      </c>
      <c r="V86" s="1">
        <v>4.3840000000000003</v>
      </c>
    </row>
    <row r="87" spans="1:22" x14ac:dyDescent="0.25">
      <c r="A87" s="1">
        <v>0.98199999999999998</v>
      </c>
      <c r="B87" s="9" t="s">
        <v>2659</v>
      </c>
      <c r="C87" s="2">
        <v>2087</v>
      </c>
      <c r="D87" s="3" t="s">
        <v>1544</v>
      </c>
      <c r="E87" s="9" t="s">
        <v>2660</v>
      </c>
      <c r="F87" s="9" t="s">
        <v>53</v>
      </c>
      <c r="G87" s="1">
        <v>1515.8157000000001</v>
      </c>
      <c r="H87" s="2">
        <v>101</v>
      </c>
      <c r="I87" s="2">
        <v>2</v>
      </c>
      <c r="J87" s="1">
        <v>1515.9363000000001</v>
      </c>
      <c r="K87" s="1">
        <v>758.91510000000005</v>
      </c>
      <c r="L87" s="9" t="s">
        <v>54</v>
      </c>
      <c r="M87" s="2">
        <v>8.7200000000000006</v>
      </c>
      <c r="N87" s="4">
        <v>3641.55</v>
      </c>
      <c r="O87" s="1">
        <v>79.455528029419895</v>
      </c>
      <c r="P87" s="6">
        <v>54.6</v>
      </c>
      <c r="Q87" s="6">
        <v>34.200000000000003</v>
      </c>
      <c r="R87" s="6">
        <v>9.3000000000000007</v>
      </c>
      <c r="S87" s="6">
        <v>11</v>
      </c>
      <c r="T87" s="5">
        <v>8.8000000000000005E-3</v>
      </c>
      <c r="U87" s="1">
        <v>0.1206</v>
      </c>
      <c r="V87" s="1">
        <v>4.1582999999999997</v>
      </c>
    </row>
    <row r="88" spans="1:22" x14ac:dyDescent="0.25">
      <c r="A88" s="1">
        <v>0.99960000000000004</v>
      </c>
      <c r="B88" s="9" t="s">
        <v>2661</v>
      </c>
      <c r="C88" s="2">
        <v>2088</v>
      </c>
      <c r="D88" s="3" t="s">
        <v>2662</v>
      </c>
      <c r="E88" s="9" t="s">
        <v>2663</v>
      </c>
      <c r="F88" s="9" t="s">
        <v>2664</v>
      </c>
      <c r="G88" s="1">
        <v>1673.8007</v>
      </c>
      <c r="H88" s="2">
        <v>775</v>
      </c>
      <c r="I88" s="2">
        <v>2</v>
      </c>
      <c r="J88" s="1">
        <v>1673.9487999999999</v>
      </c>
      <c r="K88" s="1">
        <v>837.9076</v>
      </c>
      <c r="L88" s="9" t="s">
        <v>2665</v>
      </c>
      <c r="M88" s="2">
        <v>4.54</v>
      </c>
      <c r="N88" s="4">
        <v>3641.55</v>
      </c>
      <c r="O88" s="1">
        <v>88.374899571265388</v>
      </c>
      <c r="P88" s="6">
        <v>59</v>
      </c>
      <c r="Q88" s="6">
        <v>42.9</v>
      </c>
      <c r="R88" s="6">
        <v>11.7</v>
      </c>
      <c r="S88" s="6">
        <v>11.6</v>
      </c>
      <c r="T88" s="5">
        <v>6.3E-5</v>
      </c>
      <c r="U88" s="1">
        <v>0.14810000000000001</v>
      </c>
      <c r="V88" s="1">
        <v>5.7030000000000003</v>
      </c>
    </row>
    <row r="89" spans="1:22" x14ac:dyDescent="0.25">
      <c r="A89" s="1">
        <v>0.996</v>
      </c>
      <c r="B89" s="9" t="s">
        <v>2666</v>
      </c>
      <c r="C89" s="2">
        <v>2092</v>
      </c>
      <c r="D89" s="3" t="s">
        <v>451</v>
      </c>
      <c r="E89" s="9" t="s">
        <v>2667</v>
      </c>
      <c r="F89" s="9" t="s">
        <v>102</v>
      </c>
      <c r="G89" s="1">
        <v>1787.7927</v>
      </c>
      <c r="H89" s="2">
        <v>776</v>
      </c>
      <c r="I89" s="2">
        <v>2</v>
      </c>
      <c r="J89" s="1">
        <v>1787.4586999999999</v>
      </c>
      <c r="K89" s="1">
        <v>894.90359999999998</v>
      </c>
      <c r="L89" s="9" t="s">
        <v>103</v>
      </c>
      <c r="M89" s="2">
        <v>4.12</v>
      </c>
      <c r="N89" s="4">
        <v>3652</v>
      </c>
      <c r="O89" s="1">
        <v>-186.61227868565956</v>
      </c>
      <c r="P89" s="6">
        <v>36.1</v>
      </c>
      <c r="Q89" s="6">
        <v>21.5</v>
      </c>
      <c r="R89" s="6">
        <v>12.6</v>
      </c>
      <c r="S89" s="6">
        <v>9.9</v>
      </c>
      <c r="T89" s="5">
        <v>8.5999999999999998E-4</v>
      </c>
      <c r="U89" s="1">
        <v>-0.33400000000000002</v>
      </c>
      <c r="V89" s="1">
        <v>5.1478000000000002</v>
      </c>
    </row>
    <row r="90" spans="1:22" x14ac:dyDescent="0.25">
      <c r="A90" s="1">
        <v>0.99980000000000002</v>
      </c>
      <c r="B90" s="9" t="s">
        <v>2668</v>
      </c>
      <c r="C90" s="2">
        <v>2110</v>
      </c>
      <c r="D90" s="3" t="s">
        <v>770</v>
      </c>
      <c r="E90" s="9" t="s">
        <v>2669</v>
      </c>
      <c r="F90" s="9" t="s">
        <v>2670</v>
      </c>
      <c r="G90" s="1">
        <v>1787.9857</v>
      </c>
      <c r="H90" s="2">
        <v>459</v>
      </c>
      <c r="I90" s="2">
        <v>3</v>
      </c>
      <c r="J90" s="1">
        <v>1788.095</v>
      </c>
      <c r="K90" s="1">
        <v>597.00250000000005</v>
      </c>
      <c r="L90" s="9" t="s">
        <v>2063</v>
      </c>
      <c r="M90" s="2">
        <v>8.5</v>
      </c>
      <c r="N90" s="4">
        <v>3704.21</v>
      </c>
      <c r="O90" s="1">
        <v>61.027103459924085</v>
      </c>
      <c r="P90" s="6">
        <v>37.799999999999997</v>
      </c>
      <c r="Q90" s="6">
        <v>22.4</v>
      </c>
      <c r="R90" s="6">
        <v>11.2</v>
      </c>
      <c r="S90" s="6">
        <v>9.6</v>
      </c>
      <c r="T90" s="5">
        <v>4.2999999999999999E-4</v>
      </c>
      <c r="U90" s="1">
        <v>0.10929999999999999</v>
      </c>
      <c r="V90" s="1">
        <v>6.5212000000000003</v>
      </c>
    </row>
    <row r="91" spans="1:22" x14ac:dyDescent="0.25">
      <c r="A91" s="1">
        <v>0.99960000000000004</v>
      </c>
      <c r="B91" s="9" t="s">
        <v>2671</v>
      </c>
      <c r="C91" s="2">
        <v>2115</v>
      </c>
      <c r="D91" s="3" t="s">
        <v>1399</v>
      </c>
      <c r="E91" s="9" t="s">
        <v>2672</v>
      </c>
      <c r="F91" s="9" t="s">
        <v>2673</v>
      </c>
      <c r="G91" s="1">
        <v>2175.1007</v>
      </c>
      <c r="H91" s="2">
        <v>778</v>
      </c>
      <c r="I91" s="2">
        <v>3</v>
      </c>
      <c r="J91" s="1">
        <v>2175.3285999999998</v>
      </c>
      <c r="K91" s="1">
        <v>726.04079999999999</v>
      </c>
      <c r="L91" s="9" t="s">
        <v>2674</v>
      </c>
      <c r="M91" s="2">
        <v>9.6999999999999993</v>
      </c>
      <c r="N91" s="4">
        <v>3714.67</v>
      </c>
      <c r="O91" s="1">
        <v>104.63140179817259</v>
      </c>
      <c r="P91" s="6">
        <v>45.3</v>
      </c>
      <c r="Q91" s="6">
        <v>28.2</v>
      </c>
      <c r="R91" s="6">
        <v>12.4</v>
      </c>
      <c r="S91" s="6">
        <v>12.9</v>
      </c>
      <c r="T91" s="5">
        <v>2.0000000000000001E-4</v>
      </c>
      <c r="U91" s="1">
        <v>0.22789999999999999</v>
      </c>
      <c r="V91" s="1">
        <v>5.9945000000000004</v>
      </c>
    </row>
    <row r="92" spans="1:22" x14ac:dyDescent="0.25">
      <c r="A92" s="1">
        <v>1</v>
      </c>
      <c r="B92" s="9" t="s">
        <v>2675</v>
      </c>
      <c r="C92" s="2">
        <v>2144</v>
      </c>
      <c r="D92" s="3" t="s">
        <v>770</v>
      </c>
      <c r="E92" s="9" t="s">
        <v>289</v>
      </c>
      <c r="F92" s="9" t="s">
        <v>290</v>
      </c>
      <c r="G92" s="1">
        <v>1831.9757</v>
      </c>
      <c r="H92" s="2">
        <v>687</v>
      </c>
      <c r="I92" s="2">
        <v>3</v>
      </c>
      <c r="J92" s="1">
        <v>1832.1512</v>
      </c>
      <c r="K92" s="1">
        <v>611.66579999999999</v>
      </c>
      <c r="L92" s="9" t="s">
        <v>291</v>
      </c>
      <c r="M92" s="2">
        <v>6.17</v>
      </c>
      <c r="N92" s="4">
        <v>3797.26</v>
      </c>
      <c r="O92" s="1">
        <v>95.640462487848751</v>
      </c>
      <c r="P92" s="6">
        <v>39.700000000000003</v>
      </c>
      <c r="Q92" s="6">
        <v>21.6</v>
      </c>
      <c r="R92" s="6">
        <v>11.6</v>
      </c>
      <c r="S92" s="6">
        <v>10.3</v>
      </c>
      <c r="T92" s="5">
        <v>5.3000000000000001E-7</v>
      </c>
      <c r="U92" s="1">
        <v>0.17549999999999999</v>
      </c>
      <c r="V92" s="1">
        <v>10.361000000000001</v>
      </c>
    </row>
    <row r="93" spans="1:22" x14ac:dyDescent="0.25">
      <c r="A93" s="1">
        <v>0.98009999999999997</v>
      </c>
      <c r="B93" s="9" t="s">
        <v>2676</v>
      </c>
      <c r="C93" s="2">
        <v>2158</v>
      </c>
      <c r="D93" s="3" t="s">
        <v>25</v>
      </c>
      <c r="E93" s="9" t="s">
        <v>2677</v>
      </c>
      <c r="F93" s="9" t="s">
        <v>1262</v>
      </c>
      <c r="G93" s="1">
        <v>1981.0556999999999</v>
      </c>
      <c r="H93" s="2">
        <v>950</v>
      </c>
      <c r="I93" s="2">
        <v>2</v>
      </c>
      <c r="J93" s="1">
        <v>1981.1912</v>
      </c>
      <c r="K93" s="1">
        <v>991.53510000000006</v>
      </c>
      <c r="L93" s="9" t="s">
        <v>1263</v>
      </c>
      <c r="M93" s="2">
        <v>10</v>
      </c>
      <c r="N93" s="4">
        <v>3832.87</v>
      </c>
      <c r="O93" s="1">
        <v>68.328393014024414</v>
      </c>
      <c r="P93" s="6">
        <v>43.9</v>
      </c>
      <c r="Q93" s="6">
        <v>29.5</v>
      </c>
      <c r="R93" s="6">
        <v>12.9</v>
      </c>
      <c r="S93" s="6">
        <v>10.5</v>
      </c>
      <c r="T93" s="5">
        <v>2.3E-3</v>
      </c>
      <c r="U93" s="1">
        <v>0.13550000000000001</v>
      </c>
      <c r="V93" s="1">
        <v>3.8338999999999999</v>
      </c>
    </row>
    <row r="94" spans="1:22" x14ac:dyDescent="0.25">
      <c r="A94" s="1">
        <v>0.99880000000000002</v>
      </c>
      <c r="B94" s="9" t="s">
        <v>2678</v>
      </c>
      <c r="C94" s="2">
        <v>2160</v>
      </c>
      <c r="D94" s="3" t="s">
        <v>270</v>
      </c>
      <c r="E94" s="9" t="s">
        <v>1357</v>
      </c>
      <c r="F94" s="9" t="s">
        <v>1358</v>
      </c>
      <c r="G94" s="1">
        <v>1735.9117000000001</v>
      </c>
      <c r="H94" s="2">
        <v>102</v>
      </c>
      <c r="I94" s="2">
        <v>2</v>
      </c>
      <c r="J94" s="1">
        <v>1736.0790999999999</v>
      </c>
      <c r="K94" s="1">
        <v>868.96310000000005</v>
      </c>
      <c r="L94" s="9" t="s">
        <v>1359</v>
      </c>
      <c r="M94" s="2">
        <v>8.7200000000000006</v>
      </c>
      <c r="N94" s="4">
        <v>3829.61</v>
      </c>
      <c r="O94" s="1">
        <v>96.321696513925616</v>
      </c>
      <c r="P94" s="6">
        <v>46.6</v>
      </c>
      <c r="Q94" s="6">
        <v>23.9</v>
      </c>
      <c r="R94" s="6">
        <v>11.2</v>
      </c>
      <c r="S94" s="6">
        <v>12.3</v>
      </c>
      <c r="T94" s="5">
        <v>4.8000000000000001E-5</v>
      </c>
      <c r="U94" s="1">
        <v>0.16739999999999999</v>
      </c>
      <c r="V94" s="1">
        <v>6.7354000000000003</v>
      </c>
    </row>
    <row r="95" spans="1:22" x14ac:dyDescent="0.25">
      <c r="A95" s="1">
        <v>0.98799999999999999</v>
      </c>
      <c r="B95" s="9" t="s">
        <v>2679</v>
      </c>
      <c r="C95" s="2">
        <v>2167</v>
      </c>
      <c r="D95" s="3" t="s">
        <v>472</v>
      </c>
      <c r="E95" s="9" t="s">
        <v>299</v>
      </c>
      <c r="F95" s="9" t="s">
        <v>2163</v>
      </c>
      <c r="G95" s="1">
        <v>1122.5847000000001</v>
      </c>
      <c r="H95" s="2">
        <v>104</v>
      </c>
      <c r="I95" s="2">
        <v>2</v>
      </c>
      <c r="J95" s="1">
        <v>1122.6287</v>
      </c>
      <c r="K95" s="1">
        <v>562.29960000000005</v>
      </c>
      <c r="L95" s="9" t="s">
        <v>673</v>
      </c>
      <c r="M95" s="2">
        <v>8.35</v>
      </c>
      <c r="N95" s="4">
        <v>3850.53</v>
      </c>
      <c r="O95" s="1">
        <v>39.125050062279961</v>
      </c>
      <c r="P95" s="6">
        <v>51.5</v>
      </c>
      <c r="Q95" s="6">
        <v>36.799999999999997</v>
      </c>
      <c r="R95" s="6">
        <v>11.3</v>
      </c>
      <c r="S95" s="6">
        <v>11.8</v>
      </c>
      <c r="T95" s="5">
        <v>1.2999999999999999E-2</v>
      </c>
      <c r="U95" s="1">
        <v>4.3999999999999997E-2</v>
      </c>
      <c r="V95" s="1">
        <v>4.4713000000000003</v>
      </c>
    </row>
    <row r="96" spans="1:22" x14ac:dyDescent="0.25">
      <c r="A96" s="1">
        <v>0.99739999999999995</v>
      </c>
      <c r="B96" s="9" t="s">
        <v>2680</v>
      </c>
      <c r="C96" s="2">
        <v>2170</v>
      </c>
      <c r="D96" s="3" t="s">
        <v>316</v>
      </c>
      <c r="E96" s="9" t="s">
        <v>1355</v>
      </c>
      <c r="F96" s="9" t="s">
        <v>1083</v>
      </c>
      <c r="G96" s="1">
        <v>1670.8087</v>
      </c>
      <c r="H96" s="2">
        <v>105</v>
      </c>
      <c r="I96" s="2">
        <v>2</v>
      </c>
      <c r="J96" s="1">
        <v>1670.9465</v>
      </c>
      <c r="K96" s="1">
        <v>836.41160000000002</v>
      </c>
      <c r="L96" s="9" t="s">
        <v>1084</v>
      </c>
      <c r="M96" s="2">
        <v>5.51</v>
      </c>
      <c r="N96" s="4">
        <v>3860.99</v>
      </c>
      <c r="O96" s="1">
        <v>82.375710714676842</v>
      </c>
      <c r="P96" s="6">
        <v>39</v>
      </c>
      <c r="Q96" s="6">
        <v>23.8</v>
      </c>
      <c r="R96" s="6">
        <v>10.5</v>
      </c>
      <c r="S96" s="6">
        <v>9.4</v>
      </c>
      <c r="T96" s="5">
        <v>2.9E-4</v>
      </c>
      <c r="U96" s="1">
        <v>0.13780000000000001</v>
      </c>
      <c r="V96" s="1">
        <v>5.5498000000000003</v>
      </c>
    </row>
    <row r="97" spans="1:22" x14ac:dyDescent="0.25">
      <c r="A97" s="1">
        <v>0.96960000000000002</v>
      </c>
      <c r="B97" s="9" t="s">
        <v>2681</v>
      </c>
      <c r="C97" s="2">
        <v>2176</v>
      </c>
      <c r="D97" s="3" t="s">
        <v>302</v>
      </c>
      <c r="E97" s="9" t="s">
        <v>2682</v>
      </c>
      <c r="F97" s="9" t="s">
        <v>2683</v>
      </c>
      <c r="G97" s="1">
        <v>1466.7227</v>
      </c>
      <c r="H97" s="2">
        <v>465</v>
      </c>
      <c r="I97" s="2">
        <v>2</v>
      </c>
      <c r="J97" s="1">
        <v>1466.8666000000001</v>
      </c>
      <c r="K97" s="1">
        <v>734.36860000000001</v>
      </c>
      <c r="L97" s="9" t="s">
        <v>2684</v>
      </c>
      <c r="M97" s="2">
        <v>6.19</v>
      </c>
      <c r="N97" s="4">
        <v>3871.44</v>
      </c>
      <c r="O97" s="1">
        <v>97.975321929614097</v>
      </c>
      <c r="P97" s="6">
        <v>32.1</v>
      </c>
      <c r="Q97" s="6">
        <v>23.7</v>
      </c>
      <c r="R97" s="6">
        <v>10.7</v>
      </c>
      <c r="S97" s="6">
        <v>10.4</v>
      </c>
      <c r="T97" s="5">
        <v>1.4E-2</v>
      </c>
      <c r="U97" s="1">
        <v>0.1439</v>
      </c>
      <c r="V97" s="1">
        <v>3.7216999999999998</v>
      </c>
    </row>
    <row r="98" spans="1:22" x14ac:dyDescent="0.25">
      <c r="A98" s="1">
        <v>0.97270000000000001</v>
      </c>
      <c r="B98" s="9" t="s">
        <v>2685</v>
      </c>
      <c r="C98" s="2">
        <v>2178</v>
      </c>
      <c r="D98" s="3" t="s">
        <v>702</v>
      </c>
      <c r="E98" s="9" t="s">
        <v>2686</v>
      </c>
      <c r="F98" s="9" t="s">
        <v>2687</v>
      </c>
      <c r="G98" s="1">
        <v>1285.5757000000001</v>
      </c>
      <c r="H98" s="2">
        <v>779</v>
      </c>
      <c r="I98" s="2">
        <v>2</v>
      </c>
      <c r="J98" s="1">
        <v>1285.6802</v>
      </c>
      <c r="K98" s="1">
        <v>643.79510000000005</v>
      </c>
      <c r="L98" s="9" t="s">
        <v>2688</v>
      </c>
      <c r="M98" s="2">
        <v>5.98</v>
      </c>
      <c r="N98" s="4">
        <v>3881.87</v>
      </c>
      <c r="O98" s="1">
        <v>81.159362660573208</v>
      </c>
      <c r="P98" s="6">
        <v>32.299999999999997</v>
      </c>
      <c r="Q98" s="6">
        <v>25.3</v>
      </c>
      <c r="R98" s="6">
        <v>8.4</v>
      </c>
      <c r="S98" s="6">
        <v>7.4</v>
      </c>
      <c r="T98" s="5">
        <v>1.4E-2</v>
      </c>
      <c r="U98" s="1">
        <v>0.1045</v>
      </c>
      <c r="V98" s="1">
        <v>3.5047999999999999</v>
      </c>
    </row>
    <row r="99" spans="1:22" x14ac:dyDescent="0.25">
      <c r="A99" s="1">
        <v>0.99909999999999999</v>
      </c>
      <c r="B99" s="9" t="s">
        <v>2689</v>
      </c>
      <c r="C99" s="2">
        <v>2184</v>
      </c>
      <c r="D99" s="3" t="s">
        <v>278</v>
      </c>
      <c r="E99" s="9" t="s">
        <v>271</v>
      </c>
      <c r="F99" s="9" t="s">
        <v>272</v>
      </c>
      <c r="G99" s="1">
        <v>1682.8077000000001</v>
      </c>
      <c r="H99" s="2">
        <v>954</v>
      </c>
      <c r="I99" s="2">
        <v>2</v>
      </c>
      <c r="J99" s="1">
        <v>1682.9757999999999</v>
      </c>
      <c r="K99" s="1">
        <v>842.41110000000003</v>
      </c>
      <c r="L99" s="9" t="s">
        <v>273</v>
      </c>
      <c r="M99" s="2">
        <v>4.46</v>
      </c>
      <c r="N99" s="4">
        <v>3901.75</v>
      </c>
      <c r="O99" s="1">
        <v>99.773139266564741</v>
      </c>
      <c r="P99" s="6">
        <v>50.2</v>
      </c>
      <c r="Q99" s="6">
        <v>32.700000000000003</v>
      </c>
      <c r="R99" s="6">
        <v>12</v>
      </c>
      <c r="S99" s="6">
        <v>12.2</v>
      </c>
      <c r="T99" s="5">
        <v>6.7000000000000002E-6</v>
      </c>
      <c r="U99" s="1">
        <v>0.1681</v>
      </c>
      <c r="V99" s="1">
        <v>6.9851000000000001</v>
      </c>
    </row>
    <row r="100" spans="1:22" x14ac:dyDescent="0.25">
      <c r="A100" s="1">
        <v>0.99280000000000002</v>
      </c>
      <c r="B100" s="9" t="s">
        <v>2690</v>
      </c>
      <c r="C100" s="2">
        <v>2186</v>
      </c>
      <c r="D100" s="3" t="s">
        <v>333</v>
      </c>
      <c r="E100" s="9" t="s">
        <v>289</v>
      </c>
      <c r="F100" s="9" t="s">
        <v>290</v>
      </c>
      <c r="G100" s="1">
        <v>1831.9757</v>
      </c>
      <c r="H100" s="2">
        <v>106</v>
      </c>
      <c r="I100" s="2">
        <v>3</v>
      </c>
      <c r="J100" s="1">
        <v>1831.9244000000001</v>
      </c>
      <c r="K100" s="1">
        <v>611.66579999999999</v>
      </c>
      <c r="L100" s="9" t="s">
        <v>291</v>
      </c>
      <c r="M100" s="2">
        <v>6.17</v>
      </c>
      <c r="N100" s="4">
        <v>3902.77</v>
      </c>
      <c r="O100" s="1">
        <v>-27.956442881063484</v>
      </c>
      <c r="P100" s="6">
        <v>37.6</v>
      </c>
      <c r="Q100" s="6">
        <v>31.2</v>
      </c>
      <c r="R100" s="6">
        <v>11.7</v>
      </c>
      <c r="S100" s="6">
        <v>10.4</v>
      </c>
      <c r="T100" s="5">
        <v>6.0000000000000001E-3</v>
      </c>
      <c r="U100" s="1">
        <v>-5.1299999999999998E-2</v>
      </c>
      <c r="V100" s="1">
        <v>3.8443999999999998</v>
      </c>
    </row>
    <row r="101" spans="1:22" x14ac:dyDescent="0.25">
      <c r="A101" s="1">
        <v>0.99870000000000003</v>
      </c>
      <c r="B101" s="9" t="s">
        <v>2691</v>
      </c>
      <c r="C101" s="2">
        <v>2192</v>
      </c>
      <c r="D101" s="3" t="s">
        <v>2692</v>
      </c>
      <c r="E101" s="9" t="s">
        <v>2693</v>
      </c>
      <c r="F101" s="9" t="s">
        <v>1014</v>
      </c>
      <c r="G101" s="1">
        <v>2940.4976999999999</v>
      </c>
      <c r="H101" s="2">
        <v>1052</v>
      </c>
      <c r="I101" s="2">
        <v>3</v>
      </c>
      <c r="J101" s="1">
        <v>2941.0266000000001</v>
      </c>
      <c r="K101" s="1">
        <v>981.17319999999995</v>
      </c>
      <c r="L101" s="9" t="s">
        <v>1015</v>
      </c>
      <c r="M101" s="2">
        <v>5.3</v>
      </c>
      <c r="N101" s="4">
        <v>3922.66</v>
      </c>
      <c r="O101" s="1">
        <v>-161.18628868650984</v>
      </c>
      <c r="P101" s="6">
        <v>61.3</v>
      </c>
      <c r="Q101" s="6">
        <v>28.5</v>
      </c>
      <c r="R101" s="6">
        <v>12</v>
      </c>
      <c r="S101" s="6">
        <v>11.6</v>
      </c>
      <c r="T101" s="5">
        <v>2.4999999999999999E-8</v>
      </c>
      <c r="U101" s="1">
        <v>0.52890000000000004</v>
      </c>
      <c r="V101" s="1">
        <v>8.9969000000000001</v>
      </c>
    </row>
    <row r="102" spans="1:22" x14ac:dyDescent="0.25">
      <c r="A102" s="1">
        <v>0.98</v>
      </c>
      <c r="B102" s="9" t="s">
        <v>2694</v>
      </c>
      <c r="C102" s="2">
        <v>2195</v>
      </c>
      <c r="D102" s="3" t="s">
        <v>2695</v>
      </c>
      <c r="E102" s="9" t="s">
        <v>339</v>
      </c>
      <c r="F102" s="9" t="s">
        <v>340</v>
      </c>
      <c r="G102" s="1">
        <v>1202.7097000000001</v>
      </c>
      <c r="H102" s="2">
        <v>782</v>
      </c>
      <c r="I102" s="2">
        <v>2</v>
      </c>
      <c r="J102" s="1">
        <v>1202.8067000000001</v>
      </c>
      <c r="K102" s="1">
        <v>602.36210000000005</v>
      </c>
      <c r="L102" s="9" t="s">
        <v>341</v>
      </c>
      <c r="M102" s="2">
        <v>9.6999999999999993</v>
      </c>
      <c r="N102" s="4">
        <v>3923.68</v>
      </c>
      <c r="O102" s="1">
        <v>80.5163538675491</v>
      </c>
      <c r="P102" s="6">
        <v>53.8</v>
      </c>
      <c r="Q102" s="6">
        <v>40.700000000000003</v>
      </c>
      <c r="R102" s="6">
        <v>11</v>
      </c>
      <c r="S102" s="6">
        <v>11.9</v>
      </c>
      <c r="T102" s="5">
        <v>2.1999999999999999E-2</v>
      </c>
      <c r="U102" s="1">
        <v>9.7000000000000003E-2</v>
      </c>
      <c r="V102" s="1">
        <v>3.7342</v>
      </c>
    </row>
    <row r="103" spans="1:22" x14ac:dyDescent="0.25">
      <c r="A103" s="1">
        <v>0.97950000000000004</v>
      </c>
      <c r="B103" s="9" t="s">
        <v>2696</v>
      </c>
      <c r="C103" s="2">
        <v>2196</v>
      </c>
      <c r="D103" s="3" t="s">
        <v>891</v>
      </c>
      <c r="E103" s="9" t="s">
        <v>299</v>
      </c>
      <c r="F103" s="9" t="s">
        <v>2163</v>
      </c>
      <c r="G103" s="1">
        <v>1122.5847000000001</v>
      </c>
      <c r="H103" s="2">
        <v>466</v>
      </c>
      <c r="I103" s="2">
        <v>2</v>
      </c>
      <c r="J103" s="1">
        <v>1122.6622</v>
      </c>
      <c r="K103" s="1">
        <v>562.29960000000005</v>
      </c>
      <c r="L103" s="9" t="s">
        <v>673</v>
      </c>
      <c r="M103" s="2">
        <v>8.35</v>
      </c>
      <c r="N103" s="4">
        <v>3923.68</v>
      </c>
      <c r="O103" s="1">
        <v>68.913440450606757</v>
      </c>
      <c r="P103" s="6">
        <v>33.9</v>
      </c>
      <c r="Q103" s="6">
        <v>25.9</v>
      </c>
      <c r="R103" s="6">
        <v>11.7</v>
      </c>
      <c r="S103" s="6">
        <v>10.4</v>
      </c>
      <c r="T103" s="5">
        <v>1.7000000000000001E-2</v>
      </c>
      <c r="U103" s="1">
        <v>7.7499999999999999E-2</v>
      </c>
      <c r="V103" s="1">
        <v>4.0399000000000003</v>
      </c>
    </row>
    <row r="104" spans="1:22" x14ac:dyDescent="0.25">
      <c r="A104" s="1">
        <v>0.99970000000000003</v>
      </c>
      <c r="B104" s="9" t="s">
        <v>2697</v>
      </c>
      <c r="C104" s="2">
        <v>2198</v>
      </c>
      <c r="D104" s="3" t="s">
        <v>1363</v>
      </c>
      <c r="E104" s="9" t="s">
        <v>289</v>
      </c>
      <c r="F104" s="9" t="s">
        <v>290</v>
      </c>
      <c r="G104" s="1">
        <v>1831.9757</v>
      </c>
      <c r="H104" s="2">
        <v>107</v>
      </c>
      <c r="I104" s="2">
        <v>2</v>
      </c>
      <c r="J104" s="1">
        <v>1832.3209999999999</v>
      </c>
      <c r="K104" s="1">
        <v>916.99509999999998</v>
      </c>
      <c r="L104" s="9" t="s">
        <v>291</v>
      </c>
      <c r="M104" s="2">
        <v>6.17</v>
      </c>
      <c r="N104" s="4">
        <v>3934.11</v>
      </c>
      <c r="O104" s="1">
        <v>188.27799625101596</v>
      </c>
      <c r="P104" s="6">
        <v>53.2</v>
      </c>
      <c r="Q104" s="6">
        <v>26.5</v>
      </c>
      <c r="R104" s="6">
        <v>11.7</v>
      </c>
      <c r="S104" s="6">
        <v>10.8</v>
      </c>
      <c r="T104" s="5">
        <v>5.7999999999999995E-7</v>
      </c>
      <c r="U104" s="1">
        <v>0.3453</v>
      </c>
      <c r="V104" s="1">
        <v>8.6867999999999999</v>
      </c>
    </row>
    <row r="105" spans="1:22" x14ac:dyDescent="0.25">
      <c r="A105" s="1">
        <v>0.97140000000000004</v>
      </c>
      <c r="B105" s="9" t="s">
        <v>2698</v>
      </c>
      <c r="C105" s="2">
        <v>2203</v>
      </c>
      <c r="D105" s="3" t="s">
        <v>2699</v>
      </c>
      <c r="E105" s="9" t="s">
        <v>2700</v>
      </c>
      <c r="F105" s="9" t="s">
        <v>122</v>
      </c>
      <c r="G105" s="1">
        <v>2708.3697000000002</v>
      </c>
      <c r="H105" s="2">
        <v>1053</v>
      </c>
      <c r="I105" s="2">
        <v>3</v>
      </c>
      <c r="J105" s="1">
        <v>2709.7217000000001</v>
      </c>
      <c r="K105" s="1">
        <v>903.79719999999998</v>
      </c>
      <c r="L105" s="9" t="s">
        <v>123</v>
      </c>
      <c r="M105" s="2">
        <v>8.82</v>
      </c>
      <c r="N105" s="4">
        <v>3950.91</v>
      </c>
      <c r="O105" s="1">
        <v>128.5852622690135</v>
      </c>
      <c r="P105" s="6">
        <v>39.1</v>
      </c>
      <c r="Q105" s="6">
        <v>26.5</v>
      </c>
      <c r="R105" s="6">
        <v>13.6</v>
      </c>
      <c r="S105" s="6">
        <v>10.199999999999999</v>
      </c>
      <c r="T105" s="5">
        <v>1.1000000000000001E-3</v>
      </c>
      <c r="U105" s="1">
        <v>1.3520000000000001</v>
      </c>
      <c r="V105" s="1">
        <v>4.3849</v>
      </c>
    </row>
    <row r="106" spans="1:22" x14ac:dyDescent="0.25">
      <c r="A106" s="1">
        <v>0.96350000000000002</v>
      </c>
      <c r="B106" s="9" t="s">
        <v>2701</v>
      </c>
      <c r="C106" s="2">
        <v>2204</v>
      </c>
      <c r="D106" s="3" t="s">
        <v>15</v>
      </c>
      <c r="E106" s="9" t="s">
        <v>353</v>
      </c>
      <c r="F106" s="9" t="s">
        <v>354</v>
      </c>
      <c r="G106" s="1">
        <v>1602.9786999999999</v>
      </c>
      <c r="H106" s="2">
        <v>467</v>
      </c>
      <c r="I106" s="2">
        <v>3</v>
      </c>
      <c r="J106" s="1">
        <v>1603.0798</v>
      </c>
      <c r="K106" s="1">
        <v>535.33349999999996</v>
      </c>
      <c r="L106" s="9" t="s">
        <v>355</v>
      </c>
      <c r="M106" s="2">
        <v>9.6999999999999993</v>
      </c>
      <c r="N106" s="4">
        <v>3944.54</v>
      </c>
      <c r="O106" s="1">
        <v>62.951412530693482</v>
      </c>
      <c r="P106" s="6">
        <v>26.7</v>
      </c>
      <c r="Q106" s="6">
        <v>20.7</v>
      </c>
      <c r="R106" s="6">
        <v>9.1</v>
      </c>
      <c r="S106" s="6">
        <v>10.7</v>
      </c>
      <c r="T106" s="5">
        <v>4.8000000000000001E-2</v>
      </c>
      <c r="U106" s="1">
        <v>0.1011</v>
      </c>
      <c r="V106" s="1">
        <v>3.1309</v>
      </c>
    </row>
    <row r="107" spans="1:22" x14ac:dyDescent="0.25">
      <c r="A107" s="1">
        <v>0.99729999999999996</v>
      </c>
      <c r="B107" s="9" t="s">
        <v>2702</v>
      </c>
      <c r="C107" s="2">
        <v>2210</v>
      </c>
      <c r="D107" s="3" t="s">
        <v>163</v>
      </c>
      <c r="E107" s="9" t="s">
        <v>289</v>
      </c>
      <c r="F107" s="9" t="s">
        <v>290</v>
      </c>
      <c r="G107" s="1">
        <v>1831.9757</v>
      </c>
      <c r="H107" s="2">
        <v>469</v>
      </c>
      <c r="I107" s="2">
        <v>3</v>
      </c>
      <c r="J107" s="1">
        <v>1831.8925999999999</v>
      </c>
      <c r="K107" s="1">
        <v>611.66579999999999</v>
      </c>
      <c r="L107" s="9" t="s">
        <v>291</v>
      </c>
      <c r="M107" s="2">
        <v>6.17</v>
      </c>
      <c r="N107" s="4">
        <v>3965.43</v>
      </c>
      <c r="O107" s="1">
        <v>-45.286167707921543</v>
      </c>
      <c r="P107" s="6">
        <v>34.5</v>
      </c>
      <c r="Q107" s="6">
        <v>24.1</v>
      </c>
      <c r="R107" s="6">
        <v>11.6</v>
      </c>
      <c r="S107" s="6">
        <v>10.4</v>
      </c>
      <c r="T107" s="5">
        <v>7.1000000000000004E-3</v>
      </c>
      <c r="U107" s="1">
        <v>-8.3099999999999993E-2</v>
      </c>
      <c r="V107" s="1">
        <v>4.4558999999999997</v>
      </c>
    </row>
    <row r="108" spans="1:22" x14ac:dyDescent="0.25">
      <c r="A108" s="1">
        <v>0.99560000000000004</v>
      </c>
      <c r="B108" s="9" t="s">
        <v>2703</v>
      </c>
      <c r="C108" s="2">
        <v>2212</v>
      </c>
      <c r="D108" s="3" t="s">
        <v>316</v>
      </c>
      <c r="E108" s="9" t="s">
        <v>1355</v>
      </c>
      <c r="F108" s="9" t="s">
        <v>1083</v>
      </c>
      <c r="G108" s="1">
        <v>1670.8087</v>
      </c>
      <c r="H108" s="2">
        <v>263</v>
      </c>
      <c r="I108" s="2">
        <v>2</v>
      </c>
      <c r="J108" s="1">
        <v>1670.9648999999999</v>
      </c>
      <c r="K108" s="1">
        <v>836.41160000000002</v>
      </c>
      <c r="L108" s="9" t="s">
        <v>1084</v>
      </c>
      <c r="M108" s="2">
        <v>5.51</v>
      </c>
      <c r="N108" s="4">
        <v>3974.86</v>
      </c>
      <c r="O108" s="1">
        <v>93.375079924764307</v>
      </c>
      <c r="P108" s="6">
        <v>37.5</v>
      </c>
      <c r="Q108" s="6">
        <v>23</v>
      </c>
      <c r="R108" s="6">
        <v>10.6</v>
      </c>
      <c r="S108" s="6">
        <v>9.5</v>
      </c>
      <c r="T108" s="5">
        <v>6.4999999999999997E-4</v>
      </c>
      <c r="U108" s="1">
        <v>0.15620000000000001</v>
      </c>
      <c r="V108" s="1">
        <v>5.1914999999999996</v>
      </c>
    </row>
    <row r="109" spans="1:22" x14ac:dyDescent="0.25">
      <c r="A109" s="1">
        <v>0.99970000000000003</v>
      </c>
      <c r="B109" s="9" t="s">
        <v>2704</v>
      </c>
      <c r="C109" s="2">
        <v>2214</v>
      </c>
      <c r="D109" s="3" t="s">
        <v>2220</v>
      </c>
      <c r="E109" s="9" t="s">
        <v>289</v>
      </c>
      <c r="F109" s="9" t="s">
        <v>290</v>
      </c>
      <c r="G109" s="1">
        <v>1831.9757</v>
      </c>
      <c r="H109" s="2">
        <v>109</v>
      </c>
      <c r="I109" s="2">
        <v>2</v>
      </c>
      <c r="J109" s="1">
        <v>1832.0881999999999</v>
      </c>
      <c r="K109" s="1">
        <v>916.99509999999998</v>
      </c>
      <c r="L109" s="9" t="s">
        <v>291</v>
      </c>
      <c r="M109" s="2">
        <v>6.17</v>
      </c>
      <c r="N109" s="4">
        <v>3975.88</v>
      </c>
      <c r="O109" s="1">
        <v>61.341658205152889</v>
      </c>
      <c r="P109" s="6">
        <v>60.4</v>
      </c>
      <c r="Q109" s="6">
        <v>28.4</v>
      </c>
      <c r="R109" s="6">
        <v>11.5</v>
      </c>
      <c r="S109" s="6">
        <v>9.4</v>
      </c>
      <c r="T109" s="5">
        <v>2.8000000000000002E-7</v>
      </c>
      <c r="U109" s="1">
        <v>0.1125</v>
      </c>
      <c r="V109" s="1">
        <v>9.1175999999999995</v>
      </c>
    </row>
    <row r="110" spans="1:22" x14ac:dyDescent="0.25">
      <c r="A110" s="1">
        <v>0.99629999999999996</v>
      </c>
      <c r="B110" s="9" t="s">
        <v>2705</v>
      </c>
      <c r="C110" s="2">
        <v>2215</v>
      </c>
      <c r="D110" s="3" t="s">
        <v>1363</v>
      </c>
      <c r="E110" s="9" t="s">
        <v>289</v>
      </c>
      <c r="F110" s="9" t="s">
        <v>290</v>
      </c>
      <c r="G110" s="1">
        <v>1831.9757</v>
      </c>
      <c r="H110" s="2">
        <v>110</v>
      </c>
      <c r="I110" s="2">
        <v>2</v>
      </c>
      <c r="J110" s="1">
        <v>1832.6781000000001</v>
      </c>
      <c r="K110" s="1">
        <v>916.99509999999998</v>
      </c>
      <c r="L110" s="9" t="s">
        <v>291</v>
      </c>
      <c r="M110" s="2">
        <v>6.17</v>
      </c>
      <c r="N110" s="4">
        <v>3975.88</v>
      </c>
      <c r="O110" s="1">
        <v>-164.0984777345048</v>
      </c>
      <c r="P110" s="6">
        <v>53.1</v>
      </c>
      <c r="Q110" s="6">
        <v>26.9</v>
      </c>
      <c r="R110" s="6">
        <v>11.7</v>
      </c>
      <c r="S110" s="6">
        <v>10.5</v>
      </c>
      <c r="T110" s="5">
        <v>1.9E-6</v>
      </c>
      <c r="U110" s="1">
        <v>0.70240000000000002</v>
      </c>
      <c r="V110" s="1">
        <v>8.1432000000000002</v>
      </c>
    </row>
    <row r="111" spans="1:22" x14ac:dyDescent="0.25">
      <c r="A111" s="1">
        <v>0.99960000000000004</v>
      </c>
      <c r="B111" s="9" t="s">
        <v>2706</v>
      </c>
      <c r="C111" s="2">
        <v>2218</v>
      </c>
      <c r="D111" s="3" t="s">
        <v>2662</v>
      </c>
      <c r="E111" s="9" t="s">
        <v>289</v>
      </c>
      <c r="F111" s="9" t="s">
        <v>290</v>
      </c>
      <c r="G111" s="1">
        <v>1831.9757</v>
      </c>
      <c r="H111" s="2">
        <v>111</v>
      </c>
      <c r="I111" s="2">
        <v>2</v>
      </c>
      <c r="J111" s="1">
        <v>1831.7820999999999</v>
      </c>
      <c r="K111" s="1">
        <v>916.99509999999998</v>
      </c>
      <c r="L111" s="9" t="s">
        <v>291</v>
      </c>
      <c r="M111" s="2">
        <v>6.17</v>
      </c>
      <c r="N111" s="4">
        <v>3986.35</v>
      </c>
      <c r="O111" s="1">
        <v>-105.56217803126756</v>
      </c>
      <c r="P111" s="6">
        <v>56.9</v>
      </c>
      <c r="Q111" s="6">
        <v>27.7</v>
      </c>
      <c r="R111" s="6">
        <v>11.7</v>
      </c>
      <c r="S111" s="6">
        <v>9.8000000000000007</v>
      </c>
      <c r="T111" s="5">
        <v>1.3999999999999999E-6</v>
      </c>
      <c r="U111" s="1">
        <v>-0.19359999999999999</v>
      </c>
      <c r="V111" s="1">
        <v>8.3582999999999998</v>
      </c>
    </row>
    <row r="112" spans="1:22" x14ac:dyDescent="0.25">
      <c r="A112" s="1">
        <v>0.97319999999999995</v>
      </c>
      <c r="B112" s="9" t="s">
        <v>2707</v>
      </c>
      <c r="C112" s="2">
        <v>2220</v>
      </c>
      <c r="D112" s="3" t="s">
        <v>2708</v>
      </c>
      <c r="E112" s="9" t="s">
        <v>299</v>
      </c>
      <c r="F112" s="9" t="s">
        <v>2163</v>
      </c>
      <c r="G112" s="1">
        <v>1122.5847000000001</v>
      </c>
      <c r="H112" s="2">
        <v>354</v>
      </c>
      <c r="I112" s="2">
        <v>2</v>
      </c>
      <c r="J112" s="1">
        <v>1122.6576</v>
      </c>
      <c r="K112" s="1">
        <v>562.29960000000005</v>
      </c>
      <c r="L112" s="9" t="s">
        <v>673</v>
      </c>
      <c r="M112" s="2">
        <v>8.35</v>
      </c>
      <c r="N112" s="4">
        <v>3986.35</v>
      </c>
      <c r="O112" s="1">
        <v>64.823094307732035</v>
      </c>
      <c r="P112" s="6">
        <v>28.1</v>
      </c>
      <c r="Q112" s="6">
        <v>21.1</v>
      </c>
      <c r="R112" s="6">
        <v>10.9</v>
      </c>
      <c r="S112" s="6">
        <v>11</v>
      </c>
      <c r="T112" s="5">
        <v>2.1000000000000001E-2</v>
      </c>
      <c r="U112" s="1">
        <v>7.2900000000000006E-2</v>
      </c>
      <c r="V112" s="1">
        <v>3.9946000000000002</v>
      </c>
    </row>
    <row r="113" spans="1:22" x14ac:dyDescent="0.25">
      <c r="A113" s="1">
        <v>0.99929999999999997</v>
      </c>
      <c r="B113" s="9" t="s">
        <v>2709</v>
      </c>
      <c r="C113" s="2">
        <v>2238</v>
      </c>
      <c r="D113" s="3" t="s">
        <v>770</v>
      </c>
      <c r="E113" s="9" t="s">
        <v>289</v>
      </c>
      <c r="F113" s="9" t="s">
        <v>290</v>
      </c>
      <c r="G113" s="1">
        <v>1831.9757</v>
      </c>
      <c r="H113" s="2">
        <v>692</v>
      </c>
      <c r="I113" s="2">
        <v>3</v>
      </c>
      <c r="J113" s="1">
        <v>1832.0804000000001</v>
      </c>
      <c r="K113" s="1">
        <v>611.66579999999999</v>
      </c>
      <c r="L113" s="9" t="s">
        <v>291</v>
      </c>
      <c r="M113" s="2">
        <v>6.17</v>
      </c>
      <c r="N113" s="4">
        <v>4041.91</v>
      </c>
      <c r="O113" s="1">
        <v>57.057301552579858</v>
      </c>
      <c r="P113" s="6">
        <v>38.299999999999997</v>
      </c>
      <c r="Q113" s="6">
        <v>23.7</v>
      </c>
      <c r="R113" s="6">
        <v>11.6</v>
      </c>
      <c r="S113" s="6">
        <v>9.6999999999999993</v>
      </c>
      <c r="T113" s="5">
        <v>5.6999999999999998E-4</v>
      </c>
      <c r="U113" s="1">
        <v>0.1047</v>
      </c>
      <c r="V113" s="1">
        <v>6.2304000000000004</v>
      </c>
    </row>
    <row r="114" spans="1:22" x14ac:dyDescent="0.25">
      <c r="A114" s="1">
        <v>0.99129999999999996</v>
      </c>
      <c r="B114" s="9" t="s">
        <v>2710</v>
      </c>
      <c r="C114" s="2">
        <v>2244</v>
      </c>
      <c r="D114" s="3" t="s">
        <v>891</v>
      </c>
      <c r="E114" s="9" t="s">
        <v>299</v>
      </c>
      <c r="F114" s="9" t="s">
        <v>2163</v>
      </c>
      <c r="G114" s="1">
        <v>1122.5847000000001</v>
      </c>
      <c r="H114" s="2">
        <v>603</v>
      </c>
      <c r="I114" s="2">
        <v>2</v>
      </c>
      <c r="J114" s="1">
        <v>1122.6691000000001</v>
      </c>
      <c r="K114" s="1">
        <v>562.29960000000005</v>
      </c>
      <c r="L114" s="9" t="s">
        <v>673</v>
      </c>
      <c r="M114" s="2">
        <v>8.35</v>
      </c>
      <c r="N114" s="4">
        <v>4058.51</v>
      </c>
      <c r="O114" s="1">
        <v>75.04895966491884</v>
      </c>
      <c r="P114" s="6">
        <v>35.6</v>
      </c>
      <c r="Q114" s="6">
        <v>24.7</v>
      </c>
      <c r="R114" s="6">
        <v>10.6</v>
      </c>
      <c r="S114" s="6">
        <v>11.3</v>
      </c>
      <c r="T114" s="5">
        <v>6.1000000000000004E-3</v>
      </c>
      <c r="U114" s="1">
        <v>8.4400000000000003E-2</v>
      </c>
      <c r="V114" s="1">
        <v>5.0167000000000002</v>
      </c>
    </row>
    <row r="115" spans="1:22" x14ac:dyDescent="0.25">
      <c r="A115" s="1">
        <v>0.98629999999999995</v>
      </c>
      <c r="B115" s="9" t="s">
        <v>2711</v>
      </c>
      <c r="C115" s="2">
        <v>2260</v>
      </c>
      <c r="D115" s="3" t="s">
        <v>183</v>
      </c>
      <c r="E115" s="9" t="s">
        <v>2712</v>
      </c>
      <c r="F115" s="9" t="s">
        <v>1812</v>
      </c>
      <c r="G115" s="1">
        <v>1361.6537000000001</v>
      </c>
      <c r="H115" s="2">
        <v>116</v>
      </c>
      <c r="I115" s="2">
        <v>2</v>
      </c>
      <c r="J115" s="1">
        <v>1361.8146999999999</v>
      </c>
      <c r="K115" s="1">
        <v>681.83410000000003</v>
      </c>
      <c r="L115" s="9" t="s">
        <v>1813</v>
      </c>
      <c r="M115" s="2">
        <v>4.8099999999999996</v>
      </c>
      <c r="N115" s="4">
        <v>4090.91</v>
      </c>
      <c r="O115" s="1">
        <v>118.06391026790827</v>
      </c>
      <c r="P115" s="6">
        <v>32.9</v>
      </c>
      <c r="Q115" s="6">
        <v>23.4</v>
      </c>
      <c r="R115" s="6">
        <v>11.8</v>
      </c>
      <c r="S115" s="6">
        <v>10.8</v>
      </c>
      <c r="T115" s="5">
        <v>1.0999999999999999E-2</v>
      </c>
      <c r="U115" s="1">
        <v>0.161</v>
      </c>
      <c r="V115" s="1">
        <v>4.1428000000000003</v>
      </c>
    </row>
    <row r="116" spans="1:22" x14ac:dyDescent="0.25">
      <c r="A116" s="1">
        <v>0.99960000000000004</v>
      </c>
      <c r="B116" s="9" t="s">
        <v>2713</v>
      </c>
      <c r="C116" s="2">
        <v>2262</v>
      </c>
      <c r="D116" s="3" t="s">
        <v>163</v>
      </c>
      <c r="E116" s="9" t="s">
        <v>289</v>
      </c>
      <c r="F116" s="9" t="s">
        <v>290</v>
      </c>
      <c r="G116" s="1">
        <v>1831.9757</v>
      </c>
      <c r="H116" s="2">
        <v>472</v>
      </c>
      <c r="I116" s="2">
        <v>3</v>
      </c>
      <c r="J116" s="1">
        <v>1832.1445000000001</v>
      </c>
      <c r="K116" s="1">
        <v>611.66579999999999</v>
      </c>
      <c r="L116" s="9" t="s">
        <v>291</v>
      </c>
      <c r="M116" s="2">
        <v>6.17</v>
      </c>
      <c r="N116" s="4">
        <v>4101.3500000000004</v>
      </c>
      <c r="O116" s="1">
        <v>91.989231156403818</v>
      </c>
      <c r="P116" s="6">
        <v>34.6</v>
      </c>
      <c r="Q116" s="6">
        <v>20.5</v>
      </c>
      <c r="R116" s="6">
        <v>11.3</v>
      </c>
      <c r="S116" s="6">
        <v>9</v>
      </c>
      <c r="T116" s="5">
        <v>1.2999999999999999E-3</v>
      </c>
      <c r="U116" s="1">
        <v>0.16880000000000001</v>
      </c>
      <c r="V116" s="1">
        <v>5.9303999999999997</v>
      </c>
    </row>
    <row r="117" spans="1:22" x14ac:dyDescent="0.25">
      <c r="A117" s="1">
        <v>0.996</v>
      </c>
      <c r="B117" s="9" t="s">
        <v>2714</v>
      </c>
      <c r="C117" s="2">
        <v>2275</v>
      </c>
      <c r="D117" s="3" t="s">
        <v>2715</v>
      </c>
      <c r="E117" s="9" t="s">
        <v>1406</v>
      </c>
      <c r="F117" s="9" t="s">
        <v>1407</v>
      </c>
      <c r="G117" s="1">
        <v>2287.2837</v>
      </c>
      <c r="H117" s="2">
        <v>1054</v>
      </c>
      <c r="I117" s="2">
        <v>3</v>
      </c>
      <c r="J117" s="1">
        <v>2287.4969000000001</v>
      </c>
      <c r="K117" s="1">
        <v>763.43520000000001</v>
      </c>
      <c r="L117" s="9" t="s">
        <v>1408</v>
      </c>
      <c r="M117" s="2">
        <v>10.84</v>
      </c>
      <c r="N117" s="4">
        <v>4139.08</v>
      </c>
      <c r="O117" s="1">
        <v>93.08801410606516</v>
      </c>
      <c r="P117" s="6">
        <v>40</v>
      </c>
      <c r="Q117" s="6">
        <v>26.6</v>
      </c>
      <c r="R117" s="6">
        <v>12.6</v>
      </c>
      <c r="S117" s="6">
        <v>11.6</v>
      </c>
      <c r="T117" s="5">
        <v>7.6000000000000004E-4</v>
      </c>
      <c r="U117" s="1">
        <v>0.2132</v>
      </c>
      <c r="V117" s="1">
        <v>4.6909000000000001</v>
      </c>
    </row>
    <row r="118" spans="1:22" x14ac:dyDescent="0.25">
      <c r="A118" s="1">
        <v>0.99860000000000004</v>
      </c>
      <c r="B118" s="9" t="s">
        <v>2716</v>
      </c>
      <c r="C118" s="2">
        <v>2278</v>
      </c>
      <c r="D118" s="3" t="s">
        <v>1321</v>
      </c>
      <c r="E118" s="9" t="s">
        <v>2166</v>
      </c>
      <c r="F118" s="9" t="s">
        <v>2137</v>
      </c>
      <c r="G118" s="1">
        <v>1810.9607000000001</v>
      </c>
      <c r="H118" s="2">
        <v>117</v>
      </c>
      <c r="I118" s="2">
        <v>2</v>
      </c>
      <c r="J118" s="1">
        <v>1811.1367</v>
      </c>
      <c r="K118" s="1">
        <v>906.48760000000004</v>
      </c>
      <c r="L118" s="9" t="s">
        <v>2138</v>
      </c>
      <c r="M118" s="2">
        <v>6.28</v>
      </c>
      <c r="N118" s="4">
        <v>4143.18</v>
      </c>
      <c r="O118" s="1">
        <v>97.077996433707412</v>
      </c>
      <c r="P118" s="6">
        <v>50.9</v>
      </c>
      <c r="Q118" s="6">
        <v>26.2</v>
      </c>
      <c r="R118" s="6">
        <v>9.8000000000000007</v>
      </c>
      <c r="S118" s="6">
        <v>11.6</v>
      </c>
      <c r="T118" s="5">
        <v>3.8999999999999999E-5</v>
      </c>
      <c r="U118" s="1">
        <v>0.17599999999999999</v>
      </c>
      <c r="V118" s="1">
        <v>6.5987</v>
      </c>
    </row>
    <row r="119" spans="1:22" x14ac:dyDescent="0.25">
      <c r="A119" s="1">
        <v>0.99990000000000001</v>
      </c>
      <c r="B119" s="9" t="s">
        <v>2717</v>
      </c>
      <c r="C119" s="2">
        <v>2279</v>
      </c>
      <c r="D119" s="3" t="s">
        <v>1853</v>
      </c>
      <c r="E119" s="9" t="s">
        <v>1406</v>
      </c>
      <c r="F119" s="9" t="s">
        <v>2718</v>
      </c>
      <c r="G119" s="1">
        <v>2287.2837</v>
      </c>
      <c r="H119" s="2">
        <v>118</v>
      </c>
      <c r="I119" s="2">
        <v>3</v>
      </c>
      <c r="J119" s="1">
        <v>2287.4958999999999</v>
      </c>
      <c r="K119" s="1">
        <v>763.43520000000001</v>
      </c>
      <c r="L119" s="9" t="s">
        <v>1408</v>
      </c>
      <c r="M119" s="2">
        <v>10.84</v>
      </c>
      <c r="N119" s="4">
        <v>4143.18</v>
      </c>
      <c r="O119" s="1">
        <v>92.651391150595785</v>
      </c>
      <c r="P119" s="6">
        <v>46.6</v>
      </c>
      <c r="Q119" s="6">
        <v>23</v>
      </c>
      <c r="R119" s="6">
        <v>11.6</v>
      </c>
      <c r="S119" s="6">
        <v>10.4</v>
      </c>
      <c r="T119" s="5">
        <v>9.7000000000000003E-7</v>
      </c>
      <c r="U119" s="1">
        <v>0.2122</v>
      </c>
      <c r="V119" s="1">
        <v>8.2634000000000007</v>
      </c>
    </row>
    <row r="120" spans="1:22" x14ac:dyDescent="0.25">
      <c r="A120" s="1">
        <v>0.99829999999999997</v>
      </c>
      <c r="B120" s="9" t="s">
        <v>2719</v>
      </c>
      <c r="C120" s="2">
        <v>2286</v>
      </c>
      <c r="D120" s="3" t="s">
        <v>558</v>
      </c>
      <c r="E120" s="9" t="s">
        <v>289</v>
      </c>
      <c r="F120" s="9" t="s">
        <v>290</v>
      </c>
      <c r="G120" s="1">
        <v>1831.9757</v>
      </c>
      <c r="H120" s="2">
        <v>696</v>
      </c>
      <c r="I120" s="2">
        <v>3</v>
      </c>
      <c r="J120" s="1">
        <v>1832.1532999999999</v>
      </c>
      <c r="K120" s="1">
        <v>611.66579999999999</v>
      </c>
      <c r="L120" s="9" t="s">
        <v>291</v>
      </c>
      <c r="M120" s="2">
        <v>6.17</v>
      </c>
      <c r="N120" s="4">
        <v>4167.33</v>
      </c>
      <c r="O120" s="1">
        <v>96.784878278301647</v>
      </c>
      <c r="P120" s="6">
        <v>33.4</v>
      </c>
      <c r="Q120" s="6">
        <v>23.2</v>
      </c>
      <c r="R120" s="6">
        <v>11.4</v>
      </c>
      <c r="S120" s="6">
        <v>9.4</v>
      </c>
      <c r="T120" s="5">
        <v>1.1000000000000001E-3</v>
      </c>
      <c r="U120" s="1">
        <v>0.17760000000000001</v>
      </c>
      <c r="V120" s="1">
        <v>5.4737999999999998</v>
      </c>
    </row>
    <row r="121" spans="1:22" x14ac:dyDescent="0.25">
      <c r="A121" s="1">
        <v>0.99709999999999999</v>
      </c>
      <c r="B121" s="9" t="s">
        <v>2720</v>
      </c>
      <c r="C121" s="2">
        <v>2287</v>
      </c>
      <c r="D121" s="3" t="s">
        <v>591</v>
      </c>
      <c r="E121" s="9" t="s">
        <v>2721</v>
      </c>
      <c r="F121" s="9" t="s">
        <v>2722</v>
      </c>
      <c r="G121" s="1">
        <v>1465.7597000000001</v>
      </c>
      <c r="H121" s="2">
        <v>1125</v>
      </c>
      <c r="I121" s="2">
        <v>2</v>
      </c>
      <c r="J121" s="1">
        <v>1465.8855000000001</v>
      </c>
      <c r="K121" s="1">
        <v>733.88710000000003</v>
      </c>
      <c r="L121" s="9" t="s">
        <v>2723</v>
      </c>
      <c r="M121" s="2">
        <v>6.74</v>
      </c>
      <c r="N121" s="4">
        <v>4164.0600000000004</v>
      </c>
      <c r="O121" s="1">
        <v>85.708006040711155</v>
      </c>
      <c r="P121" s="6">
        <v>32.799999999999997</v>
      </c>
      <c r="Q121" s="6">
        <v>22.3</v>
      </c>
      <c r="R121" s="6">
        <v>10.6</v>
      </c>
      <c r="S121" s="6">
        <v>12.7</v>
      </c>
      <c r="T121" s="5">
        <v>9.8999999999999994E-5</v>
      </c>
      <c r="U121" s="1">
        <v>0.1258</v>
      </c>
      <c r="V121" s="1">
        <v>5.7117000000000004</v>
      </c>
    </row>
    <row r="122" spans="1:22" x14ac:dyDescent="0.25">
      <c r="A122" s="1">
        <v>0.95699999999999996</v>
      </c>
      <c r="B122" s="9" t="s">
        <v>2724</v>
      </c>
      <c r="C122" s="2">
        <v>2296</v>
      </c>
      <c r="D122" s="3" t="s">
        <v>2708</v>
      </c>
      <c r="E122" s="9" t="s">
        <v>299</v>
      </c>
      <c r="F122" s="9" t="s">
        <v>2163</v>
      </c>
      <c r="G122" s="1">
        <v>1122.5847000000001</v>
      </c>
      <c r="H122" s="2">
        <v>475</v>
      </c>
      <c r="I122" s="2">
        <v>2</v>
      </c>
      <c r="J122" s="1">
        <v>1122.681</v>
      </c>
      <c r="K122" s="1">
        <v>562.29960000000005</v>
      </c>
      <c r="L122" s="9" t="s">
        <v>673</v>
      </c>
      <c r="M122" s="2">
        <v>8.35</v>
      </c>
      <c r="N122" s="4">
        <v>4184.99</v>
      </c>
      <c r="O122" s="1">
        <v>85.630507295399099</v>
      </c>
      <c r="P122" s="6">
        <v>28</v>
      </c>
      <c r="Q122" s="6">
        <v>21.2</v>
      </c>
      <c r="R122" s="6">
        <v>10.9</v>
      </c>
      <c r="S122" s="6">
        <v>10.7</v>
      </c>
      <c r="T122" s="5">
        <v>5.0999999999999997E-2</v>
      </c>
      <c r="U122" s="1">
        <v>9.6299999999999997E-2</v>
      </c>
      <c r="V122" s="1">
        <v>3.4571999999999998</v>
      </c>
    </row>
    <row r="123" spans="1:22" x14ac:dyDescent="0.25">
      <c r="A123" s="1">
        <v>0.97599999999999998</v>
      </c>
      <c r="B123" s="9" t="s">
        <v>2725</v>
      </c>
      <c r="C123" s="2">
        <v>2300</v>
      </c>
      <c r="D123" s="3" t="s">
        <v>183</v>
      </c>
      <c r="E123" s="9" t="s">
        <v>943</v>
      </c>
      <c r="F123" s="9" t="s">
        <v>944</v>
      </c>
      <c r="G123" s="1">
        <v>1223.6696999999999</v>
      </c>
      <c r="H123" s="2">
        <v>476</v>
      </c>
      <c r="I123" s="2">
        <v>2</v>
      </c>
      <c r="J123" s="1">
        <v>1223.6947</v>
      </c>
      <c r="K123" s="1">
        <v>612.84209999999996</v>
      </c>
      <c r="L123" s="9" t="s">
        <v>945</v>
      </c>
      <c r="M123" s="2">
        <v>6.76</v>
      </c>
      <c r="N123" s="4">
        <v>4195.42</v>
      </c>
      <c r="O123" s="1">
        <v>20.39677104428694</v>
      </c>
      <c r="P123" s="6">
        <v>31.7</v>
      </c>
      <c r="Q123" s="6">
        <v>24</v>
      </c>
      <c r="R123" s="6">
        <v>10.199999999999999</v>
      </c>
      <c r="S123" s="6">
        <v>10.199999999999999</v>
      </c>
      <c r="T123" s="5">
        <v>1.0999999999999999E-2</v>
      </c>
      <c r="U123" s="1">
        <v>2.5000000000000001E-2</v>
      </c>
      <c r="V123" s="1">
        <v>3.9108000000000001</v>
      </c>
    </row>
    <row r="124" spans="1:22" x14ac:dyDescent="0.25">
      <c r="A124" s="1">
        <v>0.99770000000000003</v>
      </c>
      <c r="B124" s="9" t="s">
        <v>2726</v>
      </c>
      <c r="C124" s="2">
        <v>2312</v>
      </c>
      <c r="D124" s="3" t="s">
        <v>770</v>
      </c>
      <c r="E124" s="9" t="s">
        <v>289</v>
      </c>
      <c r="F124" s="9" t="s">
        <v>290</v>
      </c>
      <c r="G124" s="1">
        <v>1831.9757</v>
      </c>
      <c r="H124" s="2">
        <v>311</v>
      </c>
      <c r="I124" s="2">
        <v>3</v>
      </c>
      <c r="J124" s="1">
        <v>1832.1684</v>
      </c>
      <c r="K124" s="1">
        <v>611.66579999999999</v>
      </c>
      <c r="L124" s="9" t="s">
        <v>291</v>
      </c>
      <c r="M124" s="2">
        <v>6.17</v>
      </c>
      <c r="N124" s="4">
        <v>4236.2</v>
      </c>
      <c r="O124" s="1">
        <v>105.01377277155817</v>
      </c>
      <c r="P124" s="6">
        <v>36.6</v>
      </c>
      <c r="Q124" s="6">
        <v>29.2</v>
      </c>
      <c r="R124" s="6">
        <v>10.8</v>
      </c>
      <c r="S124" s="6">
        <v>10.1</v>
      </c>
      <c r="T124" s="5">
        <v>8.3000000000000001E-4</v>
      </c>
      <c r="U124" s="1">
        <v>0.19270000000000001</v>
      </c>
      <c r="V124" s="1">
        <v>5.0727000000000002</v>
      </c>
    </row>
    <row r="125" spans="1:22" x14ac:dyDescent="0.25">
      <c r="A125" s="1">
        <v>0.99980000000000002</v>
      </c>
      <c r="B125" s="9" t="s">
        <v>2727</v>
      </c>
      <c r="C125" s="2">
        <v>2316</v>
      </c>
      <c r="D125" s="3" t="s">
        <v>770</v>
      </c>
      <c r="E125" s="9" t="s">
        <v>289</v>
      </c>
      <c r="F125" s="9" t="s">
        <v>290</v>
      </c>
      <c r="G125" s="1">
        <v>1831.9757</v>
      </c>
      <c r="H125" s="2">
        <v>312</v>
      </c>
      <c r="I125" s="2">
        <v>3</v>
      </c>
      <c r="J125" s="1">
        <v>1832.1605</v>
      </c>
      <c r="K125" s="1">
        <v>611.66579999999999</v>
      </c>
      <c r="L125" s="9" t="s">
        <v>291</v>
      </c>
      <c r="M125" s="2">
        <v>6.17</v>
      </c>
      <c r="N125" s="4">
        <v>4246.6400000000003</v>
      </c>
      <c r="O125" s="1">
        <v>100.70858955985442</v>
      </c>
      <c r="P125" s="6">
        <v>40.1</v>
      </c>
      <c r="Q125" s="6">
        <v>23.4</v>
      </c>
      <c r="R125" s="6">
        <v>11.8</v>
      </c>
      <c r="S125" s="6">
        <v>11</v>
      </c>
      <c r="T125" s="5">
        <v>8.3999999999999995E-5</v>
      </c>
      <c r="U125" s="1">
        <v>0.18479999999999999</v>
      </c>
      <c r="V125" s="1">
        <v>7.4424000000000001</v>
      </c>
    </row>
    <row r="126" spans="1:22" x14ac:dyDescent="0.25">
      <c r="A126" s="1">
        <v>0.99170000000000003</v>
      </c>
      <c r="B126" s="9" t="s">
        <v>2728</v>
      </c>
      <c r="C126" s="2">
        <v>2318</v>
      </c>
      <c r="D126" s="3" t="s">
        <v>302</v>
      </c>
      <c r="E126" s="9" t="s">
        <v>303</v>
      </c>
      <c r="F126" s="9" t="s">
        <v>304</v>
      </c>
      <c r="G126" s="1">
        <v>1302.6857</v>
      </c>
      <c r="H126" s="2">
        <v>121</v>
      </c>
      <c r="I126" s="2">
        <v>2</v>
      </c>
      <c r="J126" s="1">
        <v>1302.7326</v>
      </c>
      <c r="K126" s="1">
        <v>652.3501</v>
      </c>
      <c r="L126" s="9" t="s">
        <v>118</v>
      </c>
      <c r="M126" s="2">
        <v>6.22</v>
      </c>
      <c r="N126" s="4">
        <v>4247.66</v>
      </c>
      <c r="O126" s="1">
        <v>35.946955476821422</v>
      </c>
      <c r="P126" s="6">
        <v>34.700000000000003</v>
      </c>
      <c r="Q126" s="6">
        <v>23.9</v>
      </c>
      <c r="R126" s="6">
        <v>11</v>
      </c>
      <c r="S126" s="6">
        <v>7.8</v>
      </c>
      <c r="T126" s="5">
        <v>2.5999999999999999E-3</v>
      </c>
      <c r="U126" s="1">
        <v>4.6899999999999997E-2</v>
      </c>
      <c r="V126" s="1">
        <v>4.7728999999999999</v>
      </c>
    </row>
    <row r="127" spans="1:22" x14ac:dyDescent="0.25">
      <c r="A127" s="1">
        <v>0.98809999999999998</v>
      </c>
      <c r="B127" s="9" t="s">
        <v>2729</v>
      </c>
      <c r="C127" s="2">
        <v>2323</v>
      </c>
      <c r="D127" s="3" t="s">
        <v>1259</v>
      </c>
      <c r="E127" s="9" t="s">
        <v>2176</v>
      </c>
      <c r="F127" s="9" t="s">
        <v>363</v>
      </c>
      <c r="G127" s="1">
        <v>1844.9707000000001</v>
      </c>
      <c r="H127" s="2">
        <v>1127</v>
      </c>
      <c r="I127" s="2">
        <v>2</v>
      </c>
      <c r="J127" s="1">
        <v>1845.1297</v>
      </c>
      <c r="K127" s="1">
        <v>923.49260000000004</v>
      </c>
      <c r="L127" s="9" t="s">
        <v>364</v>
      </c>
      <c r="M127" s="2">
        <v>8.59</v>
      </c>
      <c r="N127" s="4">
        <v>4258.1400000000003</v>
      </c>
      <c r="O127" s="1">
        <v>86.086233934088909</v>
      </c>
      <c r="P127" s="6">
        <v>35.200000000000003</v>
      </c>
      <c r="Q127" s="6">
        <v>23.2</v>
      </c>
      <c r="R127" s="6">
        <v>10.8</v>
      </c>
      <c r="S127" s="6">
        <v>11.5</v>
      </c>
      <c r="T127" s="5">
        <v>2.7000000000000001E-3</v>
      </c>
      <c r="U127" s="1">
        <v>0.159</v>
      </c>
      <c r="V127" s="1">
        <v>4.1294000000000004</v>
      </c>
    </row>
    <row r="128" spans="1:22" x14ac:dyDescent="0.25">
      <c r="A128" s="1">
        <v>0.9919</v>
      </c>
      <c r="B128" s="9" t="s">
        <v>2730</v>
      </c>
      <c r="C128" s="2">
        <v>2324</v>
      </c>
      <c r="D128" s="3" t="s">
        <v>1588</v>
      </c>
      <c r="E128" s="9" t="s">
        <v>2176</v>
      </c>
      <c r="F128" s="9" t="s">
        <v>363</v>
      </c>
      <c r="G128" s="1">
        <v>1844.9707000000001</v>
      </c>
      <c r="H128" s="2">
        <v>790</v>
      </c>
      <c r="I128" s="2">
        <v>2</v>
      </c>
      <c r="J128" s="1">
        <v>1844.7686000000001</v>
      </c>
      <c r="K128" s="1">
        <v>923.49260000000004</v>
      </c>
      <c r="L128" s="9" t="s">
        <v>364</v>
      </c>
      <c r="M128" s="2">
        <v>8.59</v>
      </c>
      <c r="N128" s="4">
        <v>4258.1400000000003</v>
      </c>
      <c r="O128" s="1">
        <v>-109.42155898163125</v>
      </c>
      <c r="P128" s="6">
        <v>45.2</v>
      </c>
      <c r="Q128" s="6">
        <v>32.299999999999997</v>
      </c>
      <c r="R128" s="6">
        <v>10.1</v>
      </c>
      <c r="S128" s="6">
        <v>11.2</v>
      </c>
      <c r="T128" s="5">
        <v>6.7000000000000002E-4</v>
      </c>
      <c r="U128" s="1">
        <v>-0.2021</v>
      </c>
      <c r="V128" s="1">
        <v>4.4649000000000001</v>
      </c>
    </row>
    <row r="129" spans="1:22" x14ac:dyDescent="0.25">
      <c r="A129" s="1">
        <v>0.96899999999999997</v>
      </c>
      <c r="B129" s="9" t="s">
        <v>2731</v>
      </c>
      <c r="C129" s="2">
        <v>2326</v>
      </c>
      <c r="D129" s="3" t="s">
        <v>511</v>
      </c>
      <c r="E129" s="9" t="s">
        <v>2143</v>
      </c>
      <c r="F129" s="9" t="s">
        <v>1847</v>
      </c>
      <c r="G129" s="1">
        <v>1409.6316999999999</v>
      </c>
      <c r="H129" s="2">
        <v>960</v>
      </c>
      <c r="I129" s="2">
        <v>2</v>
      </c>
      <c r="J129" s="1">
        <v>1409.7492</v>
      </c>
      <c r="K129" s="1">
        <v>705.82309999999995</v>
      </c>
      <c r="L129" s="9" t="s">
        <v>1848</v>
      </c>
      <c r="M129" s="2">
        <v>4.75</v>
      </c>
      <c r="N129" s="4">
        <v>4271.87</v>
      </c>
      <c r="O129" s="1">
        <v>83.236153648130809</v>
      </c>
      <c r="P129" s="6">
        <v>31.1</v>
      </c>
      <c r="Q129" s="6">
        <v>23.9</v>
      </c>
      <c r="R129" s="6">
        <v>11</v>
      </c>
      <c r="S129" s="6">
        <v>9</v>
      </c>
      <c r="T129" s="5">
        <v>2.1000000000000001E-2</v>
      </c>
      <c r="U129" s="1">
        <v>0.11749999999999999</v>
      </c>
      <c r="V129" s="1">
        <v>3.5259999999999998</v>
      </c>
    </row>
    <row r="130" spans="1:22" x14ac:dyDescent="0.25">
      <c r="A130" s="1">
        <v>0.99450000000000005</v>
      </c>
      <c r="B130" s="9" t="s">
        <v>2732</v>
      </c>
      <c r="C130" s="2">
        <v>2328</v>
      </c>
      <c r="D130" s="3" t="s">
        <v>1588</v>
      </c>
      <c r="E130" s="9" t="s">
        <v>2176</v>
      </c>
      <c r="F130" s="9" t="s">
        <v>363</v>
      </c>
      <c r="G130" s="1">
        <v>1844.9707000000001</v>
      </c>
      <c r="H130" s="2">
        <v>791</v>
      </c>
      <c r="I130" s="2">
        <v>2</v>
      </c>
      <c r="J130" s="1">
        <v>1844.6492000000001</v>
      </c>
      <c r="K130" s="1">
        <v>923.49260000000004</v>
      </c>
      <c r="L130" s="9" t="s">
        <v>364</v>
      </c>
      <c r="M130" s="2">
        <v>8.59</v>
      </c>
      <c r="N130" s="4">
        <v>4268.6000000000004</v>
      </c>
      <c r="O130" s="1">
        <v>-174.06744786043765</v>
      </c>
      <c r="P130" s="6">
        <v>45.2</v>
      </c>
      <c r="Q130" s="6">
        <v>27.7</v>
      </c>
      <c r="R130" s="6">
        <v>9.8000000000000007</v>
      </c>
      <c r="S130" s="6">
        <v>11.3</v>
      </c>
      <c r="T130" s="5">
        <v>7.5000000000000002E-4</v>
      </c>
      <c r="U130" s="1">
        <v>-0.32150000000000001</v>
      </c>
      <c r="V130" s="1">
        <v>4.8268000000000004</v>
      </c>
    </row>
    <row r="131" spans="1:22" x14ac:dyDescent="0.25">
      <c r="A131" s="1">
        <v>0.98960000000000004</v>
      </c>
      <c r="B131" s="9" t="s">
        <v>2733</v>
      </c>
      <c r="C131" s="2">
        <v>2330</v>
      </c>
      <c r="D131" s="3" t="s">
        <v>370</v>
      </c>
      <c r="E131" s="9" t="s">
        <v>414</v>
      </c>
      <c r="F131" s="9" t="s">
        <v>415</v>
      </c>
      <c r="G131" s="1">
        <v>1348.7427</v>
      </c>
      <c r="H131" s="2">
        <v>607</v>
      </c>
      <c r="I131" s="2">
        <v>2</v>
      </c>
      <c r="J131" s="1">
        <v>1348.8104000000001</v>
      </c>
      <c r="K131" s="1">
        <v>675.37860000000001</v>
      </c>
      <c r="L131" s="9" t="s">
        <v>416</v>
      </c>
      <c r="M131" s="2">
        <v>8.59</v>
      </c>
      <c r="N131" s="4">
        <v>4282.33</v>
      </c>
      <c r="O131" s="1">
        <v>50.120036376633784</v>
      </c>
      <c r="P131" s="6">
        <v>44.7</v>
      </c>
      <c r="Q131" s="6">
        <v>25.5</v>
      </c>
      <c r="R131" s="6">
        <v>10.1</v>
      </c>
      <c r="S131" s="6">
        <v>9.8000000000000007</v>
      </c>
      <c r="T131" s="5">
        <v>7.4999999999999997E-3</v>
      </c>
      <c r="U131" s="1">
        <v>6.7699999999999996E-2</v>
      </c>
      <c r="V131" s="1">
        <v>4.8324999999999996</v>
      </c>
    </row>
    <row r="132" spans="1:22" x14ac:dyDescent="0.25">
      <c r="A132" s="1">
        <v>1</v>
      </c>
      <c r="B132" s="9" t="s">
        <v>2734</v>
      </c>
      <c r="C132" s="2">
        <v>2338</v>
      </c>
      <c r="D132" s="3" t="s">
        <v>558</v>
      </c>
      <c r="E132" s="9" t="s">
        <v>289</v>
      </c>
      <c r="F132" s="9" t="s">
        <v>290</v>
      </c>
      <c r="G132" s="1">
        <v>1831.9757</v>
      </c>
      <c r="H132" s="2">
        <v>21</v>
      </c>
      <c r="I132" s="2">
        <v>3</v>
      </c>
      <c r="J132" s="1">
        <v>1832.1668999999999</v>
      </c>
      <c r="K132" s="1">
        <v>611.66579999999999</v>
      </c>
      <c r="L132" s="9" t="s">
        <v>291</v>
      </c>
      <c r="M132" s="2">
        <v>6.17</v>
      </c>
      <c r="N132" s="4">
        <v>4299.9799999999996</v>
      </c>
      <c r="O132" s="1">
        <v>104.19633292123467</v>
      </c>
      <c r="P132" s="6">
        <v>32.200000000000003</v>
      </c>
      <c r="Q132" s="6">
        <v>21.7</v>
      </c>
      <c r="R132" s="6">
        <v>11.7</v>
      </c>
      <c r="S132" s="6">
        <v>10.7</v>
      </c>
      <c r="T132" s="5">
        <v>3.3E-4</v>
      </c>
      <c r="U132" s="1">
        <v>0.19120000000000001</v>
      </c>
      <c r="V132" s="1">
        <v>6.2279999999999998</v>
      </c>
    </row>
    <row r="133" spans="1:22" x14ac:dyDescent="0.25">
      <c r="A133" s="1">
        <v>0.98480000000000001</v>
      </c>
      <c r="B133" s="9" t="s">
        <v>2735</v>
      </c>
      <c r="C133" s="2">
        <v>2354</v>
      </c>
      <c r="D133" s="3" t="s">
        <v>425</v>
      </c>
      <c r="E133" s="9" t="s">
        <v>2736</v>
      </c>
      <c r="F133" s="9" t="s">
        <v>2737</v>
      </c>
      <c r="G133" s="1">
        <v>1316.7007000000001</v>
      </c>
      <c r="H133" s="2">
        <v>961</v>
      </c>
      <c r="I133" s="2">
        <v>2</v>
      </c>
      <c r="J133" s="1">
        <v>1316.8021000000001</v>
      </c>
      <c r="K133" s="1">
        <v>659.35760000000005</v>
      </c>
      <c r="L133" s="9" t="s">
        <v>2738</v>
      </c>
      <c r="M133" s="2">
        <v>6.22</v>
      </c>
      <c r="N133" s="4">
        <v>4345.1000000000004</v>
      </c>
      <c r="O133" s="1">
        <v>76.893024361894064</v>
      </c>
      <c r="P133" s="6">
        <v>33.299999999999997</v>
      </c>
      <c r="Q133" s="6">
        <v>25.5</v>
      </c>
      <c r="R133" s="6">
        <v>10.7</v>
      </c>
      <c r="S133" s="6">
        <v>10.3</v>
      </c>
      <c r="T133" s="5">
        <v>7.0999999999999994E-2</v>
      </c>
      <c r="U133" s="1">
        <v>0.1014</v>
      </c>
      <c r="V133" s="1">
        <v>2.7035999999999998</v>
      </c>
    </row>
    <row r="134" spans="1:22" x14ac:dyDescent="0.25">
      <c r="A134" s="1">
        <v>0.99990000000000001</v>
      </c>
      <c r="B134" s="9" t="s">
        <v>2739</v>
      </c>
      <c r="C134" s="2">
        <v>2363</v>
      </c>
      <c r="D134" s="3" t="s">
        <v>333</v>
      </c>
      <c r="E134" s="9" t="s">
        <v>289</v>
      </c>
      <c r="F134" s="9" t="s">
        <v>290</v>
      </c>
      <c r="G134" s="1">
        <v>1831.9757</v>
      </c>
      <c r="H134" s="2">
        <v>123</v>
      </c>
      <c r="I134" s="2">
        <v>3</v>
      </c>
      <c r="J134" s="1">
        <v>1832.1682000000001</v>
      </c>
      <c r="K134" s="1">
        <v>611.66579999999999</v>
      </c>
      <c r="L134" s="9" t="s">
        <v>291</v>
      </c>
      <c r="M134" s="2">
        <v>6.17</v>
      </c>
      <c r="N134" s="4">
        <v>4362.7299999999996</v>
      </c>
      <c r="O134" s="1">
        <v>104.90478079151502</v>
      </c>
      <c r="P134" s="6">
        <v>40.299999999999997</v>
      </c>
      <c r="Q134" s="6">
        <v>25.4</v>
      </c>
      <c r="R134" s="6">
        <v>11</v>
      </c>
      <c r="S134" s="6">
        <v>11</v>
      </c>
      <c r="T134" s="5">
        <v>1.7000000000000001E-4</v>
      </c>
      <c r="U134" s="1">
        <v>0.1925</v>
      </c>
      <c r="V134" s="1">
        <v>6.8158000000000003</v>
      </c>
    </row>
    <row r="135" spans="1:22" x14ac:dyDescent="0.25">
      <c r="A135" s="1">
        <v>0.99850000000000005</v>
      </c>
      <c r="B135" s="9" t="s">
        <v>2740</v>
      </c>
      <c r="C135" s="2">
        <v>2368</v>
      </c>
      <c r="D135" s="3" t="s">
        <v>178</v>
      </c>
      <c r="E135" s="9" t="s">
        <v>2741</v>
      </c>
      <c r="F135" s="9" t="s">
        <v>2488</v>
      </c>
      <c r="G135" s="1">
        <v>1526.8236999999999</v>
      </c>
      <c r="H135" s="2">
        <v>124</v>
      </c>
      <c r="I135" s="2">
        <v>2</v>
      </c>
      <c r="J135" s="1">
        <v>1526.9417000000001</v>
      </c>
      <c r="K135" s="1">
        <v>764.41909999999996</v>
      </c>
      <c r="L135" s="9" t="s">
        <v>2489</v>
      </c>
      <c r="M135" s="2">
        <v>9.6</v>
      </c>
      <c r="N135" s="4">
        <v>4373.18</v>
      </c>
      <c r="O135" s="1">
        <v>77.182791481793174</v>
      </c>
      <c r="P135" s="6">
        <v>39.6</v>
      </c>
      <c r="Q135" s="6">
        <v>22.9</v>
      </c>
      <c r="R135" s="6">
        <v>11.3</v>
      </c>
      <c r="S135" s="6">
        <v>12.8</v>
      </c>
      <c r="T135" s="5">
        <v>6.8999999999999997E-5</v>
      </c>
      <c r="U135" s="1">
        <v>0.11799999999999999</v>
      </c>
      <c r="V135" s="1">
        <v>6.5232999999999999</v>
      </c>
    </row>
    <row r="136" spans="1:22" x14ac:dyDescent="0.25">
      <c r="A136" s="1">
        <v>0.99590000000000001</v>
      </c>
      <c r="B136" s="9" t="s">
        <v>2742</v>
      </c>
      <c r="C136" s="2">
        <v>2383</v>
      </c>
      <c r="D136" s="3" t="s">
        <v>621</v>
      </c>
      <c r="E136" s="9" t="s">
        <v>2743</v>
      </c>
      <c r="F136" s="9" t="s">
        <v>2744</v>
      </c>
      <c r="G136" s="1">
        <v>1338.7107000000001</v>
      </c>
      <c r="H136" s="2">
        <v>794</v>
      </c>
      <c r="I136" s="2">
        <v>2</v>
      </c>
      <c r="J136" s="1">
        <v>1338.8059000000001</v>
      </c>
      <c r="K136" s="1">
        <v>670.36260000000004</v>
      </c>
      <c r="L136" s="9" t="s">
        <v>2745</v>
      </c>
      <c r="M136" s="2">
        <v>6.24</v>
      </c>
      <c r="N136" s="4">
        <v>4415.04</v>
      </c>
      <c r="O136" s="1">
        <v>71.006347907833756</v>
      </c>
      <c r="P136" s="6">
        <v>37.9</v>
      </c>
      <c r="Q136" s="6">
        <v>27.6</v>
      </c>
      <c r="R136" s="6">
        <v>8.1</v>
      </c>
      <c r="S136" s="6">
        <v>10</v>
      </c>
      <c r="T136" s="5">
        <v>2.4E-2</v>
      </c>
      <c r="U136" s="1">
        <v>9.5200000000000007E-2</v>
      </c>
      <c r="V136" s="1">
        <v>3.6621000000000001</v>
      </c>
    </row>
    <row r="137" spans="1:22" x14ac:dyDescent="0.25">
      <c r="A137" s="1">
        <v>0.99960000000000004</v>
      </c>
      <c r="B137" s="9" t="s">
        <v>2746</v>
      </c>
      <c r="C137" s="2">
        <v>2387</v>
      </c>
      <c r="D137" s="3" t="s">
        <v>770</v>
      </c>
      <c r="E137" s="9" t="s">
        <v>289</v>
      </c>
      <c r="F137" s="9" t="s">
        <v>290</v>
      </c>
      <c r="G137" s="1">
        <v>1831.9757</v>
      </c>
      <c r="H137" s="2">
        <v>127</v>
      </c>
      <c r="I137" s="2">
        <v>3</v>
      </c>
      <c r="J137" s="1">
        <v>1832.1423</v>
      </c>
      <c r="K137" s="1">
        <v>611.66579999999999</v>
      </c>
      <c r="L137" s="9" t="s">
        <v>291</v>
      </c>
      <c r="M137" s="2">
        <v>6.17</v>
      </c>
      <c r="N137" s="4">
        <v>4425.51</v>
      </c>
      <c r="O137" s="1">
        <v>90.790319375929357</v>
      </c>
      <c r="P137" s="6">
        <v>35.700000000000003</v>
      </c>
      <c r="Q137" s="6">
        <v>23.6</v>
      </c>
      <c r="R137" s="6">
        <v>11.6</v>
      </c>
      <c r="S137" s="6">
        <v>11.7</v>
      </c>
      <c r="T137" s="5">
        <v>8.5999999999999998E-4</v>
      </c>
      <c r="U137" s="1">
        <v>0.1666</v>
      </c>
      <c r="V137" s="1">
        <v>5.7847</v>
      </c>
    </row>
    <row r="138" spans="1:22" x14ac:dyDescent="0.25">
      <c r="A138" s="1">
        <v>0.99780000000000002</v>
      </c>
      <c r="B138" s="9" t="s">
        <v>2747</v>
      </c>
      <c r="C138" s="2">
        <v>2392</v>
      </c>
      <c r="D138" s="3" t="s">
        <v>278</v>
      </c>
      <c r="E138" s="9" t="s">
        <v>2748</v>
      </c>
      <c r="F138" s="9" t="s">
        <v>2749</v>
      </c>
      <c r="G138" s="1">
        <v>1610.8816999999999</v>
      </c>
      <c r="H138" s="2">
        <v>128</v>
      </c>
      <c r="I138" s="2">
        <v>2</v>
      </c>
      <c r="J138" s="1">
        <v>1611.0234</v>
      </c>
      <c r="K138" s="1">
        <v>806.44809999999995</v>
      </c>
      <c r="L138" s="9" t="s">
        <v>2750</v>
      </c>
      <c r="M138" s="2">
        <v>8.75</v>
      </c>
      <c r="N138" s="4">
        <v>4435.96</v>
      </c>
      <c r="O138" s="1">
        <v>87.854382693691022</v>
      </c>
      <c r="P138" s="6">
        <v>49.5</v>
      </c>
      <c r="Q138" s="6">
        <v>29.9</v>
      </c>
      <c r="R138" s="6">
        <v>11.3</v>
      </c>
      <c r="S138" s="6">
        <v>11.6</v>
      </c>
      <c r="T138" s="5">
        <v>9.2999999999999997E-5</v>
      </c>
      <c r="U138" s="1">
        <v>0.14169999999999999</v>
      </c>
      <c r="V138" s="1">
        <v>6.0627000000000004</v>
      </c>
    </row>
    <row r="139" spans="1:22" x14ac:dyDescent="0.25">
      <c r="A139" s="1">
        <v>0.99419999999999997</v>
      </c>
      <c r="B139" s="9" t="s">
        <v>2751</v>
      </c>
      <c r="C139" s="2">
        <v>2394</v>
      </c>
      <c r="D139" s="3" t="s">
        <v>316</v>
      </c>
      <c r="E139" s="9" t="s">
        <v>1422</v>
      </c>
      <c r="F139" s="9" t="s">
        <v>340</v>
      </c>
      <c r="G139" s="1">
        <v>1774.9537</v>
      </c>
      <c r="H139" s="2">
        <v>268</v>
      </c>
      <c r="I139" s="2">
        <v>2</v>
      </c>
      <c r="J139" s="1">
        <v>1775.1086</v>
      </c>
      <c r="K139" s="1">
        <v>888.48410000000001</v>
      </c>
      <c r="L139" s="9" t="s">
        <v>341</v>
      </c>
      <c r="M139" s="2">
        <v>6.24</v>
      </c>
      <c r="N139" s="4">
        <v>4449.66</v>
      </c>
      <c r="O139" s="1">
        <v>87.170946559426341</v>
      </c>
      <c r="P139" s="6">
        <v>41</v>
      </c>
      <c r="Q139" s="6">
        <v>30</v>
      </c>
      <c r="R139" s="6">
        <v>13.5</v>
      </c>
      <c r="S139" s="6">
        <v>12.5</v>
      </c>
      <c r="T139" s="5">
        <v>1.8000000000000001E-4</v>
      </c>
      <c r="U139" s="1">
        <v>0.15490000000000001</v>
      </c>
      <c r="V139" s="1">
        <v>5.2343999999999999</v>
      </c>
    </row>
    <row r="140" spans="1:22" x14ac:dyDescent="0.25">
      <c r="A140" s="1">
        <v>0.98770000000000002</v>
      </c>
      <c r="B140" s="9" t="s">
        <v>2752</v>
      </c>
      <c r="C140" s="2">
        <v>2406</v>
      </c>
      <c r="D140" s="3" t="s">
        <v>423</v>
      </c>
      <c r="E140" s="9" t="s">
        <v>407</v>
      </c>
      <c r="F140" s="9" t="s">
        <v>290</v>
      </c>
      <c r="G140" s="1">
        <v>1645.8597</v>
      </c>
      <c r="H140" s="2">
        <v>479</v>
      </c>
      <c r="I140" s="2">
        <v>2</v>
      </c>
      <c r="J140" s="1">
        <v>1646.0068000000001</v>
      </c>
      <c r="K140" s="1">
        <v>823.93709999999999</v>
      </c>
      <c r="L140" s="9" t="s">
        <v>291</v>
      </c>
      <c r="M140" s="2">
        <v>4.8499999999999996</v>
      </c>
      <c r="N140" s="4">
        <v>4477.72</v>
      </c>
      <c r="O140" s="1">
        <v>89.266522893555845</v>
      </c>
      <c r="P140" s="6">
        <v>36.799999999999997</v>
      </c>
      <c r="Q140" s="6">
        <v>22.9</v>
      </c>
      <c r="R140" s="6">
        <v>9.3000000000000007</v>
      </c>
      <c r="S140" s="6">
        <v>10.9</v>
      </c>
      <c r="T140" s="5">
        <v>4.4999999999999997E-3</v>
      </c>
      <c r="U140" s="1">
        <v>0.14710000000000001</v>
      </c>
      <c r="V140" s="1">
        <v>4.4741</v>
      </c>
    </row>
    <row r="141" spans="1:22" x14ac:dyDescent="0.25">
      <c r="A141" s="1">
        <v>0.99980000000000002</v>
      </c>
      <c r="B141" s="9" t="s">
        <v>2753</v>
      </c>
      <c r="C141" s="2">
        <v>2408</v>
      </c>
      <c r="D141" s="3" t="s">
        <v>206</v>
      </c>
      <c r="E141" s="9" t="s">
        <v>2754</v>
      </c>
      <c r="F141" s="9" t="s">
        <v>2687</v>
      </c>
      <c r="G141" s="1">
        <v>1871.9567</v>
      </c>
      <c r="H141" s="2">
        <v>1133</v>
      </c>
      <c r="I141" s="2">
        <v>3</v>
      </c>
      <c r="J141" s="1">
        <v>1872.1075000000001</v>
      </c>
      <c r="K141" s="1">
        <v>624.99279999999999</v>
      </c>
      <c r="L141" s="9" t="s">
        <v>2688</v>
      </c>
      <c r="M141" s="2">
        <v>6.75</v>
      </c>
      <c r="N141" s="4">
        <v>4477.72</v>
      </c>
      <c r="O141" s="1">
        <v>80.427593192540229</v>
      </c>
      <c r="P141" s="6">
        <v>31</v>
      </c>
      <c r="Q141" s="6">
        <v>20.8</v>
      </c>
      <c r="R141" s="6">
        <v>10.5</v>
      </c>
      <c r="S141" s="6">
        <v>12.4</v>
      </c>
      <c r="T141" s="5">
        <v>1.7000000000000001E-4</v>
      </c>
      <c r="U141" s="1">
        <v>0.15079999999999999</v>
      </c>
      <c r="V141" s="1">
        <v>6.3813000000000004</v>
      </c>
    </row>
    <row r="142" spans="1:22" x14ac:dyDescent="0.25">
      <c r="A142" s="1">
        <v>0.98740000000000006</v>
      </c>
      <c r="B142" s="9" t="s">
        <v>2755</v>
      </c>
      <c r="C142" s="2">
        <v>2416</v>
      </c>
      <c r="D142" s="3" t="s">
        <v>2756</v>
      </c>
      <c r="E142" s="9" t="s">
        <v>2757</v>
      </c>
      <c r="F142" s="9" t="s">
        <v>112</v>
      </c>
      <c r="G142" s="1">
        <v>2544.2026999999998</v>
      </c>
      <c r="H142" s="2">
        <v>359</v>
      </c>
      <c r="I142" s="2">
        <v>2</v>
      </c>
      <c r="J142" s="1">
        <v>2544.4364999999998</v>
      </c>
      <c r="K142" s="1">
        <v>1273.1086</v>
      </c>
      <c r="L142" s="9" t="s">
        <v>113</v>
      </c>
      <c r="M142" s="2">
        <v>4.46</v>
      </c>
      <c r="N142" s="4">
        <v>4498.6099999999997</v>
      </c>
      <c r="O142" s="1">
        <v>91.822488670644432</v>
      </c>
      <c r="P142" s="6">
        <v>31.9</v>
      </c>
      <c r="Q142" s="6">
        <v>19.7</v>
      </c>
      <c r="R142" s="6">
        <v>13.8</v>
      </c>
      <c r="S142" s="6">
        <v>9.6</v>
      </c>
      <c r="T142" s="5">
        <v>4.2000000000000002E-4</v>
      </c>
      <c r="U142" s="1">
        <v>0.23380000000000001</v>
      </c>
      <c r="V142" s="1">
        <v>4.3569000000000004</v>
      </c>
    </row>
    <row r="143" spans="1:22" x14ac:dyDescent="0.25">
      <c r="A143" s="1">
        <v>0.99909999999999999</v>
      </c>
      <c r="B143" s="9" t="s">
        <v>2758</v>
      </c>
      <c r="C143" s="2">
        <v>2418</v>
      </c>
      <c r="D143" s="3" t="s">
        <v>214</v>
      </c>
      <c r="E143" s="9" t="s">
        <v>435</v>
      </c>
      <c r="F143" s="9" t="s">
        <v>436</v>
      </c>
      <c r="G143" s="1">
        <v>1387.7637</v>
      </c>
      <c r="H143" s="2">
        <v>130</v>
      </c>
      <c r="I143" s="2">
        <v>2</v>
      </c>
      <c r="J143" s="1">
        <v>1387.8478</v>
      </c>
      <c r="K143" s="1">
        <v>694.88909999999998</v>
      </c>
      <c r="L143" s="9" t="s">
        <v>181</v>
      </c>
      <c r="M143" s="2">
        <v>4.8499999999999996</v>
      </c>
      <c r="N143" s="4">
        <v>4509.0600000000004</v>
      </c>
      <c r="O143" s="1">
        <v>60.513253121972987</v>
      </c>
      <c r="P143" s="6">
        <v>52.8</v>
      </c>
      <c r="Q143" s="6">
        <v>29.7</v>
      </c>
      <c r="R143" s="6">
        <v>10.3</v>
      </c>
      <c r="S143" s="6">
        <v>11.4</v>
      </c>
      <c r="T143" s="5">
        <v>1.2999999999999999E-4</v>
      </c>
      <c r="U143" s="1">
        <v>8.4099999999999994E-2</v>
      </c>
      <c r="V143" s="1">
        <v>6.8272000000000004</v>
      </c>
    </row>
    <row r="144" spans="1:22" x14ac:dyDescent="0.25">
      <c r="A144" s="1">
        <v>0.96340000000000003</v>
      </c>
      <c r="B144" s="9" t="s">
        <v>2759</v>
      </c>
      <c r="C144" s="2">
        <v>2422</v>
      </c>
      <c r="D144" s="3" t="s">
        <v>105</v>
      </c>
      <c r="E144" s="9" t="s">
        <v>2255</v>
      </c>
      <c r="F144" s="9" t="s">
        <v>540</v>
      </c>
      <c r="G144" s="1">
        <v>1596.8257000000001</v>
      </c>
      <c r="H144" s="2">
        <v>132</v>
      </c>
      <c r="I144" s="2">
        <v>2</v>
      </c>
      <c r="J144" s="1">
        <v>1596.8941</v>
      </c>
      <c r="K144" s="1">
        <v>799.42010000000005</v>
      </c>
      <c r="L144" s="9" t="s">
        <v>514</v>
      </c>
      <c r="M144" s="2">
        <v>8.59</v>
      </c>
      <c r="N144" s="4">
        <v>4519.5200000000004</v>
      </c>
      <c r="O144" s="1">
        <v>42.781010885265459</v>
      </c>
      <c r="P144" s="6">
        <v>45.2</v>
      </c>
      <c r="Q144" s="6">
        <v>34.6</v>
      </c>
      <c r="R144" s="6">
        <v>11</v>
      </c>
      <c r="S144" s="6">
        <v>10.5</v>
      </c>
      <c r="T144" s="5">
        <v>5.4000000000000003E-3</v>
      </c>
      <c r="U144" s="1">
        <v>6.8400000000000002E-2</v>
      </c>
      <c r="V144" s="1">
        <v>3.6356000000000002</v>
      </c>
    </row>
    <row r="145" spans="1:22" x14ac:dyDescent="0.25">
      <c r="A145" s="1">
        <v>0.95750000000000002</v>
      </c>
      <c r="B145" s="9" t="s">
        <v>2760</v>
      </c>
      <c r="C145" s="2">
        <v>2428</v>
      </c>
      <c r="D145" s="3" t="s">
        <v>311</v>
      </c>
      <c r="E145" s="9" t="s">
        <v>2761</v>
      </c>
      <c r="F145" s="9" t="s">
        <v>1511</v>
      </c>
      <c r="G145" s="1">
        <v>1429.7237</v>
      </c>
      <c r="H145" s="2">
        <v>795</v>
      </c>
      <c r="I145" s="2">
        <v>2</v>
      </c>
      <c r="J145" s="1">
        <v>1429.8391999999999</v>
      </c>
      <c r="K145" s="1">
        <v>715.8691</v>
      </c>
      <c r="L145" s="9" t="s">
        <v>1512</v>
      </c>
      <c r="M145" s="2">
        <v>5.84</v>
      </c>
      <c r="N145" s="4">
        <v>4530.01</v>
      </c>
      <c r="O145" s="1">
        <v>80.671172983999455</v>
      </c>
      <c r="P145" s="6">
        <v>36.799999999999997</v>
      </c>
      <c r="Q145" s="6">
        <v>25.9</v>
      </c>
      <c r="R145" s="6">
        <v>11.4</v>
      </c>
      <c r="S145" s="6">
        <v>5.8</v>
      </c>
      <c r="T145" s="5">
        <v>4.5999999999999999E-2</v>
      </c>
      <c r="U145" s="1">
        <v>0.11550000000000001</v>
      </c>
      <c r="V145" s="1">
        <v>3.1903000000000001</v>
      </c>
    </row>
    <row r="146" spans="1:22" x14ac:dyDescent="0.25">
      <c r="A146" s="1">
        <v>0.99529999999999996</v>
      </c>
      <c r="B146" s="9" t="s">
        <v>2762</v>
      </c>
      <c r="C146" s="2">
        <v>2431</v>
      </c>
      <c r="D146" s="3" t="s">
        <v>178</v>
      </c>
      <c r="E146" s="9" t="s">
        <v>407</v>
      </c>
      <c r="F146" s="9" t="s">
        <v>290</v>
      </c>
      <c r="G146" s="1">
        <v>1645.8597</v>
      </c>
      <c r="H146" s="2">
        <v>133</v>
      </c>
      <c r="I146" s="2">
        <v>2</v>
      </c>
      <c r="J146" s="1">
        <v>1646.0141000000001</v>
      </c>
      <c r="K146" s="1">
        <v>823.93709999999999</v>
      </c>
      <c r="L146" s="9" t="s">
        <v>291</v>
      </c>
      <c r="M146" s="2">
        <v>4.8499999999999996</v>
      </c>
      <c r="N146" s="4">
        <v>4540.45</v>
      </c>
      <c r="O146" s="1">
        <v>93.696472704045007</v>
      </c>
      <c r="P146" s="6">
        <v>37.9</v>
      </c>
      <c r="Q146" s="6">
        <v>27.3</v>
      </c>
      <c r="R146" s="6">
        <v>8.6999999999999993</v>
      </c>
      <c r="S146" s="6">
        <v>9.1999999999999993</v>
      </c>
      <c r="T146" s="5">
        <v>5.1000000000000004E-4</v>
      </c>
      <c r="U146" s="1">
        <v>0.15440000000000001</v>
      </c>
      <c r="V146" s="1">
        <v>5.0053000000000001</v>
      </c>
    </row>
    <row r="147" spans="1:22" x14ac:dyDescent="0.25">
      <c r="A147" s="1">
        <v>0.99080000000000001</v>
      </c>
      <c r="B147" s="9" t="s">
        <v>2763</v>
      </c>
      <c r="C147" s="2">
        <v>2436</v>
      </c>
      <c r="D147" s="3" t="s">
        <v>370</v>
      </c>
      <c r="E147" s="9" t="s">
        <v>448</v>
      </c>
      <c r="F147" s="9" t="s">
        <v>122</v>
      </c>
      <c r="G147" s="1">
        <v>1295.7887000000001</v>
      </c>
      <c r="H147" s="2">
        <v>134</v>
      </c>
      <c r="I147" s="2">
        <v>2</v>
      </c>
      <c r="J147" s="1">
        <v>1295.8902</v>
      </c>
      <c r="K147" s="1">
        <v>648.90160000000003</v>
      </c>
      <c r="L147" s="9" t="s">
        <v>123</v>
      </c>
      <c r="M147" s="2">
        <v>8.59</v>
      </c>
      <c r="N147" s="4">
        <v>4550.8999999999996</v>
      </c>
      <c r="O147" s="1">
        <v>78.209084397387841</v>
      </c>
      <c r="P147" s="6">
        <v>43</v>
      </c>
      <c r="Q147" s="6">
        <v>27.1</v>
      </c>
      <c r="R147" s="6">
        <v>12.4</v>
      </c>
      <c r="S147" s="6">
        <v>11.4</v>
      </c>
      <c r="T147" s="5">
        <v>5.4999999999999997E-3</v>
      </c>
      <c r="U147" s="1">
        <v>0.10150000000000001</v>
      </c>
      <c r="V147" s="1">
        <v>4.6939000000000002</v>
      </c>
    </row>
    <row r="148" spans="1:22" x14ac:dyDescent="0.25">
      <c r="A148" s="1">
        <v>0.98799999999999999</v>
      </c>
      <c r="B148" s="9" t="s">
        <v>2764</v>
      </c>
      <c r="C148" s="2">
        <v>2443</v>
      </c>
      <c r="D148" s="3" t="s">
        <v>550</v>
      </c>
      <c r="E148" s="9" t="s">
        <v>2765</v>
      </c>
      <c r="F148" s="9" t="s">
        <v>860</v>
      </c>
      <c r="G148" s="1">
        <v>1780.9137000000001</v>
      </c>
      <c r="H148" s="2">
        <v>1135</v>
      </c>
      <c r="I148" s="2">
        <v>2</v>
      </c>
      <c r="J148" s="1">
        <v>1781.1188</v>
      </c>
      <c r="K148" s="1">
        <v>891.46410000000003</v>
      </c>
      <c r="L148" s="9" t="s">
        <v>673</v>
      </c>
      <c r="M148" s="2">
        <v>5.84</v>
      </c>
      <c r="N148" s="4">
        <v>4571.8500000000004</v>
      </c>
      <c r="O148" s="1">
        <v>115.03547927504877</v>
      </c>
      <c r="P148" s="6">
        <v>34.200000000000003</v>
      </c>
      <c r="Q148" s="6">
        <v>22.6</v>
      </c>
      <c r="R148" s="6">
        <v>10.4</v>
      </c>
      <c r="S148" s="6">
        <v>12.1</v>
      </c>
      <c r="T148" s="5">
        <v>2.7000000000000001E-3</v>
      </c>
      <c r="U148" s="1">
        <v>0.2051</v>
      </c>
      <c r="V148" s="1">
        <v>4.1224999999999996</v>
      </c>
    </row>
    <row r="149" spans="1:22" x14ac:dyDescent="0.25">
      <c r="A149" s="1">
        <v>0.99980000000000002</v>
      </c>
      <c r="B149" s="9" t="s">
        <v>2766</v>
      </c>
      <c r="C149" s="2">
        <v>2444</v>
      </c>
      <c r="D149" s="3" t="s">
        <v>2767</v>
      </c>
      <c r="E149" s="9" t="s">
        <v>289</v>
      </c>
      <c r="F149" s="9" t="s">
        <v>290</v>
      </c>
      <c r="G149" s="1">
        <v>1831.9757</v>
      </c>
      <c r="H149" s="2">
        <v>24</v>
      </c>
      <c r="I149" s="2">
        <v>3</v>
      </c>
      <c r="J149" s="1">
        <v>1832.1976</v>
      </c>
      <c r="K149" s="1">
        <v>611.66579999999999</v>
      </c>
      <c r="L149" s="9" t="s">
        <v>291</v>
      </c>
      <c r="M149" s="2">
        <v>6.17</v>
      </c>
      <c r="N149" s="4">
        <v>4571.8500000000004</v>
      </c>
      <c r="O149" s="1">
        <v>120.92660185785549</v>
      </c>
      <c r="P149" s="6">
        <v>28.3</v>
      </c>
      <c r="Q149" s="6">
        <v>20.100000000000001</v>
      </c>
      <c r="R149" s="6">
        <v>11.3</v>
      </c>
      <c r="S149" s="6">
        <v>11.4</v>
      </c>
      <c r="T149" s="5">
        <v>6.6E-3</v>
      </c>
      <c r="U149" s="1">
        <v>0.22189999999999999</v>
      </c>
      <c r="V149" s="1">
        <v>4.4325000000000001</v>
      </c>
    </row>
    <row r="150" spans="1:22" x14ac:dyDescent="0.25">
      <c r="A150" s="1">
        <v>0.99880000000000002</v>
      </c>
      <c r="B150" s="9" t="s">
        <v>2768</v>
      </c>
      <c r="C150" s="2">
        <v>2458</v>
      </c>
      <c r="D150" s="3" t="s">
        <v>141</v>
      </c>
      <c r="E150" s="9" t="s">
        <v>2769</v>
      </c>
      <c r="F150" s="9" t="s">
        <v>2770</v>
      </c>
      <c r="G150" s="1">
        <v>1467.7097000000001</v>
      </c>
      <c r="H150" s="2">
        <v>137</v>
      </c>
      <c r="I150" s="2">
        <v>2</v>
      </c>
      <c r="J150" s="1">
        <v>1467.8333</v>
      </c>
      <c r="K150" s="1">
        <v>734.86210000000005</v>
      </c>
      <c r="L150" s="9" t="s">
        <v>2771</v>
      </c>
      <c r="M150" s="2">
        <v>4.8899999999999997</v>
      </c>
      <c r="N150" s="4">
        <v>4613.66</v>
      </c>
      <c r="O150" s="1">
        <v>84.097410929206987</v>
      </c>
      <c r="P150" s="6">
        <v>47.2</v>
      </c>
      <c r="Q150" s="6">
        <v>29.2</v>
      </c>
      <c r="R150" s="6">
        <v>10.6</v>
      </c>
      <c r="S150" s="6">
        <v>13.2</v>
      </c>
      <c r="T150" s="5">
        <v>1.9000000000000001E-4</v>
      </c>
      <c r="U150" s="1">
        <v>0.1236</v>
      </c>
      <c r="V150" s="1">
        <v>6.3733000000000004</v>
      </c>
    </row>
    <row r="151" spans="1:22" x14ac:dyDescent="0.25">
      <c r="A151" s="1">
        <v>0.99660000000000004</v>
      </c>
      <c r="B151" s="9" t="s">
        <v>2772</v>
      </c>
      <c r="C151" s="2">
        <v>2467</v>
      </c>
      <c r="D151" s="3" t="s">
        <v>370</v>
      </c>
      <c r="E151" s="9" t="s">
        <v>1493</v>
      </c>
      <c r="F151" s="9" t="s">
        <v>2773</v>
      </c>
      <c r="G151" s="1">
        <v>1400.7697000000001</v>
      </c>
      <c r="H151" s="2">
        <v>966</v>
      </c>
      <c r="I151" s="2">
        <v>2</v>
      </c>
      <c r="J151" s="1">
        <v>1400.8665000000001</v>
      </c>
      <c r="K151" s="1">
        <v>701.39210000000003</v>
      </c>
      <c r="L151" s="9" t="s">
        <v>660</v>
      </c>
      <c r="M151" s="2">
        <v>5.96</v>
      </c>
      <c r="N151" s="4">
        <v>4640.95</v>
      </c>
      <c r="O151" s="1">
        <v>69.005624671278724</v>
      </c>
      <c r="P151" s="6">
        <v>42.1</v>
      </c>
      <c r="Q151" s="6">
        <v>29.2</v>
      </c>
      <c r="R151" s="6">
        <v>11.1</v>
      </c>
      <c r="S151" s="6">
        <v>10.9</v>
      </c>
      <c r="T151" s="5">
        <v>2.5999999999999999E-2</v>
      </c>
      <c r="U151" s="1">
        <v>9.6799999999999997E-2</v>
      </c>
      <c r="V151" s="1">
        <v>3.6389</v>
      </c>
    </row>
    <row r="152" spans="1:22" x14ac:dyDescent="0.25">
      <c r="A152" s="1">
        <v>0.98699999999999999</v>
      </c>
      <c r="B152" s="9" t="s">
        <v>2774</v>
      </c>
      <c r="C152" s="2">
        <v>2468</v>
      </c>
      <c r="D152" s="3" t="s">
        <v>988</v>
      </c>
      <c r="E152" s="9" t="s">
        <v>2775</v>
      </c>
      <c r="F152" s="9" t="s">
        <v>2776</v>
      </c>
      <c r="G152" s="1">
        <v>1425.7727</v>
      </c>
      <c r="H152" s="2">
        <v>360</v>
      </c>
      <c r="I152" s="2">
        <v>2</v>
      </c>
      <c r="J152" s="1">
        <v>1425.8796</v>
      </c>
      <c r="K152" s="1">
        <v>713.89359999999999</v>
      </c>
      <c r="L152" s="9" t="s">
        <v>2777</v>
      </c>
      <c r="M152" s="2">
        <v>6.25</v>
      </c>
      <c r="N152" s="4">
        <v>4634.6000000000004</v>
      </c>
      <c r="O152" s="1">
        <v>74.871101239736561</v>
      </c>
      <c r="P152" s="6">
        <v>24.7</v>
      </c>
      <c r="Q152" s="6">
        <v>16.899999999999999</v>
      </c>
      <c r="R152" s="6">
        <v>12.2</v>
      </c>
      <c r="S152" s="6">
        <v>12</v>
      </c>
      <c r="T152" s="5">
        <v>1.4E-2</v>
      </c>
      <c r="U152" s="1">
        <v>0.1069</v>
      </c>
      <c r="V152" s="1">
        <v>3.9826999999999999</v>
      </c>
    </row>
    <row r="153" spans="1:22" x14ac:dyDescent="0.25">
      <c r="A153" s="1">
        <v>0.99409999999999998</v>
      </c>
      <c r="B153" s="9" t="s">
        <v>2778</v>
      </c>
      <c r="C153" s="2">
        <v>2472</v>
      </c>
      <c r="D153" s="3" t="s">
        <v>770</v>
      </c>
      <c r="E153" s="9" t="s">
        <v>289</v>
      </c>
      <c r="F153" s="9" t="s">
        <v>290</v>
      </c>
      <c r="G153" s="1">
        <v>1831.9757</v>
      </c>
      <c r="H153" s="2">
        <v>140</v>
      </c>
      <c r="I153" s="2">
        <v>3</v>
      </c>
      <c r="J153" s="1">
        <v>1832.2104999999999</v>
      </c>
      <c r="K153" s="1">
        <v>611.66579999999999</v>
      </c>
      <c r="L153" s="9" t="s">
        <v>291</v>
      </c>
      <c r="M153" s="2">
        <v>6.17</v>
      </c>
      <c r="N153" s="4">
        <v>4645.05</v>
      </c>
      <c r="O153" s="1">
        <v>127.95658457063753</v>
      </c>
      <c r="P153" s="6">
        <v>33.799999999999997</v>
      </c>
      <c r="Q153" s="6">
        <v>23.8</v>
      </c>
      <c r="R153" s="6">
        <v>10.5</v>
      </c>
      <c r="S153" s="6">
        <v>10.4</v>
      </c>
      <c r="T153" s="5">
        <v>1.7000000000000001E-2</v>
      </c>
      <c r="U153" s="1">
        <v>0.23480000000000001</v>
      </c>
      <c r="V153" s="1">
        <v>3.9594</v>
      </c>
    </row>
    <row r="154" spans="1:22" x14ac:dyDescent="0.25">
      <c r="A154" s="1">
        <v>0.99919999999999998</v>
      </c>
      <c r="B154" s="9" t="s">
        <v>2779</v>
      </c>
      <c r="C154" s="2">
        <v>2475</v>
      </c>
      <c r="D154" s="3" t="s">
        <v>188</v>
      </c>
      <c r="E154" s="9" t="s">
        <v>2780</v>
      </c>
      <c r="F154" s="9" t="s">
        <v>2781</v>
      </c>
      <c r="G154" s="1">
        <v>1454.8526999999999</v>
      </c>
      <c r="H154" s="2">
        <v>798</v>
      </c>
      <c r="I154" s="2">
        <v>2</v>
      </c>
      <c r="J154" s="1">
        <v>1454.9682</v>
      </c>
      <c r="K154" s="1">
        <v>728.43359999999996</v>
      </c>
      <c r="L154" s="9" t="s">
        <v>2782</v>
      </c>
      <c r="M154" s="2">
        <v>10</v>
      </c>
      <c r="N154" s="4">
        <v>4655.49</v>
      </c>
      <c r="O154" s="1">
        <v>79.279703736895172</v>
      </c>
      <c r="P154" s="6">
        <v>62.3</v>
      </c>
      <c r="Q154" s="6">
        <v>34.1</v>
      </c>
      <c r="R154" s="6">
        <v>9.5</v>
      </c>
      <c r="S154" s="6">
        <v>12.8</v>
      </c>
      <c r="T154" s="5">
        <v>4.8999999999999997E-6</v>
      </c>
      <c r="U154" s="1">
        <v>0.11550000000000001</v>
      </c>
      <c r="V154" s="1">
        <v>8.1378000000000004</v>
      </c>
    </row>
    <row r="155" spans="1:22" x14ac:dyDescent="0.25">
      <c r="A155" s="1">
        <v>0.99990000000000001</v>
      </c>
      <c r="B155" s="9" t="s">
        <v>2783</v>
      </c>
      <c r="C155" s="2">
        <v>2492</v>
      </c>
      <c r="D155" s="3" t="s">
        <v>61</v>
      </c>
      <c r="E155" s="9" t="s">
        <v>2784</v>
      </c>
      <c r="F155" s="9" t="s">
        <v>2785</v>
      </c>
      <c r="G155" s="1">
        <v>1830.0287000000001</v>
      </c>
      <c r="H155" s="2">
        <v>141</v>
      </c>
      <c r="I155" s="2">
        <v>3</v>
      </c>
      <c r="J155" s="1">
        <v>1830.2218</v>
      </c>
      <c r="K155" s="1">
        <v>611.01679999999999</v>
      </c>
      <c r="L155" s="9" t="s">
        <v>2786</v>
      </c>
      <c r="M155" s="2">
        <v>8.59</v>
      </c>
      <c r="N155" s="4">
        <v>4697.33</v>
      </c>
      <c r="O155" s="1">
        <v>105.3435301069736</v>
      </c>
      <c r="P155" s="6">
        <v>39.700000000000003</v>
      </c>
      <c r="Q155" s="6">
        <v>22.3</v>
      </c>
      <c r="R155" s="6">
        <v>8.4</v>
      </c>
      <c r="S155" s="6">
        <v>11</v>
      </c>
      <c r="T155" s="5">
        <v>1.2E-4</v>
      </c>
      <c r="U155" s="1">
        <v>0.19309999999999999</v>
      </c>
      <c r="V155" s="1">
        <v>7.1254</v>
      </c>
    </row>
    <row r="156" spans="1:22" x14ac:dyDescent="0.25">
      <c r="A156" s="1">
        <v>0.98970000000000002</v>
      </c>
      <c r="B156" s="9" t="s">
        <v>2787</v>
      </c>
      <c r="C156" s="2">
        <v>2502</v>
      </c>
      <c r="D156" s="3" t="s">
        <v>370</v>
      </c>
      <c r="E156" s="9" t="s">
        <v>2788</v>
      </c>
      <c r="F156" s="9" t="s">
        <v>2789</v>
      </c>
      <c r="G156" s="1">
        <v>1383.8197</v>
      </c>
      <c r="H156" s="2">
        <v>803</v>
      </c>
      <c r="I156" s="2">
        <v>2</v>
      </c>
      <c r="J156" s="1">
        <v>1383.9319</v>
      </c>
      <c r="K156" s="1">
        <v>692.9171</v>
      </c>
      <c r="L156" s="9" t="s">
        <v>2790</v>
      </c>
      <c r="M156" s="2">
        <v>8.59</v>
      </c>
      <c r="N156" s="4">
        <v>4728.71</v>
      </c>
      <c r="O156" s="1">
        <v>80.962066024925633</v>
      </c>
      <c r="P156" s="6">
        <v>43</v>
      </c>
      <c r="Q156" s="6">
        <v>28.7</v>
      </c>
      <c r="R156" s="6">
        <v>11.2</v>
      </c>
      <c r="S156" s="6">
        <v>11.2</v>
      </c>
      <c r="T156" s="5">
        <v>9.1999999999999998E-3</v>
      </c>
      <c r="U156" s="1">
        <v>0.11219999999999999</v>
      </c>
      <c r="V156" s="1">
        <v>4.2662000000000004</v>
      </c>
    </row>
    <row r="157" spans="1:22" x14ac:dyDescent="0.25">
      <c r="A157" s="1">
        <v>0.99219999999999997</v>
      </c>
      <c r="B157" s="9" t="s">
        <v>2791</v>
      </c>
      <c r="C157" s="2">
        <v>2507</v>
      </c>
      <c r="D157" s="3" t="s">
        <v>520</v>
      </c>
      <c r="E157" s="9" t="s">
        <v>2252</v>
      </c>
      <c r="F157" s="9" t="s">
        <v>2792</v>
      </c>
      <c r="G157" s="1">
        <v>1491.8007</v>
      </c>
      <c r="H157" s="2">
        <v>275</v>
      </c>
      <c r="I157" s="2">
        <v>2</v>
      </c>
      <c r="J157" s="1">
        <v>1491.9425000000001</v>
      </c>
      <c r="K157" s="1">
        <v>746.9076</v>
      </c>
      <c r="L157" s="9" t="s">
        <v>2586</v>
      </c>
      <c r="M157" s="2">
        <v>6.24</v>
      </c>
      <c r="N157" s="4">
        <v>4745.55</v>
      </c>
      <c r="O157" s="1">
        <v>94.924726967566002</v>
      </c>
      <c r="P157" s="6">
        <v>33.9</v>
      </c>
      <c r="Q157" s="6">
        <v>21.8</v>
      </c>
      <c r="R157" s="6">
        <v>9.5</v>
      </c>
      <c r="S157" s="6">
        <v>9</v>
      </c>
      <c r="T157" s="5">
        <v>2.2000000000000001E-3</v>
      </c>
      <c r="U157" s="1">
        <v>0.14180000000000001</v>
      </c>
      <c r="V157" s="1">
        <v>4.6993999999999998</v>
      </c>
    </row>
    <row r="158" spans="1:22" x14ac:dyDescent="0.25">
      <c r="A158" s="1">
        <v>0.99929999999999997</v>
      </c>
      <c r="B158" s="9" t="s">
        <v>2793</v>
      </c>
      <c r="C158" s="2">
        <v>2511</v>
      </c>
      <c r="D158" s="3" t="s">
        <v>1488</v>
      </c>
      <c r="E158" s="9" t="s">
        <v>1489</v>
      </c>
      <c r="F158" s="9" t="s">
        <v>1490</v>
      </c>
      <c r="G158" s="1">
        <v>1911.8706999999999</v>
      </c>
      <c r="H158" s="2">
        <v>967</v>
      </c>
      <c r="I158" s="2">
        <v>2</v>
      </c>
      <c r="J158" s="1">
        <v>1912.0985000000001</v>
      </c>
      <c r="K158" s="1">
        <v>956.94259999999997</v>
      </c>
      <c r="L158" s="9" t="s">
        <v>1491</v>
      </c>
      <c r="M158" s="2">
        <v>4.46</v>
      </c>
      <c r="N158" s="4">
        <v>4755.99</v>
      </c>
      <c r="O158" s="1">
        <v>119.0249028520624</v>
      </c>
      <c r="P158" s="6">
        <v>54.6</v>
      </c>
      <c r="Q158" s="6">
        <v>29.6</v>
      </c>
      <c r="R158" s="6">
        <v>11.8</v>
      </c>
      <c r="S158" s="6">
        <v>12.8</v>
      </c>
      <c r="T158" s="5">
        <v>1.1000000000000001E-6</v>
      </c>
      <c r="U158" s="1">
        <v>0.2278</v>
      </c>
      <c r="V158" s="1">
        <v>7.9596</v>
      </c>
    </row>
    <row r="159" spans="1:22" x14ac:dyDescent="0.25">
      <c r="A159" s="1">
        <v>0.99890000000000001</v>
      </c>
      <c r="B159" s="9" t="s">
        <v>2794</v>
      </c>
      <c r="C159" s="2">
        <v>2514</v>
      </c>
      <c r="D159" s="3" t="s">
        <v>1603</v>
      </c>
      <c r="E159" s="9" t="s">
        <v>1489</v>
      </c>
      <c r="F159" s="9" t="s">
        <v>1490</v>
      </c>
      <c r="G159" s="1">
        <v>1911.8706999999999</v>
      </c>
      <c r="H159" s="2">
        <v>804</v>
      </c>
      <c r="I159" s="2">
        <v>2</v>
      </c>
      <c r="J159" s="1">
        <v>1911.7487000000001</v>
      </c>
      <c r="K159" s="1">
        <v>956.94259999999997</v>
      </c>
      <c r="L159" s="9" t="s">
        <v>1491</v>
      </c>
      <c r="M159" s="2">
        <v>4.46</v>
      </c>
      <c r="N159" s="4">
        <v>4760.09</v>
      </c>
      <c r="O159" s="1">
        <v>-63.74468019293947</v>
      </c>
      <c r="P159" s="6">
        <v>58</v>
      </c>
      <c r="Q159" s="6">
        <v>33.6</v>
      </c>
      <c r="R159" s="6">
        <v>11.7</v>
      </c>
      <c r="S159" s="6">
        <v>12.4</v>
      </c>
      <c r="T159" s="5">
        <v>5.1000000000000003E-6</v>
      </c>
      <c r="U159" s="1">
        <v>-0.122</v>
      </c>
      <c r="V159" s="1">
        <v>7.1722999999999999</v>
      </c>
    </row>
    <row r="160" spans="1:22" x14ac:dyDescent="0.25">
      <c r="A160" s="1">
        <v>0.95420000000000005</v>
      </c>
      <c r="B160" s="9" t="s">
        <v>2795</v>
      </c>
      <c r="C160" s="2">
        <v>2528</v>
      </c>
      <c r="D160" s="3" t="s">
        <v>311</v>
      </c>
      <c r="E160" s="9" t="s">
        <v>2796</v>
      </c>
      <c r="F160" s="9" t="s">
        <v>2797</v>
      </c>
      <c r="G160" s="1">
        <v>1415.7217000000001</v>
      </c>
      <c r="H160" s="2">
        <v>806</v>
      </c>
      <c r="I160" s="2">
        <v>2</v>
      </c>
      <c r="J160" s="1">
        <v>1415.8489</v>
      </c>
      <c r="K160" s="1">
        <v>708.86810000000003</v>
      </c>
      <c r="L160" s="9" t="s">
        <v>2798</v>
      </c>
      <c r="M160" s="2">
        <v>4.43</v>
      </c>
      <c r="N160" s="4">
        <v>4791.55</v>
      </c>
      <c r="O160" s="1">
        <v>89.720499483613381</v>
      </c>
      <c r="P160" s="6">
        <v>35.5</v>
      </c>
      <c r="Q160" s="6">
        <v>25.7</v>
      </c>
      <c r="R160" s="6">
        <v>9.6</v>
      </c>
      <c r="S160" s="6">
        <v>10.9</v>
      </c>
      <c r="T160" s="5">
        <v>4.2000000000000003E-2</v>
      </c>
      <c r="U160" s="1">
        <v>0.12720000000000001</v>
      </c>
      <c r="V160" s="1">
        <v>3.1392000000000002</v>
      </c>
    </row>
    <row r="161" spans="1:22" x14ac:dyDescent="0.25">
      <c r="A161" s="1">
        <v>0.99880000000000002</v>
      </c>
      <c r="B161" s="9" t="s">
        <v>2799</v>
      </c>
      <c r="C161" s="2">
        <v>2531</v>
      </c>
      <c r="D161" s="3" t="s">
        <v>645</v>
      </c>
      <c r="E161" s="9" t="s">
        <v>2800</v>
      </c>
      <c r="F161" s="9" t="s">
        <v>1275</v>
      </c>
      <c r="G161" s="1">
        <v>1676.7856999999999</v>
      </c>
      <c r="H161" s="2">
        <v>276</v>
      </c>
      <c r="I161" s="2">
        <v>2</v>
      </c>
      <c r="J161" s="1">
        <v>1676.9603999999999</v>
      </c>
      <c r="K161" s="1">
        <v>839.40009999999995</v>
      </c>
      <c r="L161" s="9" t="s">
        <v>1276</v>
      </c>
      <c r="M161" s="2">
        <v>4.75</v>
      </c>
      <c r="N161" s="4">
        <v>4808.42</v>
      </c>
      <c r="O161" s="1">
        <v>104.06241314481616</v>
      </c>
      <c r="P161" s="6">
        <v>43.4</v>
      </c>
      <c r="Q161" s="6">
        <v>23.3</v>
      </c>
      <c r="R161" s="6">
        <v>12.2</v>
      </c>
      <c r="S161" s="6">
        <v>10.8</v>
      </c>
      <c r="T161" s="5">
        <v>3.1000000000000001E-5</v>
      </c>
      <c r="U161" s="1">
        <v>0.17469999999999999</v>
      </c>
      <c r="V161" s="1">
        <v>6.6021000000000001</v>
      </c>
    </row>
    <row r="162" spans="1:22" x14ac:dyDescent="0.25">
      <c r="A162" s="1">
        <v>1</v>
      </c>
      <c r="B162" s="9" t="s">
        <v>2801</v>
      </c>
      <c r="C162" s="2">
        <v>2534</v>
      </c>
      <c r="D162" s="3" t="s">
        <v>2802</v>
      </c>
      <c r="E162" s="9" t="s">
        <v>2803</v>
      </c>
      <c r="F162" s="9" t="s">
        <v>1122</v>
      </c>
      <c r="G162" s="1">
        <v>2260.0976999999998</v>
      </c>
      <c r="H162" s="2">
        <v>143</v>
      </c>
      <c r="I162" s="2">
        <v>3</v>
      </c>
      <c r="J162" s="1">
        <v>2260.3121000000001</v>
      </c>
      <c r="K162" s="1">
        <v>754.3732</v>
      </c>
      <c r="L162" s="9" t="s">
        <v>456</v>
      </c>
      <c r="M162" s="2">
        <v>4.8499999999999996</v>
      </c>
      <c r="N162" s="4">
        <v>4812.51</v>
      </c>
      <c r="O162" s="1">
        <v>94.736486750413022</v>
      </c>
      <c r="P162" s="6">
        <v>55.7</v>
      </c>
      <c r="Q162" s="6">
        <v>26.5</v>
      </c>
      <c r="R162" s="6">
        <v>10.7</v>
      </c>
      <c r="S162" s="6">
        <v>12.6</v>
      </c>
      <c r="T162" s="5">
        <v>8.2000000000000006E-8</v>
      </c>
      <c r="U162" s="1">
        <v>0.21440000000000001</v>
      </c>
      <c r="V162" s="1">
        <v>9.8414000000000001</v>
      </c>
    </row>
    <row r="163" spans="1:22" x14ac:dyDescent="0.25">
      <c r="A163" s="1">
        <v>0.99039999999999995</v>
      </c>
      <c r="B163" s="9" t="s">
        <v>2804</v>
      </c>
      <c r="C163" s="2">
        <v>2538</v>
      </c>
      <c r="D163" s="3" t="s">
        <v>2805</v>
      </c>
      <c r="E163" s="9" t="s">
        <v>2803</v>
      </c>
      <c r="F163" s="9" t="s">
        <v>1122</v>
      </c>
      <c r="G163" s="1">
        <v>2260.0976999999998</v>
      </c>
      <c r="H163" s="2">
        <v>706</v>
      </c>
      <c r="I163" s="2">
        <v>3</v>
      </c>
      <c r="J163" s="1">
        <v>2260.3011000000001</v>
      </c>
      <c r="K163" s="1">
        <v>754.3732</v>
      </c>
      <c r="L163" s="9" t="s">
        <v>456</v>
      </c>
      <c r="M163" s="2">
        <v>4.8499999999999996</v>
      </c>
      <c r="N163" s="4">
        <v>4826.28</v>
      </c>
      <c r="O163" s="1">
        <v>89.875939389151142</v>
      </c>
      <c r="P163" s="6">
        <v>34.200000000000003</v>
      </c>
      <c r="Q163" s="6">
        <v>23.3</v>
      </c>
      <c r="R163" s="6">
        <v>11.2</v>
      </c>
      <c r="S163" s="6">
        <v>11.8</v>
      </c>
      <c r="T163" s="5">
        <v>3.0999999999999999E-3</v>
      </c>
      <c r="U163" s="1">
        <v>0.2034</v>
      </c>
      <c r="V163" s="1">
        <v>4.2085999999999997</v>
      </c>
    </row>
    <row r="164" spans="1:22" x14ac:dyDescent="0.25">
      <c r="A164" s="1">
        <v>0.96909999999999996</v>
      </c>
      <c r="B164" s="9" t="s">
        <v>2806</v>
      </c>
      <c r="C164" s="2">
        <v>2550</v>
      </c>
      <c r="D164" s="3" t="s">
        <v>311</v>
      </c>
      <c r="E164" s="9" t="s">
        <v>2807</v>
      </c>
      <c r="F164" s="9" t="s">
        <v>290</v>
      </c>
      <c r="G164" s="1">
        <v>1385.7337</v>
      </c>
      <c r="H164" s="2">
        <v>620</v>
      </c>
      <c r="I164" s="2">
        <v>2</v>
      </c>
      <c r="J164" s="1">
        <v>1385.8484000000001</v>
      </c>
      <c r="K164" s="1">
        <v>693.8741</v>
      </c>
      <c r="L164" s="9" t="s">
        <v>291</v>
      </c>
      <c r="M164" s="2">
        <v>6.22</v>
      </c>
      <c r="N164" s="4">
        <v>4857.66</v>
      </c>
      <c r="O164" s="1">
        <v>82.65188165979967</v>
      </c>
      <c r="P164" s="6">
        <v>36.6</v>
      </c>
      <c r="Q164" s="6">
        <v>23.9</v>
      </c>
      <c r="R164" s="6">
        <v>12.2</v>
      </c>
      <c r="S164" s="6">
        <v>9.9</v>
      </c>
      <c r="T164" s="5">
        <v>1.7000000000000001E-2</v>
      </c>
      <c r="U164" s="1">
        <v>0.1147</v>
      </c>
      <c r="V164" s="1">
        <v>3.8845999999999998</v>
      </c>
    </row>
    <row r="165" spans="1:22" x14ac:dyDescent="0.25">
      <c r="A165" s="1">
        <v>0.99650000000000005</v>
      </c>
      <c r="B165" s="9" t="s">
        <v>2808</v>
      </c>
      <c r="C165" s="2">
        <v>2562</v>
      </c>
      <c r="D165" s="3" t="s">
        <v>178</v>
      </c>
      <c r="E165" s="9" t="s">
        <v>454</v>
      </c>
      <c r="F165" s="9" t="s">
        <v>552</v>
      </c>
      <c r="G165" s="1">
        <v>1340.7117000000001</v>
      </c>
      <c r="H165" s="2">
        <v>968</v>
      </c>
      <c r="I165" s="2">
        <v>2</v>
      </c>
      <c r="J165" s="1">
        <v>1340.7915</v>
      </c>
      <c r="K165" s="1">
        <v>671.36310000000003</v>
      </c>
      <c r="L165" s="9" t="s">
        <v>456</v>
      </c>
      <c r="M165" s="2">
        <v>6.22</v>
      </c>
      <c r="N165" s="4">
        <v>4889.08</v>
      </c>
      <c r="O165" s="1">
        <v>59.431327101534173</v>
      </c>
      <c r="P165" s="6">
        <v>39.5</v>
      </c>
      <c r="Q165" s="6">
        <v>23.7</v>
      </c>
      <c r="R165" s="6">
        <v>10.1</v>
      </c>
      <c r="S165" s="6">
        <v>12.4</v>
      </c>
      <c r="T165" s="5">
        <v>9.6000000000000002E-4</v>
      </c>
      <c r="U165" s="1">
        <v>7.9799999999999996E-2</v>
      </c>
      <c r="V165" s="1">
        <v>5.2584999999999997</v>
      </c>
    </row>
    <row r="166" spans="1:22" x14ac:dyDescent="0.25">
      <c r="A166" s="1">
        <v>0.99480000000000002</v>
      </c>
      <c r="B166" s="9" t="s">
        <v>2809</v>
      </c>
      <c r="C166" s="2">
        <v>2563</v>
      </c>
      <c r="D166" s="3" t="s">
        <v>105</v>
      </c>
      <c r="E166" s="9" t="s">
        <v>2810</v>
      </c>
      <c r="F166" s="9" t="s">
        <v>2811</v>
      </c>
      <c r="G166" s="1">
        <v>1746.9157</v>
      </c>
      <c r="H166" s="2">
        <v>145</v>
      </c>
      <c r="I166" s="2">
        <v>2</v>
      </c>
      <c r="J166" s="1">
        <v>1747.1529</v>
      </c>
      <c r="K166" s="1">
        <v>874.46510000000001</v>
      </c>
      <c r="L166" s="9" t="s">
        <v>1520</v>
      </c>
      <c r="M166" s="2">
        <v>8.2200000000000006</v>
      </c>
      <c r="N166" s="4">
        <v>4885.8100000000004</v>
      </c>
      <c r="O166" s="1">
        <v>135.62576711180355</v>
      </c>
      <c r="P166" s="6">
        <v>45.4</v>
      </c>
      <c r="Q166" s="6">
        <v>31.4</v>
      </c>
      <c r="R166" s="6">
        <v>10.199999999999999</v>
      </c>
      <c r="S166" s="6">
        <v>10.8</v>
      </c>
      <c r="T166" s="5">
        <v>2.9999999999999997E-4</v>
      </c>
      <c r="U166" s="1">
        <v>0.23719999999999999</v>
      </c>
      <c r="V166" s="1">
        <v>5.1874000000000002</v>
      </c>
    </row>
    <row r="167" spans="1:22" x14ac:dyDescent="0.25">
      <c r="A167" s="1">
        <v>0.99939999999999996</v>
      </c>
      <c r="B167" s="9" t="s">
        <v>2812</v>
      </c>
      <c r="C167" s="2">
        <v>2566</v>
      </c>
      <c r="D167" s="3" t="s">
        <v>1544</v>
      </c>
      <c r="E167" s="9" t="s">
        <v>1545</v>
      </c>
      <c r="F167" s="9" t="s">
        <v>1546</v>
      </c>
      <c r="G167" s="1">
        <v>1593.8326999999999</v>
      </c>
      <c r="H167" s="2">
        <v>277</v>
      </c>
      <c r="I167" s="2">
        <v>2</v>
      </c>
      <c r="J167" s="1">
        <v>1593.9728</v>
      </c>
      <c r="K167" s="1">
        <v>797.92359999999996</v>
      </c>
      <c r="L167" s="9" t="s">
        <v>1547</v>
      </c>
      <c r="M167" s="2">
        <v>4.9400000000000004</v>
      </c>
      <c r="N167" s="4">
        <v>4899.54</v>
      </c>
      <c r="O167" s="1">
        <v>87.790359879066116</v>
      </c>
      <c r="P167" s="6">
        <v>53.7</v>
      </c>
      <c r="Q167" s="6">
        <v>31.7</v>
      </c>
      <c r="R167" s="6">
        <v>11.5</v>
      </c>
      <c r="S167" s="6">
        <v>12.2</v>
      </c>
      <c r="T167" s="5">
        <v>4.0999999999999997E-6</v>
      </c>
      <c r="U167" s="1">
        <v>0.1401</v>
      </c>
      <c r="V167" s="1">
        <v>7.7225999999999999</v>
      </c>
    </row>
    <row r="168" spans="1:22" x14ac:dyDescent="0.25">
      <c r="A168" s="1">
        <v>0.99990000000000001</v>
      </c>
      <c r="B168" s="9" t="s">
        <v>2813</v>
      </c>
      <c r="C168" s="2">
        <v>2572</v>
      </c>
      <c r="D168" s="3" t="s">
        <v>807</v>
      </c>
      <c r="E168" s="9" t="s">
        <v>289</v>
      </c>
      <c r="F168" s="9" t="s">
        <v>290</v>
      </c>
      <c r="G168" s="1">
        <v>1831.9757</v>
      </c>
      <c r="H168" s="2">
        <v>27</v>
      </c>
      <c r="I168" s="2">
        <v>3</v>
      </c>
      <c r="J168" s="1">
        <v>1832.1873000000001</v>
      </c>
      <c r="K168" s="1">
        <v>611.66579999999999</v>
      </c>
      <c r="L168" s="9" t="s">
        <v>291</v>
      </c>
      <c r="M168" s="2">
        <v>6.17</v>
      </c>
      <c r="N168" s="4">
        <v>4906.71</v>
      </c>
      <c r="O168" s="1">
        <v>115.31351488563418</v>
      </c>
      <c r="P168" s="6">
        <v>33.200000000000003</v>
      </c>
      <c r="Q168" s="6">
        <v>23.9</v>
      </c>
      <c r="R168" s="6">
        <v>11.9</v>
      </c>
      <c r="S168" s="6">
        <v>12.5</v>
      </c>
      <c r="T168" s="5">
        <v>2.8999999999999998E-3</v>
      </c>
      <c r="U168" s="1">
        <v>0.21160000000000001</v>
      </c>
      <c r="V168" s="1">
        <v>4.8205</v>
      </c>
    </row>
    <row r="169" spans="1:22" x14ac:dyDescent="0.25">
      <c r="A169" s="1">
        <v>0.99850000000000005</v>
      </c>
      <c r="B169" s="9" t="s">
        <v>2814</v>
      </c>
      <c r="C169" s="2">
        <v>2576</v>
      </c>
      <c r="D169" s="3" t="s">
        <v>520</v>
      </c>
      <c r="E169" s="9" t="s">
        <v>507</v>
      </c>
      <c r="F169" s="9" t="s">
        <v>508</v>
      </c>
      <c r="G169" s="1">
        <v>1634.7766999999999</v>
      </c>
      <c r="H169" s="2">
        <v>28</v>
      </c>
      <c r="I169" s="2">
        <v>2</v>
      </c>
      <c r="J169" s="1">
        <v>1634.9730999999999</v>
      </c>
      <c r="K169" s="1">
        <v>818.39559999999994</v>
      </c>
      <c r="L169" s="9" t="s">
        <v>509</v>
      </c>
      <c r="M169" s="2">
        <v>5.51</v>
      </c>
      <c r="N169" s="4">
        <v>4917.1899999999996</v>
      </c>
      <c r="O169" s="1">
        <v>119.99086994113848</v>
      </c>
      <c r="P169" s="6">
        <v>34.4</v>
      </c>
      <c r="Q169" s="6">
        <v>22.2</v>
      </c>
      <c r="R169" s="6">
        <v>12.1</v>
      </c>
      <c r="S169" s="6">
        <v>10.9</v>
      </c>
      <c r="T169" s="5">
        <v>1.7000000000000001E-4</v>
      </c>
      <c r="U169" s="1">
        <v>0.19639999999999999</v>
      </c>
      <c r="V169" s="1">
        <v>5.8254999999999999</v>
      </c>
    </row>
    <row r="170" spans="1:22" x14ac:dyDescent="0.25">
      <c r="A170" s="1">
        <v>0.9929</v>
      </c>
      <c r="B170" s="9" t="s">
        <v>2815</v>
      </c>
      <c r="C170" s="2">
        <v>2579</v>
      </c>
      <c r="D170" s="3" t="s">
        <v>115</v>
      </c>
      <c r="E170" s="9" t="s">
        <v>507</v>
      </c>
      <c r="F170" s="9" t="s">
        <v>508</v>
      </c>
      <c r="G170" s="1">
        <v>1634.7766999999999</v>
      </c>
      <c r="H170" s="2">
        <v>148</v>
      </c>
      <c r="I170" s="2">
        <v>2</v>
      </c>
      <c r="J170" s="1">
        <v>1635.4746</v>
      </c>
      <c r="K170" s="1">
        <v>818.39559999999994</v>
      </c>
      <c r="L170" s="9" t="s">
        <v>509</v>
      </c>
      <c r="M170" s="2">
        <v>5.51</v>
      </c>
      <c r="N170" s="4">
        <v>4927.68</v>
      </c>
      <c r="O170" s="1">
        <v>-186.61818318671317</v>
      </c>
      <c r="P170" s="6">
        <v>47.7</v>
      </c>
      <c r="Q170" s="6">
        <v>25.8</v>
      </c>
      <c r="R170" s="6">
        <v>12.1</v>
      </c>
      <c r="S170" s="6">
        <v>11.7</v>
      </c>
      <c r="T170" s="5">
        <v>3.6999999999999998E-5</v>
      </c>
      <c r="U170" s="1">
        <v>0.69789999999999996</v>
      </c>
      <c r="V170" s="1">
        <v>6.9657999999999998</v>
      </c>
    </row>
    <row r="171" spans="1:22" x14ac:dyDescent="0.25">
      <c r="A171" s="1">
        <v>0.98050000000000004</v>
      </c>
      <c r="B171" s="9" t="s">
        <v>2816</v>
      </c>
      <c r="C171" s="2">
        <v>2583</v>
      </c>
      <c r="D171" s="3" t="s">
        <v>154</v>
      </c>
      <c r="E171" s="9" t="s">
        <v>2817</v>
      </c>
      <c r="F171" s="9" t="s">
        <v>2361</v>
      </c>
      <c r="G171" s="1">
        <v>1206.6837</v>
      </c>
      <c r="H171" s="2">
        <v>150</v>
      </c>
      <c r="I171" s="2">
        <v>2</v>
      </c>
      <c r="J171" s="1">
        <v>1206.7717</v>
      </c>
      <c r="K171" s="1">
        <v>604.34910000000002</v>
      </c>
      <c r="L171" s="9" t="s">
        <v>2362</v>
      </c>
      <c r="M171" s="2">
        <v>10</v>
      </c>
      <c r="N171" s="4">
        <v>4938.17</v>
      </c>
      <c r="O171" s="1">
        <v>72.805601927759966</v>
      </c>
      <c r="P171" s="6">
        <v>38.299999999999997</v>
      </c>
      <c r="Q171" s="6">
        <v>28.7</v>
      </c>
      <c r="R171" s="6">
        <v>11.9</v>
      </c>
      <c r="S171" s="6">
        <v>11.5</v>
      </c>
      <c r="T171" s="5">
        <v>1.2E-2</v>
      </c>
      <c r="U171" s="1">
        <v>8.7999999999999995E-2</v>
      </c>
      <c r="V171" s="1">
        <v>4.0956999999999999</v>
      </c>
    </row>
    <row r="172" spans="1:22" x14ac:dyDescent="0.25">
      <c r="A172" s="1">
        <v>0.99509999999999998</v>
      </c>
      <c r="B172" s="9" t="s">
        <v>2818</v>
      </c>
      <c r="C172" s="2">
        <v>2584</v>
      </c>
      <c r="D172" s="3" t="s">
        <v>423</v>
      </c>
      <c r="E172" s="9" t="s">
        <v>459</v>
      </c>
      <c r="F172" s="9" t="s">
        <v>2819</v>
      </c>
      <c r="G172" s="1">
        <v>1621.8017</v>
      </c>
      <c r="H172" s="2">
        <v>808</v>
      </c>
      <c r="I172" s="2">
        <v>2</v>
      </c>
      <c r="J172" s="1">
        <v>1621.9591</v>
      </c>
      <c r="K172" s="1">
        <v>811.90809999999999</v>
      </c>
      <c r="L172" s="9" t="s">
        <v>461</v>
      </c>
      <c r="M172" s="2">
        <v>4.75</v>
      </c>
      <c r="N172" s="4">
        <v>4938.17</v>
      </c>
      <c r="O172" s="1">
        <v>96.932152789213461</v>
      </c>
      <c r="P172" s="6">
        <v>37.9</v>
      </c>
      <c r="Q172" s="6">
        <v>25</v>
      </c>
      <c r="R172" s="6">
        <v>12.2</v>
      </c>
      <c r="S172" s="6">
        <v>9.5</v>
      </c>
      <c r="T172" s="5">
        <v>1.1000000000000001E-3</v>
      </c>
      <c r="U172" s="1">
        <v>0.15740000000000001</v>
      </c>
      <c r="V172" s="1">
        <v>4.9335000000000004</v>
      </c>
    </row>
    <row r="173" spans="1:22" x14ac:dyDescent="0.25">
      <c r="A173" s="1">
        <v>0.99880000000000002</v>
      </c>
      <c r="B173" s="9" t="s">
        <v>2820</v>
      </c>
      <c r="C173" s="2">
        <v>2588</v>
      </c>
      <c r="D173" s="3" t="s">
        <v>178</v>
      </c>
      <c r="E173" s="9" t="s">
        <v>463</v>
      </c>
      <c r="F173" s="9" t="s">
        <v>464</v>
      </c>
      <c r="G173" s="1">
        <v>1577.7946999999999</v>
      </c>
      <c r="H173" s="2">
        <v>969</v>
      </c>
      <c r="I173" s="2">
        <v>2</v>
      </c>
      <c r="J173" s="1">
        <v>1577.9547</v>
      </c>
      <c r="K173" s="1">
        <v>789.90459999999996</v>
      </c>
      <c r="L173" s="9" t="s">
        <v>465</v>
      </c>
      <c r="M173" s="2">
        <v>8.75</v>
      </c>
      <c r="N173" s="4">
        <v>4958.07</v>
      </c>
      <c r="O173" s="1">
        <v>101.27805307121898</v>
      </c>
      <c r="P173" s="6">
        <v>40.6</v>
      </c>
      <c r="Q173" s="6">
        <v>25.2</v>
      </c>
      <c r="R173" s="6">
        <v>11.7</v>
      </c>
      <c r="S173" s="6">
        <v>11.5</v>
      </c>
      <c r="T173" s="5">
        <v>4.3999999999999999E-5</v>
      </c>
      <c r="U173" s="1">
        <v>0.16</v>
      </c>
      <c r="V173" s="1">
        <v>6.5347</v>
      </c>
    </row>
    <row r="174" spans="1:22" x14ac:dyDescent="0.25">
      <c r="A174" s="1">
        <v>0.99850000000000005</v>
      </c>
      <c r="B174" s="9" t="s">
        <v>2821</v>
      </c>
      <c r="C174" s="2">
        <v>2590</v>
      </c>
      <c r="D174" s="3" t="s">
        <v>178</v>
      </c>
      <c r="E174" s="9" t="s">
        <v>494</v>
      </c>
      <c r="F174" s="9" t="s">
        <v>597</v>
      </c>
      <c r="G174" s="1">
        <v>1368.7327</v>
      </c>
      <c r="H174" s="2">
        <v>970</v>
      </c>
      <c r="I174" s="2">
        <v>2</v>
      </c>
      <c r="J174" s="1">
        <v>1368.7771</v>
      </c>
      <c r="K174" s="1">
        <v>685.37360000000001</v>
      </c>
      <c r="L174" s="9" t="s">
        <v>157</v>
      </c>
      <c r="M174" s="2">
        <v>4.75</v>
      </c>
      <c r="N174" s="4">
        <v>4962.37</v>
      </c>
      <c r="O174" s="1">
        <v>32.391092974692931</v>
      </c>
      <c r="P174" s="6">
        <v>39.700000000000003</v>
      </c>
      <c r="Q174" s="6">
        <v>24</v>
      </c>
      <c r="R174" s="6">
        <v>12.1</v>
      </c>
      <c r="S174" s="6">
        <v>11.3</v>
      </c>
      <c r="T174" s="5">
        <v>9.7999999999999997E-5</v>
      </c>
      <c r="U174" s="1">
        <v>4.4400000000000002E-2</v>
      </c>
      <c r="V174" s="1">
        <v>6.2511000000000001</v>
      </c>
    </row>
    <row r="175" spans="1:22" x14ac:dyDescent="0.25">
      <c r="A175" s="1">
        <v>0.99970000000000003</v>
      </c>
      <c r="B175" s="9" t="s">
        <v>2822</v>
      </c>
      <c r="C175" s="2">
        <v>2591</v>
      </c>
      <c r="D175" s="3" t="s">
        <v>1603</v>
      </c>
      <c r="E175" s="9" t="s">
        <v>998</v>
      </c>
      <c r="F175" s="9" t="s">
        <v>1522</v>
      </c>
      <c r="G175" s="1">
        <v>1773.9947</v>
      </c>
      <c r="H175" s="2">
        <v>152</v>
      </c>
      <c r="I175" s="2">
        <v>2</v>
      </c>
      <c r="J175" s="1">
        <v>1774.1952000000001</v>
      </c>
      <c r="K175" s="1">
        <v>888.00459999999998</v>
      </c>
      <c r="L175" s="9" t="s">
        <v>603</v>
      </c>
      <c r="M175" s="2">
        <v>4.8499999999999996</v>
      </c>
      <c r="N175" s="4">
        <v>4959.09</v>
      </c>
      <c r="O175" s="1">
        <v>112.89355933516562</v>
      </c>
      <c r="P175" s="6">
        <v>58.8</v>
      </c>
      <c r="Q175" s="6">
        <v>25</v>
      </c>
      <c r="R175" s="6">
        <v>12.7</v>
      </c>
      <c r="S175" s="6">
        <v>13.5</v>
      </c>
      <c r="T175" s="5">
        <v>1E-8</v>
      </c>
      <c r="U175" s="1">
        <v>0.20050000000000001</v>
      </c>
      <c r="V175" s="1">
        <v>10.384600000000001</v>
      </c>
    </row>
    <row r="176" spans="1:22" x14ac:dyDescent="0.25">
      <c r="A176" s="1">
        <v>0.99960000000000004</v>
      </c>
      <c r="B176" s="9" t="s">
        <v>2823</v>
      </c>
      <c r="C176" s="2">
        <v>2596</v>
      </c>
      <c r="D176" s="3" t="s">
        <v>1145</v>
      </c>
      <c r="E176" s="9" t="s">
        <v>998</v>
      </c>
      <c r="F176" s="9" t="s">
        <v>1522</v>
      </c>
      <c r="G176" s="1">
        <v>1773.9947</v>
      </c>
      <c r="H176" s="2">
        <v>278</v>
      </c>
      <c r="I176" s="2">
        <v>2</v>
      </c>
      <c r="J176" s="1">
        <v>1773.7204999999999</v>
      </c>
      <c r="K176" s="1">
        <v>888.00459999999998</v>
      </c>
      <c r="L176" s="9" t="s">
        <v>603</v>
      </c>
      <c r="M176" s="2">
        <v>4.8499999999999996</v>
      </c>
      <c r="N176" s="4">
        <v>4979</v>
      </c>
      <c r="O176" s="1">
        <v>-154.39109211821651</v>
      </c>
      <c r="P176" s="6">
        <v>47.7</v>
      </c>
      <c r="Q176" s="6">
        <v>25.5</v>
      </c>
      <c r="R176" s="6">
        <v>12.9</v>
      </c>
      <c r="S176" s="6">
        <v>13.6</v>
      </c>
      <c r="T176" s="5">
        <v>1.6E-7</v>
      </c>
      <c r="U176" s="1">
        <v>-0.2742</v>
      </c>
      <c r="V176" s="1">
        <v>8.7872000000000003</v>
      </c>
    </row>
    <row r="177" spans="1:22" x14ac:dyDescent="0.25">
      <c r="A177" s="1">
        <v>0.99419999999999997</v>
      </c>
      <c r="B177" s="9" t="s">
        <v>2824</v>
      </c>
      <c r="C177" s="2">
        <v>2603</v>
      </c>
      <c r="D177" s="3" t="s">
        <v>520</v>
      </c>
      <c r="E177" s="9" t="s">
        <v>507</v>
      </c>
      <c r="F177" s="9" t="s">
        <v>508</v>
      </c>
      <c r="G177" s="1">
        <v>1634.7766999999999</v>
      </c>
      <c r="H177" s="2">
        <v>29</v>
      </c>
      <c r="I177" s="2">
        <v>2</v>
      </c>
      <c r="J177" s="1">
        <v>1634.9593</v>
      </c>
      <c r="K177" s="1">
        <v>818.39559999999994</v>
      </c>
      <c r="L177" s="9" t="s">
        <v>509</v>
      </c>
      <c r="M177" s="2">
        <v>5.51</v>
      </c>
      <c r="N177" s="4">
        <v>4990.4799999999996</v>
      </c>
      <c r="O177" s="1">
        <v>111.55973956849232</v>
      </c>
      <c r="P177" s="6">
        <v>33.299999999999997</v>
      </c>
      <c r="Q177" s="6">
        <v>24.1</v>
      </c>
      <c r="R177" s="6">
        <v>12.2</v>
      </c>
      <c r="S177" s="6">
        <v>11.2</v>
      </c>
      <c r="T177" s="5">
        <v>1.6999999999999999E-3</v>
      </c>
      <c r="U177" s="1">
        <v>0.18260000000000001</v>
      </c>
      <c r="V177" s="1">
        <v>4.4558999999999997</v>
      </c>
    </row>
    <row r="178" spans="1:22" x14ac:dyDescent="0.25">
      <c r="A178" s="1">
        <v>0.98750000000000004</v>
      </c>
      <c r="B178" s="9" t="s">
        <v>2825</v>
      </c>
      <c r="C178" s="2">
        <v>2604</v>
      </c>
      <c r="D178" s="3" t="s">
        <v>645</v>
      </c>
      <c r="E178" s="9" t="s">
        <v>998</v>
      </c>
      <c r="F178" s="9" t="s">
        <v>1522</v>
      </c>
      <c r="G178" s="1">
        <v>1773.9947</v>
      </c>
      <c r="H178" s="2">
        <v>154</v>
      </c>
      <c r="I178" s="2">
        <v>2</v>
      </c>
      <c r="J178" s="1">
        <v>1774.8353999999999</v>
      </c>
      <c r="K178" s="1">
        <v>888.00459999999998</v>
      </c>
      <c r="L178" s="9" t="s">
        <v>603</v>
      </c>
      <c r="M178" s="2">
        <v>4.8499999999999996</v>
      </c>
      <c r="N178" s="4">
        <v>4990.4799999999996</v>
      </c>
      <c r="O178" s="1">
        <v>-91.58454809806166</v>
      </c>
      <c r="P178" s="6">
        <v>42.9</v>
      </c>
      <c r="Q178" s="6">
        <v>23.4</v>
      </c>
      <c r="R178" s="6">
        <v>12</v>
      </c>
      <c r="S178" s="6">
        <v>12.2</v>
      </c>
      <c r="T178" s="5">
        <v>7.1000000000000005E-5</v>
      </c>
      <c r="U178" s="1">
        <v>0.8407</v>
      </c>
      <c r="V178" s="1">
        <v>6.2243000000000004</v>
      </c>
    </row>
    <row r="179" spans="1:22" x14ac:dyDescent="0.25">
      <c r="A179" s="1">
        <v>0.99609999999999999</v>
      </c>
      <c r="B179" s="9" t="s">
        <v>2826</v>
      </c>
      <c r="C179" s="2">
        <v>2606</v>
      </c>
      <c r="D179" s="3" t="s">
        <v>451</v>
      </c>
      <c r="E179" s="9" t="s">
        <v>452</v>
      </c>
      <c r="F179" s="9" t="s">
        <v>222</v>
      </c>
      <c r="G179" s="1">
        <v>1715.7936999999999</v>
      </c>
      <c r="H179" s="2">
        <v>279</v>
      </c>
      <c r="I179" s="2">
        <v>2</v>
      </c>
      <c r="J179" s="1">
        <v>1715.9523999999999</v>
      </c>
      <c r="K179" s="1">
        <v>858.90409999999997</v>
      </c>
      <c r="L179" s="9" t="s">
        <v>223</v>
      </c>
      <c r="M179" s="2">
        <v>4.54</v>
      </c>
      <c r="N179" s="4">
        <v>5004.25</v>
      </c>
      <c r="O179" s="1">
        <v>92.385168495528205</v>
      </c>
      <c r="P179" s="6">
        <v>37.1</v>
      </c>
      <c r="Q179" s="6">
        <v>24</v>
      </c>
      <c r="R179" s="6">
        <v>13.8</v>
      </c>
      <c r="S179" s="6">
        <v>11.4</v>
      </c>
      <c r="T179" s="5">
        <v>1.8000000000000001E-4</v>
      </c>
      <c r="U179" s="1">
        <v>0.15870000000000001</v>
      </c>
      <c r="V179" s="1">
        <v>5.5971000000000002</v>
      </c>
    </row>
    <row r="180" spans="1:22" x14ac:dyDescent="0.25">
      <c r="A180" s="1">
        <v>0.99199999999999999</v>
      </c>
      <c r="B180" s="9" t="s">
        <v>2827</v>
      </c>
      <c r="C180" s="2">
        <v>2612</v>
      </c>
      <c r="D180" s="3" t="s">
        <v>105</v>
      </c>
      <c r="E180" s="9" t="s">
        <v>452</v>
      </c>
      <c r="F180" s="9" t="s">
        <v>222</v>
      </c>
      <c r="G180" s="1">
        <v>1715.7936999999999</v>
      </c>
      <c r="H180" s="2">
        <v>156</v>
      </c>
      <c r="I180" s="2">
        <v>2</v>
      </c>
      <c r="J180" s="1">
        <v>1716.5202999999999</v>
      </c>
      <c r="K180" s="1">
        <v>858.90409999999997</v>
      </c>
      <c r="L180" s="9" t="s">
        <v>223</v>
      </c>
      <c r="M180" s="2">
        <v>4.54</v>
      </c>
      <c r="N180" s="4">
        <v>5011.46</v>
      </c>
      <c r="O180" s="1">
        <v>-161.10937181461819</v>
      </c>
      <c r="P180" s="6">
        <v>47.4</v>
      </c>
      <c r="Q180" s="6">
        <v>25.9</v>
      </c>
      <c r="R180" s="6">
        <v>13.7</v>
      </c>
      <c r="S180" s="6">
        <v>8.8000000000000007</v>
      </c>
      <c r="T180" s="5">
        <v>1.1E-5</v>
      </c>
      <c r="U180" s="1">
        <v>0.72660000000000002</v>
      </c>
      <c r="V180" s="1">
        <v>7.2220000000000004</v>
      </c>
    </row>
    <row r="181" spans="1:22" x14ac:dyDescent="0.25">
      <c r="A181" s="1">
        <v>0.99099999999999999</v>
      </c>
      <c r="B181" s="9" t="s">
        <v>2828</v>
      </c>
      <c r="C181" s="2">
        <v>2614</v>
      </c>
      <c r="D181" s="3" t="s">
        <v>423</v>
      </c>
      <c r="E181" s="9" t="s">
        <v>494</v>
      </c>
      <c r="F181" s="9" t="s">
        <v>495</v>
      </c>
      <c r="G181" s="1">
        <v>1368.7327</v>
      </c>
      <c r="H181" s="2">
        <v>157</v>
      </c>
      <c r="I181" s="2">
        <v>2</v>
      </c>
      <c r="J181" s="1">
        <v>1368.8312000000001</v>
      </c>
      <c r="K181" s="1">
        <v>685.37360000000001</v>
      </c>
      <c r="L181" s="9" t="s">
        <v>157</v>
      </c>
      <c r="M181" s="2">
        <v>4.75</v>
      </c>
      <c r="N181" s="4">
        <v>5021.95</v>
      </c>
      <c r="O181" s="1">
        <v>71.85861842358679</v>
      </c>
      <c r="P181" s="6">
        <v>36.5</v>
      </c>
      <c r="Q181" s="6">
        <v>24.1</v>
      </c>
      <c r="R181" s="6">
        <v>12.1</v>
      </c>
      <c r="S181" s="6">
        <v>10.1</v>
      </c>
      <c r="T181" s="5">
        <v>1.8E-3</v>
      </c>
      <c r="U181" s="1">
        <v>9.8500000000000004E-2</v>
      </c>
      <c r="V181" s="1">
        <v>4.7121000000000004</v>
      </c>
    </row>
    <row r="182" spans="1:22" x14ac:dyDescent="0.25">
      <c r="A182" s="1">
        <v>0.95940000000000003</v>
      </c>
      <c r="B182" s="9" t="s">
        <v>2829</v>
      </c>
      <c r="C182" s="2">
        <v>2615</v>
      </c>
      <c r="D182" s="3" t="s">
        <v>285</v>
      </c>
      <c r="E182" s="9" t="s">
        <v>2830</v>
      </c>
      <c r="F182" s="9" t="s">
        <v>2831</v>
      </c>
      <c r="G182" s="1">
        <v>1593.8326999999999</v>
      </c>
      <c r="H182" s="2">
        <v>971</v>
      </c>
      <c r="I182" s="2">
        <v>2</v>
      </c>
      <c r="J182" s="1">
        <v>1593.9993999999999</v>
      </c>
      <c r="K182" s="1">
        <v>797.92359999999996</v>
      </c>
      <c r="L182" s="9" t="s">
        <v>2832</v>
      </c>
      <c r="M182" s="2">
        <v>4.9400000000000004</v>
      </c>
      <c r="N182" s="4">
        <v>5028.3100000000004</v>
      </c>
      <c r="O182" s="1">
        <v>104.45862235432064</v>
      </c>
      <c r="P182" s="6">
        <v>50.8</v>
      </c>
      <c r="Q182" s="6">
        <v>43.2</v>
      </c>
      <c r="R182" s="6">
        <v>12</v>
      </c>
      <c r="S182" s="6">
        <v>11.4</v>
      </c>
      <c r="T182" s="5">
        <v>0.1</v>
      </c>
      <c r="U182" s="1">
        <v>0.16669999999999999</v>
      </c>
      <c r="V182" s="1">
        <v>2.1545000000000001</v>
      </c>
    </row>
    <row r="183" spans="1:22" x14ac:dyDescent="0.25">
      <c r="A183" s="1">
        <v>1</v>
      </c>
      <c r="B183" s="9" t="s">
        <v>2833</v>
      </c>
      <c r="C183" s="2">
        <v>2620</v>
      </c>
      <c r="D183" s="3" t="s">
        <v>163</v>
      </c>
      <c r="E183" s="9" t="s">
        <v>289</v>
      </c>
      <c r="F183" s="9" t="s">
        <v>290</v>
      </c>
      <c r="G183" s="1">
        <v>1831.9757</v>
      </c>
      <c r="H183" s="2">
        <v>30</v>
      </c>
      <c r="I183" s="2">
        <v>3</v>
      </c>
      <c r="J183" s="1">
        <v>1832.1848</v>
      </c>
      <c r="K183" s="1">
        <v>611.66579999999999</v>
      </c>
      <c r="L183" s="9" t="s">
        <v>291</v>
      </c>
      <c r="M183" s="2">
        <v>6.17</v>
      </c>
      <c r="N183" s="4">
        <v>5032.41</v>
      </c>
      <c r="O183" s="1">
        <v>113.95111513509501</v>
      </c>
      <c r="P183" s="6">
        <v>34.5</v>
      </c>
      <c r="Q183" s="6">
        <v>21.6</v>
      </c>
      <c r="R183" s="6">
        <v>11.5</v>
      </c>
      <c r="S183" s="6">
        <v>10.7</v>
      </c>
      <c r="T183" s="5">
        <v>3.6000000000000002E-4</v>
      </c>
      <c r="U183" s="1">
        <v>0.20910000000000001</v>
      </c>
      <c r="V183" s="1">
        <v>6.4371</v>
      </c>
    </row>
    <row r="184" spans="1:22" x14ac:dyDescent="0.25">
      <c r="A184" s="1">
        <v>0.99919999999999998</v>
      </c>
      <c r="B184" s="9" t="s">
        <v>2834</v>
      </c>
      <c r="C184" s="2">
        <v>2626</v>
      </c>
      <c r="D184" s="3" t="s">
        <v>280</v>
      </c>
      <c r="E184" s="9" t="s">
        <v>2322</v>
      </c>
      <c r="F184" s="9" t="s">
        <v>2323</v>
      </c>
      <c r="G184" s="1">
        <v>1462.7487000000001</v>
      </c>
      <c r="H184" s="2">
        <v>972</v>
      </c>
      <c r="I184" s="2">
        <v>2</v>
      </c>
      <c r="J184" s="1">
        <v>1462.8398999999999</v>
      </c>
      <c r="K184" s="1">
        <v>732.38160000000005</v>
      </c>
      <c r="L184" s="9" t="s">
        <v>2324</v>
      </c>
      <c r="M184" s="2">
        <v>5.84</v>
      </c>
      <c r="N184" s="4">
        <v>5056.63</v>
      </c>
      <c r="O184" s="1">
        <v>62.262623746964692</v>
      </c>
      <c r="P184" s="6">
        <v>45.9</v>
      </c>
      <c r="Q184" s="6">
        <v>26.3</v>
      </c>
      <c r="R184" s="6">
        <v>12</v>
      </c>
      <c r="S184" s="6">
        <v>9.6999999999999993</v>
      </c>
      <c r="T184" s="5">
        <v>1.2E-5</v>
      </c>
      <c r="U184" s="1">
        <v>9.1200000000000003E-2</v>
      </c>
      <c r="V184" s="1">
        <v>7.3230000000000004</v>
      </c>
    </row>
    <row r="185" spans="1:22" x14ac:dyDescent="0.25">
      <c r="A185" s="1">
        <v>0.99990000000000001</v>
      </c>
      <c r="B185" s="9" t="s">
        <v>2835</v>
      </c>
      <c r="C185" s="2">
        <v>2643</v>
      </c>
      <c r="D185" s="3" t="s">
        <v>2767</v>
      </c>
      <c r="E185" s="9" t="s">
        <v>289</v>
      </c>
      <c r="F185" s="9" t="s">
        <v>290</v>
      </c>
      <c r="G185" s="1">
        <v>1831.9757</v>
      </c>
      <c r="H185" s="2">
        <v>31</v>
      </c>
      <c r="I185" s="2">
        <v>3</v>
      </c>
      <c r="J185" s="1">
        <v>1832.2053000000001</v>
      </c>
      <c r="K185" s="1">
        <v>611.66579999999999</v>
      </c>
      <c r="L185" s="9" t="s">
        <v>291</v>
      </c>
      <c r="M185" s="2">
        <v>6.17</v>
      </c>
      <c r="N185" s="4">
        <v>5095.2700000000004</v>
      </c>
      <c r="O185" s="1">
        <v>125.12279308951609</v>
      </c>
      <c r="P185" s="6">
        <v>29.6</v>
      </c>
      <c r="Q185" s="6">
        <v>20.3</v>
      </c>
      <c r="R185" s="6">
        <v>11</v>
      </c>
      <c r="S185" s="6">
        <v>11.7</v>
      </c>
      <c r="T185" s="5">
        <v>4.3E-3</v>
      </c>
      <c r="U185" s="1">
        <v>0.2296</v>
      </c>
      <c r="V185" s="1">
        <v>4.7920999999999996</v>
      </c>
    </row>
    <row r="186" spans="1:22" x14ac:dyDescent="0.25">
      <c r="A186" s="1">
        <v>0.99960000000000004</v>
      </c>
      <c r="B186" s="9" t="s">
        <v>2836</v>
      </c>
      <c r="C186" s="2">
        <v>2646</v>
      </c>
      <c r="D186" s="3" t="s">
        <v>278</v>
      </c>
      <c r="E186" s="9" t="s">
        <v>2837</v>
      </c>
      <c r="F186" s="9" t="s">
        <v>2838</v>
      </c>
      <c r="G186" s="1">
        <v>1712.8447000000001</v>
      </c>
      <c r="H186" s="2">
        <v>160</v>
      </c>
      <c r="I186" s="2">
        <v>2</v>
      </c>
      <c r="J186" s="1">
        <v>1713.0218</v>
      </c>
      <c r="K186" s="1">
        <v>857.42960000000005</v>
      </c>
      <c r="L186" s="9" t="s">
        <v>2839</v>
      </c>
      <c r="M186" s="2">
        <v>4.8899999999999997</v>
      </c>
      <c r="N186" s="4">
        <v>5105.72</v>
      </c>
      <c r="O186" s="1">
        <v>103.27378480985494</v>
      </c>
      <c r="P186" s="6">
        <v>52</v>
      </c>
      <c r="Q186" s="6">
        <v>26</v>
      </c>
      <c r="R186" s="6">
        <v>10.7</v>
      </c>
      <c r="S186" s="6">
        <v>12.9</v>
      </c>
      <c r="T186" s="5">
        <v>1.5999999999999999E-6</v>
      </c>
      <c r="U186" s="1">
        <v>0.17710000000000001</v>
      </c>
      <c r="V186" s="1">
        <v>8.2448999999999995</v>
      </c>
    </row>
    <row r="187" spans="1:22" x14ac:dyDescent="0.25">
      <c r="A187" s="1">
        <v>0.99770000000000003</v>
      </c>
      <c r="B187" s="9" t="s">
        <v>2840</v>
      </c>
      <c r="C187" s="2">
        <v>2650</v>
      </c>
      <c r="D187" s="3" t="s">
        <v>178</v>
      </c>
      <c r="E187" s="9" t="s">
        <v>2322</v>
      </c>
      <c r="F187" s="9" t="s">
        <v>2323</v>
      </c>
      <c r="G187" s="1">
        <v>1462.7487000000001</v>
      </c>
      <c r="H187" s="2">
        <v>810</v>
      </c>
      <c r="I187" s="2">
        <v>2</v>
      </c>
      <c r="J187" s="1">
        <v>1462.8698999999999</v>
      </c>
      <c r="K187" s="1">
        <v>732.38160000000005</v>
      </c>
      <c r="L187" s="9" t="s">
        <v>2324</v>
      </c>
      <c r="M187" s="2">
        <v>5.84</v>
      </c>
      <c r="N187" s="4">
        <v>5116.18</v>
      </c>
      <c r="O187" s="1">
        <v>82.743749979518867</v>
      </c>
      <c r="P187" s="6">
        <v>41</v>
      </c>
      <c r="Q187" s="6">
        <v>25.6</v>
      </c>
      <c r="R187" s="6">
        <v>11.3</v>
      </c>
      <c r="S187" s="6">
        <v>8.8000000000000007</v>
      </c>
      <c r="T187" s="5">
        <v>2.1000000000000001E-4</v>
      </c>
      <c r="U187" s="1">
        <v>0.1212</v>
      </c>
      <c r="V187" s="1">
        <v>5.8247</v>
      </c>
    </row>
    <row r="188" spans="1:22" x14ac:dyDescent="0.25">
      <c r="A188" s="1">
        <v>0.96299999999999997</v>
      </c>
      <c r="B188" s="9" t="s">
        <v>2841</v>
      </c>
      <c r="C188" s="2">
        <v>2656</v>
      </c>
      <c r="D188" s="3" t="s">
        <v>807</v>
      </c>
      <c r="E188" s="9" t="s">
        <v>289</v>
      </c>
      <c r="F188" s="9" t="s">
        <v>290</v>
      </c>
      <c r="G188" s="1">
        <v>1831.9757</v>
      </c>
      <c r="H188" s="2">
        <v>320</v>
      </c>
      <c r="I188" s="2">
        <v>3</v>
      </c>
      <c r="J188" s="1">
        <v>1832.2112999999999</v>
      </c>
      <c r="K188" s="1">
        <v>611.66579999999999</v>
      </c>
      <c r="L188" s="9" t="s">
        <v>291</v>
      </c>
      <c r="M188" s="2">
        <v>6.17</v>
      </c>
      <c r="N188" s="4">
        <v>5136.12</v>
      </c>
      <c r="O188" s="1">
        <v>128.39255249081006</v>
      </c>
      <c r="P188" s="6">
        <v>29.1</v>
      </c>
      <c r="Q188" s="6">
        <v>22.7</v>
      </c>
      <c r="R188" s="6">
        <v>10.9</v>
      </c>
      <c r="S188" s="6">
        <v>10.9</v>
      </c>
      <c r="T188" s="5">
        <v>2.8000000000000001E-2</v>
      </c>
      <c r="U188" s="1">
        <v>0.2356</v>
      </c>
      <c r="V188" s="1">
        <v>3.2867999999999999</v>
      </c>
    </row>
    <row r="189" spans="1:22" x14ac:dyDescent="0.25">
      <c r="A189" s="1">
        <v>0.98250000000000004</v>
      </c>
      <c r="B189" s="9" t="s">
        <v>2842</v>
      </c>
      <c r="C189" s="2">
        <v>2659</v>
      </c>
      <c r="D189" s="3" t="s">
        <v>451</v>
      </c>
      <c r="E189" s="9" t="s">
        <v>2843</v>
      </c>
      <c r="F189" s="9" t="s">
        <v>2844</v>
      </c>
      <c r="G189" s="1">
        <v>1500.7607</v>
      </c>
      <c r="H189" s="2">
        <v>812</v>
      </c>
      <c r="I189" s="2">
        <v>2</v>
      </c>
      <c r="J189" s="1">
        <v>1500.9208000000001</v>
      </c>
      <c r="K189" s="1">
        <v>751.38760000000002</v>
      </c>
      <c r="L189" s="9" t="s">
        <v>2845</v>
      </c>
      <c r="M189" s="2">
        <v>4.37</v>
      </c>
      <c r="N189" s="4">
        <v>5137.1400000000003</v>
      </c>
      <c r="O189" s="1">
        <v>106.53622710835259</v>
      </c>
      <c r="P189" s="6">
        <v>36.200000000000003</v>
      </c>
      <c r="Q189" s="6">
        <v>25.4</v>
      </c>
      <c r="R189" s="6">
        <v>10.6</v>
      </c>
      <c r="S189" s="6">
        <v>7.3</v>
      </c>
      <c r="T189" s="5">
        <v>6.4000000000000003E-3</v>
      </c>
      <c r="U189" s="1">
        <v>0.16009999999999999</v>
      </c>
      <c r="V189" s="1">
        <v>3.8359000000000001</v>
      </c>
    </row>
    <row r="190" spans="1:22" x14ac:dyDescent="0.25">
      <c r="A190" s="1">
        <v>0.998</v>
      </c>
      <c r="B190" s="9" t="s">
        <v>2846</v>
      </c>
      <c r="C190" s="2">
        <v>2678</v>
      </c>
      <c r="D190" s="3" t="s">
        <v>178</v>
      </c>
      <c r="E190" s="9" t="s">
        <v>2322</v>
      </c>
      <c r="F190" s="9" t="s">
        <v>2323</v>
      </c>
      <c r="G190" s="1">
        <v>1462.7487000000001</v>
      </c>
      <c r="H190" s="2">
        <v>977</v>
      </c>
      <c r="I190" s="2">
        <v>2</v>
      </c>
      <c r="J190" s="1">
        <v>1462.8762999999999</v>
      </c>
      <c r="K190" s="1">
        <v>732.38160000000005</v>
      </c>
      <c r="L190" s="9" t="s">
        <v>2324</v>
      </c>
      <c r="M190" s="2">
        <v>5.84</v>
      </c>
      <c r="N190" s="4">
        <v>5192.74</v>
      </c>
      <c r="O190" s="1">
        <v>87.113056909130421</v>
      </c>
      <c r="P190" s="6">
        <v>43.5</v>
      </c>
      <c r="Q190" s="6">
        <v>29.5</v>
      </c>
      <c r="R190" s="6">
        <v>11.5</v>
      </c>
      <c r="S190" s="6">
        <v>9</v>
      </c>
      <c r="T190" s="5">
        <v>1.1E-4</v>
      </c>
      <c r="U190" s="1">
        <v>0.12759999999999999</v>
      </c>
      <c r="V190" s="1">
        <v>5.8731</v>
      </c>
    </row>
    <row r="191" spans="1:22" x14ac:dyDescent="0.25">
      <c r="A191" s="1">
        <v>0.98850000000000005</v>
      </c>
      <c r="B191" s="9" t="s">
        <v>2847</v>
      </c>
      <c r="C191" s="2">
        <v>2686</v>
      </c>
      <c r="D191" s="3" t="s">
        <v>807</v>
      </c>
      <c r="E191" s="9" t="s">
        <v>289</v>
      </c>
      <c r="F191" s="9" t="s">
        <v>290</v>
      </c>
      <c r="G191" s="1">
        <v>1831.9757</v>
      </c>
      <c r="H191" s="2">
        <v>321</v>
      </c>
      <c r="I191" s="2">
        <v>3</v>
      </c>
      <c r="J191" s="1">
        <v>1832.2131999999999</v>
      </c>
      <c r="K191" s="1">
        <v>611.66579999999999</v>
      </c>
      <c r="L191" s="9" t="s">
        <v>291</v>
      </c>
      <c r="M191" s="2">
        <v>6.17</v>
      </c>
      <c r="N191" s="4">
        <v>5213.67</v>
      </c>
      <c r="O191" s="1">
        <v>129.42797630121981</v>
      </c>
      <c r="P191" s="6">
        <v>30.5</v>
      </c>
      <c r="Q191" s="6">
        <v>23.1</v>
      </c>
      <c r="R191" s="6">
        <v>10.9</v>
      </c>
      <c r="S191" s="6">
        <v>11.3</v>
      </c>
      <c r="T191" s="5">
        <v>9.4999999999999998E-3</v>
      </c>
      <c r="U191" s="1">
        <v>0.23749999999999999</v>
      </c>
      <c r="V191" s="1">
        <v>3.9859</v>
      </c>
    </row>
    <row r="192" spans="1:22" x14ac:dyDescent="0.25">
      <c r="A192" s="1">
        <v>0.97950000000000004</v>
      </c>
      <c r="B192" s="9" t="s">
        <v>2848</v>
      </c>
      <c r="C192" s="2">
        <v>2694</v>
      </c>
      <c r="D192" s="3" t="s">
        <v>2472</v>
      </c>
      <c r="E192" s="9" t="s">
        <v>2849</v>
      </c>
      <c r="F192" s="9" t="s">
        <v>97</v>
      </c>
      <c r="G192" s="1">
        <v>2497.1587</v>
      </c>
      <c r="H192" s="2">
        <v>816</v>
      </c>
      <c r="I192" s="2">
        <v>3</v>
      </c>
      <c r="J192" s="1">
        <v>2497.5010000000002</v>
      </c>
      <c r="K192" s="1">
        <v>833.39350000000002</v>
      </c>
      <c r="L192" s="9" t="s">
        <v>98</v>
      </c>
      <c r="M192" s="2">
        <v>4.37</v>
      </c>
      <c r="N192" s="4">
        <v>5231.34</v>
      </c>
      <c r="O192" s="1">
        <v>136.91011508969049</v>
      </c>
      <c r="P192" s="6">
        <v>33.799999999999997</v>
      </c>
      <c r="Q192" s="6">
        <v>25.1</v>
      </c>
      <c r="R192" s="6">
        <v>11.9</v>
      </c>
      <c r="S192" s="6">
        <v>9.1999999999999993</v>
      </c>
      <c r="T192" s="5">
        <v>1.6E-2</v>
      </c>
      <c r="U192" s="1">
        <v>0.34229999999999999</v>
      </c>
      <c r="V192" s="1">
        <v>3.0608</v>
      </c>
    </row>
    <row r="193" spans="1:22" x14ac:dyDescent="0.25">
      <c r="A193" s="1">
        <v>0.99709999999999999</v>
      </c>
      <c r="B193" s="9" t="s">
        <v>2850</v>
      </c>
      <c r="C193" s="2">
        <v>2703</v>
      </c>
      <c r="D193" s="2" t="s">
        <v>423</v>
      </c>
      <c r="E193" s="9" t="s">
        <v>2322</v>
      </c>
      <c r="F193" s="9" t="s">
        <v>2323</v>
      </c>
      <c r="G193" s="1">
        <v>1462.7487000000001</v>
      </c>
      <c r="H193" s="2">
        <v>1148</v>
      </c>
      <c r="I193" s="2">
        <v>2</v>
      </c>
      <c r="J193" s="1">
        <v>1462.9009000000001</v>
      </c>
      <c r="K193" s="1">
        <v>732.38160000000005</v>
      </c>
      <c r="L193" s="9" t="s">
        <v>2324</v>
      </c>
      <c r="M193" s="2">
        <v>5.84</v>
      </c>
      <c r="N193" s="4">
        <v>5252.28</v>
      </c>
      <c r="O193" s="1">
        <v>103.90758041982485</v>
      </c>
      <c r="P193" s="6">
        <v>37.299999999999997</v>
      </c>
      <c r="Q193" s="6">
        <v>26.8</v>
      </c>
      <c r="R193" s="6">
        <v>11.5</v>
      </c>
      <c r="S193" s="6">
        <v>9.4</v>
      </c>
      <c r="T193" s="5">
        <v>1.1E-4</v>
      </c>
      <c r="U193" s="1">
        <v>0.1522</v>
      </c>
      <c r="V193" s="1">
        <v>5.6940999999999997</v>
      </c>
    </row>
    <row r="194" spans="1:22" x14ac:dyDescent="0.25">
      <c r="A194" s="1">
        <v>0.99870000000000003</v>
      </c>
      <c r="B194" s="9" t="s">
        <v>2851</v>
      </c>
      <c r="C194" s="2">
        <v>2710</v>
      </c>
      <c r="D194" s="2" t="s">
        <v>479</v>
      </c>
      <c r="E194" s="9" t="s">
        <v>2852</v>
      </c>
      <c r="F194" s="9" t="s">
        <v>391</v>
      </c>
      <c r="G194" s="1">
        <v>1551.7276999999999</v>
      </c>
      <c r="H194" s="2">
        <v>32</v>
      </c>
      <c r="I194" s="2">
        <v>2</v>
      </c>
      <c r="J194" s="1">
        <v>1551.8916999999999</v>
      </c>
      <c r="K194" s="1">
        <v>776.87109999999996</v>
      </c>
      <c r="L194" s="9" t="s">
        <v>364</v>
      </c>
      <c r="M194" s="2">
        <v>4.43</v>
      </c>
      <c r="N194" s="4">
        <v>5273.25</v>
      </c>
      <c r="O194" s="1">
        <v>105.55161596306004</v>
      </c>
      <c r="P194" s="6">
        <v>30.8</v>
      </c>
      <c r="Q194" s="6">
        <v>18.7</v>
      </c>
      <c r="R194" s="6">
        <v>10.8</v>
      </c>
      <c r="S194" s="6">
        <v>8.1999999999999993</v>
      </c>
      <c r="T194" s="5">
        <v>1.8000000000000001E-4</v>
      </c>
      <c r="U194" s="1">
        <v>0.16400000000000001</v>
      </c>
      <c r="V194" s="1">
        <v>5.9696999999999996</v>
      </c>
    </row>
    <row r="195" spans="1:22" x14ac:dyDescent="0.25">
      <c r="A195" s="1">
        <v>0.99419999999999997</v>
      </c>
      <c r="B195" s="9" t="s">
        <v>2853</v>
      </c>
      <c r="C195" s="2">
        <v>2722</v>
      </c>
      <c r="D195" s="2" t="s">
        <v>423</v>
      </c>
      <c r="E195" s="9" t="s">
        <v>2854</v>
      </c>
      <c r="F195" s="9" t="s">
        <v>2392</v>
      </c>
      <c r="G195" s="1">
        <v>1625.8126999999999</v>
      </c>
      <c r="H195" s="2">
        <v>164</v>
      </c>
      <c r="I195" s="2">
        <v>2</v>
      </c>
      <c r="J195" s="1">
        <v>1625.9798000000001</v>
      </c>
      <c r="K195" s="1">
        <v>813.91359999999997</v>
      </c>
      <c r="L195" s="9" t="s">
        <v>2393</v>
      </c>
      <c r="M195" s="2">
        <v>4.68</v>
      </c>
      <c r="N195" s="4">
        <v>5304.69</v>
      </c>
      <c r="O195" s="1">
        <v>102.65217340022332</v>
      </c>
      <c r="P195" s="6">
        <v>34.700000000000003</v>
      </c>
      <c r="Q195" s="6">
        <v>22.6</v>
      </c>
      <c r="R195" s="6">
        <v>11.3</v>
      </c>
      <c r="S195" s="6">
        <v>9.6999999999999993</v>
      </c>
      <c r="T195" s="5">
        <v>1.5E-3</v>
      </c>
      <c r="U195" s="1">
        <v>0.1671</v>
      </c>
      <c r="V195" s="1">
        <v>4.8329000000000004</v>
      </c>
    </row>
    <row r="196" spans="1:22" x14ac:dyDescent="0.25">
      <c r="A196" s="1">
        <v>0.95409999999999995</v>
      </c>
      <c r="B196" s="9" t="s">
        <v>2855</v>
      </c>
      <c r="C196" s="2">
        <v>2732</v>
      </c>
      <c r="D196" s="2" t="s">
        <v>550</v>
      </c>
      <c r="E196" s="9" t="s">
        <v>551</v>
      </c>
      <c r="F196" s="9" t="s">
        <v>552</v>
      </c>
      <c r="G196" s="1">
        <v>1864.8947000000001</v>
      </c>
      <c r="H196" s="2">
        <v>819</v>
      </c>
      <c r="I196" s="2">
        <v>2</v>
      </c>
      <c r="J196" s="1">
        <v>1865.1391000000001</v>
      </c>
      <c r="K196" s="1">
        <v>933.45460000000003</v>
      </c>
      <c r="L196" s="9" t="s">
        <v>456</v>
      </c>
      <c r="M196" s="2">
        <v>4.37</v>
      </c>
      <c r="N196" s="4">
        <v>5325.64</v>
      </c>
      <c r="O196" s="1">
        <v>130.9115622763014</v>
      </c>
      <c r="P196" s="6">
        <v>35.4</v>
      </c>
      <c r="Q196" s="6">
        <v>27.7</v>
      </c>
      <c r="R196" s="6">
        <v>12.1</v>
      </c>
      <c r="S196" s="6">
        <v>13.1</v>
      </c>
      <c r="T196" s="5">
        <v>9.4000000000000004E-3</v>
      </c>
      <c r="U196" s="1">
        <v>0.24440000000000001</v>
      </c>
      <c r="V196" s="1">
        <v>3.1368999999999998</v>
      </c>
    </row>
    <row r="197" spans="1:22" x14ac:dyDescent="0.25">
      <c r="A197" s="1">
        <v>0.99790000000000001</v>
      </c>
      <c r="B197" s="9" t="s">
        <v>2856</v>
      </c>
      <c r="C197" s="2">
        <v>2734</v>
      </c>
      <c r="D197" s="2" t="s">
        <v>361</v>
      </c>
      <c r="E197" s="9" t="s">
        <v>546</v>
      </c>
      <c r="F197" s="9" t="s">
        <v>547</v>
      </c>
      <c r="G197" s="1">
        <v>1349.6537000000001</v>
      </c>
      <c r="H197" s="2">
        <v>34</v>
      </c>
      <c r="I197" s="2">
        <v>2</v>
      </c>
      <c r="J197" s="1">
        <v>1349.7637</v>
      </c>
      <c r="K197" s="1">
        <v>675.83410000000003</v>
      </c>
      <c r="L197" s="9" t="s">
        <v>548</v>
      </c>
      <c r="M197" s="2">
        <v>4.32</v>
      </c>
      <c r="N197" s="4">
        <v>5336.1</v>
      </c>
      <c r="O197" s="1">
        <v>81.38091877873579</v>
      </c>
      <c r="P197" s="6">
        <v>31.5</v>
      </c>
      <c r="Q197" s="6">
        <v>20.7</v>
      </c>
      <c r="R197" s="6">
        <v>11.5</v>
      </c>
      <c r="S197" s="6">
        <v>9.1999999999999993</v>
      </c>
      <c r="T197" s="5">
        <v>6.0999999999999997E-4</v>
      </c>
      <c r="U197" s="1">
        <v>0.11</v>
      </c>
      <c r="V197" s="1">
        <v>5.4024999999999999</v>
      </c>
    </row>
    <row r="198" spans="1:22" x14ac:dyDescent="0.25">
      <c r="A198" s="1">
        <v>0.99750000000000005</v>
      </c>
      <c r="B198" s="9" t="s">
        <v>2857</v>
      </c>
      <c r="C198" s="2">
        <v>2735</v>
      </c>
      <c r="D198" s="2" t="s">
        <v>280</v>
      </c>
      <c r="E198" s="9" t="s">
        <v>2858</v>
      </c>
      <c r="F198" s="9" t="s">
        <v>2859</v>
      </c>
      <c r="G198" s="1">
        <v>1582.8426999999999</v>
      </c>
      <c r="H198" s="2">
        <v>629</v>
      </c>
      <c r="I198" s="2">
        <v>2</v>
      </c>
      <c r="J198" s="1">
        <v>1582.9658999999999</v>
      </c>
      <c r="K198" s="1">
        <v>792.42859999999996</v>
      </c>
      <c r="L198" s="9" t="s">
        <v>2860</v>
      </c>
      <c r="M198" s="2">
        <v>5.51</v>
      </c>
      <c r="N198" s="4">
        <v>5342.46</v>
      </c>
      <c r="O198" s="1">
        <v>77.735710195215063</v>
      </c>
      <c r="P198" s="6">
        <v>42.9</v>
      </c>
      <c r="Q198" s="6">
        <v>23.8</v>
      </c>
      <c r="R198" s="6">
        <v>11.1</v>
      </c>
      <c r="S198" s="6">
        <v>11.2</v>
      </c>
      <c r="T198" s="5">
        <v>8.0000000000000007E-5</v>
      </c>
      <c r="U198" s="1">
        <v>0.1232</v>
      </c>
      <c r="V198" s="1">
        <v>6.5618999999999996</v>
      </c>
    </row>
    <row r="199" spans="1:22" x14ac:dyDescent="0.25">
      <c r="A199" s="1">
        <v>0.98560000000000003</v>
      </c>
      <c r="B199" s="9" t="s">
        <v>2861</v>
      </c>
      <c r="C199" s="2">
        <v>2736</v>
      </c>
      <c r="D199" s="2" t="s">
        <v>95</v>
      </c>
      <c r="E199" s="9" t="s">
        <v>2385</v>
      </c>
      <c r="F199" s="9" t="s">
        <v>930</v>
      </c>
      <c r="G199" s="1">
        <v>1310.7266999999999</v>
      </c>
      <c r="H199" s="2">
        <v>630</v>
      </c>
      <c r="I199" s="2">
        <v>2</v>
      </c>
      <c r="J199" s="1">
        <v>1310.8267000000001</v>
      </c>
      <c r="K199" s="1">
        <v>656.37059999999997</v>
      </c>
      <c r="L199" s="9" t="s">
        <v>931</v>
      </c>
      <c r="M199" s="2">
        <v>6.09</v>
      </c>
      <c r="N199" s="4">
        <v>5345.54</v>
      </c>
      <c r="O199" s="1">
        <v>76.176477130450394</v>
      </c>
      <c r="P199" s="6">
        <v>33.200000000000003</v>
      </c>
      <c r="Q199" s="6">
        <v>21.9</v>
      </c>
      <c r="R199" s="6">
        <v>13.4</v>
      </c>
      <c r="S199" s="6">
        <v>9.5</v>
      </c>
      <c r="T199" s="5">
        <v>5.7999999999999996E-3</v>
      </c>
      <c r="U199" s="1">
        <v>0.1</v>
      </c>
      <c r="V199" s="1">
        <v>4.5263999999999998</v>
      </c>
    </row>
    <row r="200" spans="1:22" x14ac:dyDescent="0.25">
      <c r="A200" s="1">
        <v>0.95620000000000005</v>
      </c>
      <c r="B200" s="9" t="s">
        <v>2862</v>
      </c>
      <c r="C200" s="2">
        <v>2739</v>
      </c>
      <c r="D200" s="2" t="s">
        <v>792</v>
      </c>
      <c r="E200" s="9" t="s">
        <v>2863</v>
      </c>
      <c r="F200" s="9" t="s">
        <v>97</v>
      </c>
      <c r="G200" s="1">
        <v>2369.0997000000002</v>
      </c>
      <c r="H200" s="2">
        <v>367</v>
      </c>
      <c r="I200" s="2">
        <v>2</v>
      </c>
      <c r="J200" s="1">
        <v>2369.9295999999999</v>
      </c>
      <c r="K200" s="1">
        <v>1185.5571</v>
      </c>
      <c r="L200" s="9" t="s">
        <v>98</v>
      </c>
      <c r="M200" s="2">
        <v>4.75</v>
      </c>
      <c r="N200" s="4">
        <v>5346.56</v>
      </c>
      <c r="O200" s="1">
        <v>-73.153372368146591</v>
      </c>
      <c r="P200" s="6">
        <v>33.799999999999997</v>
      </c>
      <c r="Q200" s="6">
        <v>19.5</v>
      </c>
      <c r="R200" s="6">
        <v>11.9</v>
      </c>
      <c r="S200" s="6">
        <v>9.1999999999999993</v>
      </c>
      <c r="T200" s="5">
        <v>8.6000000000000003E-5</v>
      </c>
      <c r="U200" s="1">
        <v>0.82989999999999997</v>
      </c>
      <c r="V200" s="1">
        <v>5.1456</v>
      </c>
    </row>
    <row r="201" spans="1:22" x14ac:dyDescent="0.25">
      <c r="A201" s="1">
        <v>0.95789999999999997</v>
      </c>
      <c r="B201" s="9" t="s">
        <v>2864</v>
      </c>
      <c r="C201" s="2">
        <v>2740</v>
      </c>
      <c r="D201" s="2" t="s">
        <v>891</v>
      </c>
      <c r="E201" s="9" t="s">
        <v>2865</v>
      </c>
      <c r="F201" s="9" t="s">
        <v>203</v>
      </c>
      <c r="G201" s="1">
        <v>1070.6406999999999</v>
      </c>
      <c r="H201" s="2">
        <v>631</v>
      </c>
      <c r="I201" s="2">
        <v>2</v>
      </c>
      <c r="J201" s="1">
        <v>1070.7144000000001</v>
      </c>
      <c r="K201" s="1">
        <v>536.32759999999996</v>
      </c>
      <c r="L201" s="9" t="s">
        <v>204</v>
      </c>
      <c r="M201" s="2">
        <v>8.56</v>
      </c>
      <c r="N201" s="4">
        <v>5355.99</v>
      </c>
      <c r="O201" s="1">
        <v>68.708006076882867</v>
      </c>
      <c r="P201" s="6">
        <v>37.200000000000003</v>
      </c>
      <c r="Q201" s="6">
        <v>30.4</v>
      </c>
      <c r="R201" s="6">
        <v>10.9</v>
      </c>
      <c r="S201" s="6">
        <v>13.4</v>
      </c>
      <c r="T201" s="5">
        <v>0.02</v>
      </c>
      <c r="U201" s="1">
        <v>7.3700000000000002E-2</v>
      </c>
      <c r="V201" s="1">
        <v>3.6469999999999998</v>
      </c>
    </row>
    <row r="202" spans="1:22" x14ac:dyDescent="0.25">
      <c r="A202" s="1">
        <v>0.99829999999999997</v>
      </c>
      <c r="B202" s="9" t="s">
        <v>2866</v>
      </c>
      <c r="C202" s="2">
        <v>2754</v>
      </c>
      <c r="D202" s="2" t="s">
        <v>2867</v>
      </c>
      <c r="E202" s="9" t="s">
        <v>289</v>
      </c>
      <c r="F202" s="9" t="s">
        <v>290</v>
      </c>
      <c r="G202" s="1">
        <v>1831.9757</v>
      </c>
      <c r="H202" s="2">
        <v>35</v>
      </c>
      <c r="I202" s="2">
        <v>3</v>
      </c>
      <c r="J202" s="1">
        <v>1832.2347</v>
      </c>
      <c r="K202" s="1">
        <v>611.66579999999999</v>
      </c>
      <c r="L202" s="9" t="s">
        <v>291</v>
      </c>
      <c r="M202" s="2">
        <v>6.17</v>
      </c>
      <c r="N202" s="4">
        <v>5388.46</v>
      </c>
      <c r="O202" s="1">
        <v>141.14461415585657</v>
      </c>
      <c r="P202" s="6">
        <v>25.9</v>
      </c>
      <c r="Q202" s="6">
        <v>19.399999999999999</v>
      </c>
      <c r="R202" s="6">
        <v>10.8</v>
      </c>
      <c r="S202" s="6">
        <v>10.9</v>
      </c>
      <c r="T202" s="5">
        <v>3.6999999999999998E-2</v>
      </c>
      <c r="U202" s="1">
        <v>0.25900000000000001</v>
      </c>
      <c r="V202" s="1">
        <v>3.3037000000000001</v>
      </c>
    </row>
    <row r="203" spans="1:22" x14ac:dyDescent="0.25">
      <c r="A203" s="1">
        <v>0.95279999999999998</v>
      </c>
      <c r="B203" s="9" t="s">
        <v>2868</v>
      </c>
      <c r="C203" s="2">
        <v>2758</v>
      </c>
      <c r="D203" s="2" t="s">
        <v>1681</v>
      </c>
      <c r="E203" s="9" t="s">
        <v>2364</v>
      </c>
      <c r="F203" s="9" t="s">
        <v>282</v>
      </c>
      <c r="G203" s="1">
        <v>2001.9827</v>
      </c>
      <c r="H203" s="2">
        <v>1149</v>
      </c>
      <c r="I203" s="2">
        <v>2</v>
      </c>
      <c r="J203" s="1">
        <v>2002.2448999999999</v>
      </c>
      <c r="K203" s="1">
        <v>1001.9986</v>
      </c>
      <c r="L203" s="9" t="s">
        <v>283</v>
      </c>
      <c r="M203" s="2">
        <v>4.75</v>
      </c>
      <c r="N203" s="4">
        <v>5398.96</v>
      </c>
      <c r="O203" s="1">
        <v>130.83850616158546</v>
      </c>
      <c r="P203" s="6">
        <v>30.5</v>
      </c>
      <c r="Q203" s="6">
        <v>23.8</v>
      </c>
      <c r="R203" s="6">
        <v>12.5</v>
      </c>
      <c r="S203" s="6">
        <v>12.8</v>
      </c>
      <c r="T203" s="5">
        <v>8.3999999999999995E-3</v>
      </c>
      <c r="U203" s="1">
        <v>0.26219999999999999</v>
      </c>
      <c r="V203" s="1">
        <v>3.0308999999999999</v>
      </c>
    </row>
    <row r="204" spans="1:22" x14ac:dyDescent="0.25">
      <c r="A204" s="1">
        <v>0.96399999999999997</v>
      </c>
      <c r="B204" s="9" t="s">
        <v>2869</v>
      </c>
      <c r="C204" s="2">
        <v>2760</v>
      </c>
      <c r="D204" s="2" t="s">
        <v>331</v>
      </c>
      <c r="E204" s="9" t="s">
        <v>546</v>
      </c>
      <c r="F204" s="9" t="s">
        <v>547</v>
      </c>
      <c r="G204" s="1">
        <v>1349.6537000000001</v>
      </c>
      <c r="H204" s="2">
        <v>167</v>
      </c>
      <c r="I204" s="2">
        <v>2</v>
      </c>
      <c r="J204" s="1">
        <v>1349.7501999999999</v>
      </c>
      <c r="K204" s="1">
        <v>675.83410000000003</v>
      </c>
      <c r="L204" s="9" t="s">
        <v>548</v>
      </c>
      <c r="M204" s="2">
        <v>4.32</v>
      </c>
      <c r="N204" s="4">
        <v>5398.96</v>
      </c>
      <c r="O204" s="1">
        <v>71.393260564981844</v>
      </c>
      <c r="P204" s="6">
        <v>39.9</v>
      </c>
      <c r="Q204" s="6">
        <v>34.799999999999997</v>
      </c>
      <c r="R204" s="6">
        <v>11.9</v>
      </c>
      <c r="S204" s="6">
        <v>8.9</v>
      </c>
      <c r="T204" s="5">
        <v>4.8999999999999998E-3</v>
      </c>
      <c r="U204" s="1">
        <v>9.6500000000000002E-2</v>
      </c>
      <c r="V204" s="1">
        <v>3.4468999999999999</v>
      </c>
    </row>
    <row r="205" spans="1:22" x14ac:dyDescent="0.25">
      <c r="A205" s="1">
        <v>0.96909999999999996</v>
      </c>
      <c r="B205" s="9" t="s">
        <v>2870</v>
      </c>
      <c r="C205" s="2">
        <v>2762</v>
      </c>
      <c r="D205" s="2" t="s">
        <v>1661</v>
      </c>
      <c r="E205" s="9" t="s">
        <v>2364</v>
      </c>
      <c r="F205" s="9" t="s">
        <v>282</v>
      </c>
      <c r="G205" s="1">
        <v>2001.9827</v>
      </c>
      <c r="H205" s="2">
        <v>822</v>
      </c>
      <c r="I205" s="2">
        <v>2</v>
      </c>
      <c r="J205" s="1">
        <v>2001.8126</v>
      </c>
      <c r="K205" s="1">
        <v>1001.9986</v>
      </c>
      <c r="L205" s="9" t="s">
        <v>283</v>
      </c>
      <c r="M205" s="2">
        <v>4.75</v>
      </c>
      <c r="N205" s="4">
        <v>5409.43</v>
      </c>
      <c r="O205" s="1">
        <v>-84.880358116268837</v>
      </c>
      <c r="P205" s="6">
        <v>33.799999999999997</v>
      </c>
      <c r="Q205" s="6">
        <v>23.7</v>
      </c>
      <c r="R205" s="6">
        <v>11.5</v>
      </c>
      <c r="S205" s="6">
        <v>12.8</v>
      </c>
      <c r="T205" s="5">
        <v>6.7000000000000002E-3</v>
      </c>
      <c r="U205" s="1">
        <v>-0.1701</v>
      </c>
      <c r="V205" s="1">
        <v>3.4146999999999998</v>
      </c>
    </row>
    <row r="206" spans="1:22" x14ac:dyDescent="0.25">
      <c r="A206" s="1">
        <v>0.998</v>
      </c>
      <c r="B206" s="9" t="s">
        <v>2871</v>
      </c>
      <c r="C206" s="2">
        <v>2766</v>
      </c>
      <c r="D206" s="2" t="s">
        <v>302</v>
      </c>
      <c r="E206" s="9" t="s">
        <v>584</v>
      </c>
      <c r="F206" s="9" t="s">
        <v>585</v>
      </c>
      <c r="G206" s="1">
        <v>1305.5736999999999</v>
      </c>
      <c r="H206" s="2">
        <v>281</v>
      </c>
      <c r="I206" s="2">
        <v>2</v>
      </c>
      <c r="J206" s="1">
        <v>1305.6813999999999</v>
      </c>
      <c r="K206" s="1">
        <v>653.79409999999996</v>
      </c>
      <c r="L206" s="9" t="s">
        <v>86</v>
      </c>
      <c r="M206" s="2">
        <v>4.71</v>
      </c>
      <c r="N206" s="4">
        <v>5423.19</v>
      </c>
      <c r="O206" s="1">
        <v>82.365380782726561</v>
      </c>
      <c r="P206" s="6">
        <v>35.700000000000003</v>
      </c>
      <c r="Q206" s="6">
        <v>22.4</v>
      </c>
      <c r="R206" s="6">
        <v>11.6</v>
      </c>
      <c r="S206" s="6">
        <v>10.199999999999999</v>
      </c>
      <c r="T206" s="5">
        <v>3.8000000000000002E-4</v>
      </c>
      <c r="U206" s="1">
        <v>0.1077</v>
      </c>
      <c r="V206" s="1">
        <v>5.9965000000000002</v>
      </c>
    </row>
    <row r="207" spans="1:22" x14ac:dyDescent="0.25">
      <c r="A207" s="1">
        <v>0.98699999999999999</v>
      </c>
      <c r="B207" s="9" t="s">
        <v>2872</v>
      </c>
      <c r="C207" s="2">
        <v>2779</v>
      </c>
      <c r="D207" s="2" t="s">
        <v>630</v>
      </c>
      <c r="E207" s="9" t="s">
        <v>2873</v>
      </c>
      <c r="F207" s="9" t="s">
        <v>2874</v>
      </c>
      <c r="G207" s="1">
        <v>1725.8126999999999</v>
      </c>
      <c r="H207" s="2">
        <v>169</v>
      </c>
      <c r="I207" s="2">
        <v>2</v>
      </c>
      <c r="J207" s="1">
        <v>1726.0065</v>
      </c>
      <c r="K207" s="1">
        <v>863.91359999999997</v>
      </c>
      <c r="L207" s="9" t="s">
        <v>440</v>
      </c>
      <c r="M207" s="2">
        <v>4.32</v>
      </c>
      <c r="N207" s="4">
        <v>5451.37</v>
      </c>
      <c r="O207" s="1">
        <v>112.16399417719551</v>
      </c>
      <c r="P207" s="6">
        <v>38.299999999999997</v>
      </c>
      <c r="Q207" s="6">
        <v>24.1</v>
      </c>
      <c r="R207" s="6">
        <v>11.9</v>
      </c>
      <c r="S207" s="6">
        <v>8.1</v>
      </c>
      <c r="T207" s="5">
        <v>4.3E-3</v>
      </c>
      <c r="U207" s="1">
        <v>0.1938</v>
      </c>
      <c r="V207" s="1">
        <v>4.1828000000000003</v>
      </c>
    </row>
    <row r="208" spans="1:22" x14ac:dyDescent="0.25">
      <c r="A208" s="1">
        <v>0.98839999999999995</v>
      </c>
      <c r="B208" s="9" t="s">
        <v>2875</v>
      </c>
      <c r="C208" s="2">
        <v>2782</v>
      </c>
      <c r="D208" s="2" t="s">
        <v>451</v>
      </c>
      <c r="E208" s="9" t="s">
        <v>2876</v>
      </c>
      <c r="F208" s="9" t="s">
        <v>944</v>
      </c>
      <c r="G208" s="1">
        <v>1601.8126999999999</v>
      </c>
      <c r="H208" s="2">
        <v>979</v>
      </c>
      <c r="I208" s="2">
        <v>2</v>
      </c>
      <c r="J208" s="1">
        <v>1601.9808</v>
      </c>
      <c r="K208" s="1">
        <v>801.91359999999997</v>
      </c>
      <c r="L208" s="9" t="s">
        <v>945</v>
      </c>
      <c r="M208" s="2">
        <v>4.75</v>
      </c>
      <c r="N208" s="4">
        <v>5465.14</v>
      </c>
      <c r="O208" s="1">
        <v>104.81179019784676</v>
      </c>
      <c r="P208" s="6">
        <v>38.200000000000003</v>
      </c>
      <c r="Q208" s="6">
        <v>28.1</v>
      </c>
      <c r="R208" s="6">
        <v>12.4</v>
      </c>
      <c r="S208" s="6">
        <v>9.9</v>
      </c>
      <c r="T208" s="5">
        <v>1.8E-3</v>
      </c>
      <c r="U208" s="1">
        <v>0.1681</v>
      </c>
      <c r="V208" s="1">
        <v>4.2331000000000003</v>
      </c>
    </row>
    <row r="209" spans="1:22" x14ac:dyDescent="0.25">
      <c r="A209" s="1">
        <v>0.99819999999999998</v>
      </c>
      <c r="B209" s="9" t="s">
        <v>2877</v>
      </c>
      <c r="C209" s="2">
        <v>2790</v>
      </c>
      <c r="D209" s="2" t="s">
        <v>2878</v>
      </c>
      <c r="E209" s="9" t="s">
        <v>1552</v>
      </c>
      <c r="F209" s="9" t="s">
        <v>672</v>
      </c>
      <c r="G209" s="1">
        <v>2243.1257000000001</v>
      </c>
      <c r="H209" s="2">
        <v>37</v>
      </c>
      <c r="I209" s="2">
        <v>2</v>
      </c>
      <c r="J209" s="1">
        <v>2243.3040999999998</v>
      </c>
      <c r="K209" s="1">
        <v>1122.5700999999999</v>
      </c>
      <c r="L209" s="9" t="s">
        <v>673</v>
      </c>
      <c r="M209" s="2">
        <v>4.54</v>
      </c>
      <c r="N209" s="4">
        <v>5482.82</v>
      </c>
      <c r="O209" s="1">
        <v>79.460516541461431</v>
      </c>
      <c r="P209" s="6">
        <v>36.299999999999997</v>
      </c>
      <c r="Q209" s="6">
        <v>22.8</v>
      </c>
      <c r="R209" s="6">
        <v>12.5</v>
      </c>
      <c r="S209" s="6">
        <v>9.9</v>
      </c>
      <c r="T209" s="5">
        <v>2.1999999999999999E-5</v>
      </c>
      <c r="U209" s="1">
        <v>0.1784</v>
      </c>
      <c r="V209" s="1">
        <v>5.5674999999999999</v>
      </c>
    </row>
    <row r="210" spans="1:22" x14ac:dyDescent="0.25">
      <c r="A210" s="1">
        <v>0.9829</v>
      </c>
      <c r="B210" s="9" t="s">
        <v>2879</v>
      </c>
      <c r="C210" s="2">
        <v>2812</v>
      </c>
      <c r="D210" s="2" t="s">
        <v>302</v>
      </c>
      <c r="E210" s="9" t="s">
        <v>2880</v>
      </c>
      <c r="F210" s="9" t="s">
        <v>1014</v>
      </c>
      <c r="G210" s="1">
        <v>1422.6126999999999</v>
      </c>
      <c r="H210" s="2">
        <v>827</v>
      </c>
      <c r="I210" s="2">
        <v>2</v>
      </c>
      <c r="J210" s="1">
        <v>1422.7322999999999</v>
      </c>
      <c r="K210" s="1">
        <v>712.31359999999995</v>
      </c>
      <c r="L210" s="9" t="s">
        <v>1015</v>
      </c>
      <c r="M210" s="2">
        <v>4.12</v>
      </c>
      <c r="N210" s="4">
        <v>5535.18</v>
      </c>
      <c r="O210" s="1">
        <v>83.951787527291359</v>
      </c>
      <c r="P210" s="6">
        <v>36</v>
      </c>
      <c r="Q210" s="6">
        <v>27.8</v>
      </c>
      <c r="R210" s="6">
        <v>11.7</v>
      </c>
      <c r="S210" s="6">
        <v>10.9</v>
      </c>
      <c r="T210" s="5">
        <v>7.6E-3</v>
      </c>
      <c r="U210" s="1">
        <v>0.1196</v>
      </c>
      <c r="V210" s="1">
        <v>3.8529</v>
      </c>
    </row>
    <row r="211" spans="1:22" x14ac:dyDescent="0.25">
      <c r="A211" s="1">
        <v>0.99880000000000002</v>
      </c>
      <c r="B211" s="9" t="s">
        <v>2881</v>
      </c>
      <c r="C211" s="2">
        <v>2814</v>
      </c>
      <c r="D211" s="2" t="s">
        <v>1656</v>
      </c>
      <c r="E211" s="9" t="s">
        <v>1552</v>
      </c>
      <c r="F211" s="9" t="s">
        <v>672</v>
      </c>
      <c r="G211" s="1">
        <v>2243.1257000000001</v>
      </c>
      <c r="H211" s="2">
        <v>38</v>
      </c>
      <c r="I211" s="2">
        <v>2</v>
      </c>
      <c r="J211" s="1">
        <v>2243.3789000000002</v>
      </c>
      <c r="K211" s="1">
        <v>1122.5700999999999</v>
      </c>
      <c r="L211" s="9" t="s">
        <v>673</v>
      </c>
      <c r="M211" s="2">
        <v>4.54</v>
      </c>
      <c r="N211" s="4">
        <v>5545.66</v>
      </c>
      <c r="O211" s="1">
        <v>112.77692145906968</v>
      </c>
      <c r="P211" s="6">
        <v>38.200000000000003</v>
      </c>
      <c r="Q211" s="6">
        <v>22.4</v>
      </c>
      <c r="R211" s="6">
        <v>12.4</v>
      </c>
      <c r="S211" s="6">
        <v>10.3</v>
      </c>
      <c r="T211" s="5">
        <v>8.1000000000000004E-6</v>
      </c>
      <c r="U211" s="1">
        <v>0.25319999999999998</v>
      </c>
      <c r="V211" s="1">
        <v>6.0742000000000003</v>
      </c>
    </row>
    <row r="212" spans="1:22" x14ac:dyDescent="0.25">
      <c r="A212" s="1">
        <v>0.96130000000000004</v>
      </c>
      <c r="B212" s="9" t="s">
        <v>2882</v>
      </c>
      <c r="C212" s="2">
        <v>2822</v>
      </c>
      <c r="D212" s="2" t="s">
        <v>2883</v>
      </c>
      <c r="E212" s="9" t="s">
        <v>1552</v>
      </c>
      <c r="F212" s="9" t="s">
        <v>672</v>
      </c>
      <c r="G212" s="1">
        <v>2243.1257000000001</v>
      </c>
      <c r="H212" s="2">
        <v>324</v>
      </c>
      <c r="I212" s="2">
        <v>3</v>
      </c>
      <c r="J212" s="1">
        <v>2243.0895</v>
      </c>
      <c r="K212" s="1">
        <v>748.71579999999994</v>
      </c>
      <c r="L212" s="9" t="s">
        <v>673</v>
      </c>
      <c r="M212" s="2">
        <v>4.54</v>
      </c>
      <c r="N212" s="4">
        <v>5569.92</v>
      </c>
      <c r="O212" s="1">
        <v>-16.116484608267474</v>
      </c>
      <c r="P212" s="6">
        <v>29.1</v>
      </c>
      <c r="Q212" s="6">
        <v>21.4</v>
      </c>
      <c r="R212" s="6">
        <v>11.3</v>
      </c>
      <c r="S212" s="6">
        <v>9.9</v>
      </c>
      <c r="T212" s="5">
        <v>1.4999999999999999E-2</v>
      </c>
      <c r="U212" s="1">
        <v>-3.6200000000000003E-2</v>
      </c>
      <c r="V212" s="1">
        <v>3.2614999999999998</v>
      </c>
    </row>
    <row r="213" spans="1:22" x14ac:dyDescent="0.25">
      <c r="A213" s="1">
        <v>0.97340000000000004</v>
      </c>
      <c r="B213" s="9" t="s">
        <v>2884</v>
      </c>
      <c r="C213" s="2">
        <v>2830</v>
      </c>
      <c r="D213" s="2" t="s">
        <v>2885</v>
      </c>
      <c r="E213" s="9" t="s">
        <v>2886</v>
      </c>
      <c r="F213" s="9" t="s">
        <v>860</v>
      </c>
      <c r="G213" s="1">
        <v>2128.0987</v>
      </c>
      <c r="H213" s="2">
        <v>1154</v>
      </c>
      <c r="I213" s="2">
        <v>2</v>
      </c>
      <c r="J213" s="1">
        <v>2128.3683000000001</v>
      </c>
      <c r="K213" s="1">
        <v>1065.0565999999999</v>
      </c>
      <c r="L213" s="9" t="s">
        <v>673</v>
      </c>
      <c r="M213" s="2">
        <v>5.84</v>
      </c>
      <c r="N213" s="4">
        <v>5587.58</v>
      </c>
      <c r="O213" s="1">
        <v>126.56604353233436</v>
      </c>
      <c r="P213" s="6">
        <v>34.700000000000003</v>
      </c>
      <c r="Q213" s="6">
        <v>25.7</v>
      </c>
      <c r="R213" s="6">
        <v>12.5</v>
      </c>
      <c r="S213" s="6">
        <v>0</v>
      </c>
      <c r="T213" s="5">
        <v>3.2000000000000002E-3</v>
      </c>
      <c r="U213" s="1">
        <v>0.26960000000000001</v>
      </c>
      <c r="V213" s="1">
        <v>3.4607000000000001</v>
      </c>
    </row>
    <row r="214" spans="1:22" x14ac:dyDescent="0.25">
      <c r="A214" s="1">
        <v>0.97409999999999997</v>
      </c>
      <c r="B214" s="9" t="s">
        <v>2887</v>
      </c>
      <c r="C214" s="2">
        <v>2843</v>
      </c>
      <c r="D214" s="2" t="s">
        <v>2273</v>
      </c>
      <c r="E214" s="9" t="s">
        <v>2888</v>
      </c>
      <c r="F214" s="9" t="s">
        <v>2889</v>
      </c>
      <c r="G214" s="1">
        <v>1211.6257000000001</v>
      </c>
      <c r="H214" s="2">
        <v>370</v>
      </c>
      <c r="I214" s="2">
        <v>2</v>
      </c>
      <c r="J214" s="1">
        <v>1211.7306000000001</v>
      </c>
      <c r="K214" s="1">
        <v>606.82010000000002</v>
      </c>
      <c r="L214" s="9" t="s">
        <v>2890</v>
      </c>
      <c r="M214" s="2">
        <v>6.22</v>
      </c>
      <c r="N214" s="4">
        <v>5619</v>
      </c>
      <c r="O214" s="1">
        <v>86.434183706175844</v>
      </c>
      <c r="P214" s="6">
        <v>22.9</v>
      </c>
      <c r="Q214" s="6">
        <v>16.399999999999999</v>
      </c>
      <c r="R214" s="6">
        <v>9.9</v>
      </c>
      <c r="S214" s="6">
        <v>7.4</v>
      </c>
      <c r="T214" s="5">
        <v>1.9E-2</v>
      </c>
      <c r="U214" s="1">
        <v>0.10489999999999999</v>
      </c>
      <c r="V214" s="1">
        <v>4.0275999999999996</v>
      </c>
    </row>
    <row r="215" spans="1:22" x14ac:dyDescent="0.25">
      <c r="A215" s="1">
        <v>0.99809999999999999</v>
      </c>
      <c r="B215" s="9" t="s">
        <v>2891</v>
      </c>
      <c r="C215" s="2">
        <v>2847</v>
      </c>
      <c r="D215" s="2" t="s">
        <v>2878</v>
      </c>
      <c r="E215" s="9" t="s">
        <v>1552</v>
      </c>
      <c r="F215" s="9" t="s">
        <v>672</v>
      </c>
      <c r="G215" s="1">
        <v>2243.1257000000001</v>
      </c>
      <c r="H215" s="2">
        <v>40</v>
      </c>
      <c r="I215" s="2">
        <v>2</v>
      </c>
      <c r="J215" s="1">
        <v>2243.4762999999998</v>
      </c>
      <c r="K215" s="1">
        <v>1122.5700999999999</v>
      </c>
      <c r="L215" s="9" t="s">
        <v>673</v>
      </c>
      <c r="M215" s="2">
        <v>4.54</v>
      </c>
      <c r="N215" s="4">
        <v>5629.46</v>
      </c>
      <c r="O215" s="1">
        <v>156.15951288921735</v>
      </c>
      <c r="P215" s="6">
        <v>36.6</v>
      </c>
      <c r="Q215" s="6">
        <v>21.5</v>
      </c>
      <c r="R215" s="6">
        <v>12.7</v>
      </c>
      <c r="S215" s="6">
        <v>10.3</v>
      </c>
      <c r="T215" s="5">
        <v>3.4999999999999997E-5</v>
      </c>
      <c r="U215" s="1">
        <v>0.35060000000000002</v>
      </c>
      <c r="V215" s="1">
        <v>5.5468000000000002</v>
      </c>
    </row>
    <row r="216" spans="1:22" x14ac:dyDescent="0.25">
      <c r="A216" s="1">
        <v>0.99670000000000003</v>
      </c>
      <c r="B216" s="9" t="s">
        <v>2892</v>
      </c>
      <c r="C216" s="2">
        <v>2854</v>
      </c>
      <c r="D216" s="2" t="s">
        <v>311</v>
      </c>
      <c r="E216" s="9" t="s">
        <v>2893</v>
      </c>
      <c r="F216" s="9" t="s">
        <v>2894</v>
      </c>
      <c r="G216" s="1">
        <v>1502.8526999999999</v>
      </c>
      <c r="H216" s="2">
        <v>983</v>
      </c>
      <c r="I216" s="2">
        <v>2</v>
      </c>
      <c r="J216" s="1">
        <v>1502.9784</v>
      </c>
      <c r="K216" s="1">
        <v>752.43359999999996</v>
      </c>
      <c r="L216" s="9" t="s">
        <v>2895</v>
      </c>
      <c r="M216" s="2">
        <v>6.74</v>
      </c>
      <c r="N216" s="4">
        <v>5653.66</v>
      </c>
      <c r="O216" s="1">
        <v>83.528965213674681</v>
      </c>
      <c r="P216" s="6">
        <v>37.4</v>
      </c>
      <c r="Q216" s="6">
        <v>26</v>
      </c>
      <c r="R216" s="6">
        <v>12</v>
      </c>
      <c r="S216" s="6">
        <v>12.5</v>
      </c>
      <c r="T216" s="5">
        <v>4.8999999999999998E-4</v>
      </c>
      <c r="U216" s="1">
        <v>0.12570000000000001</v>
      </c>
      <c r="V216" s="1">
        <v>5.3278999999999996</v>
      </c>
    </row>
    <row r="217" spans="1:22" x14ac:dyDescent="0.25">
      <c r="A217" s="1">
        <v>0.99919999999999998</v>
      </c>
      <c r="B217" s="9" t="s">
        <v>2896</v>
      </c>
      <c r="C217" s="2">
        <v>2878</v>
      </c>
      <c r="D217" s="2" t="s">
        <v>630</v>
      </c>
      <c r="E217" s="9" t="s">
        <v>2403</v>
      </c>
      <c r="F217" s="9" t="s">
        <v>944</v>
      </c>
      <c r="G217" s="1">
        <v>1700.8806999999999</v>
      </c>
      <c r="H217" s="2">
        <v>42</v>
      </c>
      <c r="I217" s="2">
        <v>2</v>
      </c>
      <c r="J217" s="1">
        <v>1701.0525</v>
      </c>
      <c r="K217" s="1">
        <v>851.44759999999997</v>
      </c>
      <c r="L217" s="9" t="s">
        <v>945</v>
      </c>
      <c r="M217" s="2">
        <v>4.75</v>
      </c>
      <c r="N217" s="4">
        <v>5713.19</v>
      </c>
      <c r="O217" s="1">
        <v>100.88700702192361</v>
      </c>
      <c r="P217" s="6">
        <v>42.2</v>
      </c>
      <c r="Q217" s="6">
        <v>22.9</v>
      </c>
      <c r="R217" s="6">
        <v>12.6</v>
      </c>
      <c r="S217" s="6">
        <v>9.4</v>
      </c>
      <c r="T217" s="5">
        <v>2.1999999999999999E-5</v>
      </c>
      <c r="U217" s="1">
        <v>0.17180000000000001</v>
      </c>
      <c r="V217" s="1">
        <v>6.7199</v>
      </c>
    </row>
    <row r="218" spans="1:22" x14ac:dyDescent="0.25">
      <c r="A218" s="1">
        <v>0.98960000000000004</v>
      </c>
      <c r="B218" s="9" t="s">
        <v>2897</v>
      </c>
      <c r="C218" s="2">
        <v>2882</v>
      </c>
      <c r="D218" s="2" t="s">
        <v>568</v>
      </c>
      <c r="E218" s="9" t="s">
        <v>2898</v>
      </c>
      <c r="F218" s="9" t="s">
        <v>2899</v>
      </c>
      <c r="G218" s="1">
        <v>1679.7977000000001</v>
      </c>
      <c r="H218" s="2">
        <v>172</v>
      </c>
      <c r="I218" s="2">
        <v>2</v>
      </c>
      <c r="J218" s="1">
        <v>1679.9758999999999</v>
      </c>
      <c r="K218" s="1">
        <v>840.90610000000004</v>
      </c>
      <c r="L218" s="9" t="s">
        <v>2900</v>
      </c>
      <c r="M218" s="2">
        <v>4.54</v>
      </c>
      <c r="N218" s="4">
        <v>5723.66</v>
      </c>
      <c r="O218" s="1">
        <v>105.95713362050769</v>
      </c>
      <c r="P218" s="6">
        <v>34.299999999999997</v>
      </c>
      <c r="Q218" s="6">
        <v>22.5</v>
      </c>
      <c r="R218" s="6">
        <v>12.3</v>
      </c>
      <c r="S218" s="6">
        <v>10.3</v>
      </c>
      <c r="T218" s="5">
        <v>3.0000000000000001E-3</v>
      </c>
      <c r="U218" s="1">
        <v>0.1782</v>
      </c>
      <c r="V218" s="1">
        <v>4.3552</v>
      </c>
    </row>
    <row r="219" spans="1:22" x14ac:dyDescent="0.25">
      <c r="A219" s="1">
        <v>0.96240000000000003</v>
      </c>
      <c r="B219" s="9" t="s">
        <v>2901</v>
      </c>
      <c r="C219" s="2">
        <v>2884</v>
      </c>
      <c r="D219" s="2" t="s">
        <v>558</v>
      </c>
      <c r="E219" s="9" t="s">
        <v>289</v>
      </c>
      <c r="F219" s="9" t="s">
        <v>290</v>
      </c>
      <c r="G219" s="1">
        <v>1831.9757</v>
      </c>
      <c r="H219" s="2">
        <v>325</v>
      </c>
      <c r="I219" s="2">
        <v>3</v>
      </c>
      <c r="J219" s="1">
        <v>1832.1762000000001</v>
      </c>
      <c r="K219" s="1">
        <v>611.66579999999999</v>
      </c>
      <c r="L219" s="9" t="s">
        <v>291</v>
      </c>
      <c r="M219" s="2">
        <v>6.17</v>
      </c>
      <c r="N219" s="4">
        <v>5733.1</v>
      </c>
      <c r="O219" s="1">
        <v>109.26445999324034</v>
      </c>
      <c r="P219" s="6">
        <v>32.5</v>
      </c>
      <c r="Q219" s="6">
        <v>26.5</v>
      </c>
      <c r="R219" s="6">
        <v>11.2</v>
      </c>
      <c r="S219" s="6">
        <v>11.2</v>
      </c>
      <c r="T219" s="5">
        <v>0.02</v>
      </c>
      <c r="U219" s="1">
        <v>0.20050000000000001</v>
      </c>
      <c r="V219" s="1">
        <v>3.2778999999999998</v>
      </c>
    </row>
    <row r="220" spans="1:22" x14ac:dyDescent="0.25">
      <c r="A220" s="1">
        <v>0.99280000000000002</v>
      </c>
      <c r="B220" s="9" t="s">
        <v>2902</v>
      </c>
      <c r="C220" s="2">
        <v>2890</v>
      </c>
      <c r="D220" s="2" t="s">
        <v>201</v>
      </c>
      <c r="E220" s="9" t="s">
        <v>1071</v>
      </c>
      <c r="F220" s="9" t="s">
        <v>112</v>
      </c>
      <c r="G220" s="1">
        <v>1157.6367</v>
      </c>
      <c r="H220" s="2">
        <v>500</v>
      </c>
      <c r="I220" s="2">
        <v>2</v>
      </c>
      <c r="J220" s="1">
        <v>1157.7484999999999</v>
      </c>
      <c r="K220" s="1">
        <v>579.82560000000001</v>
      </c>
      <c r="L220" s="9" t="s">
        <v>113</v>
      </c>
      <c r="M220" s="2">
        <v>4.8600000000000003</v>
      </c>
      <c r="N220" s="4">
        <v>5744.61</v>
      </c>
      <c r="O220" s="1">
        <v>96.408299323106803</v>
      </c>
      <c r="P220" s="6">
        <v>46.2</v>
      </c>
      <c r="Q220" s="6">
        <v>32.700000000000003</v>
      </c>
      <c r="R220" s="6">
        <v>12.1</v>
      </c>
      <c r="S220" s="6">
        <v>11.4</v>
      </c>
      <c r="T220" s="5">
        <v>2.0999999999999999E-3</v>
      </c>
      <c r="U220" s="1">
        <v>0.1118</v>
      </c>
      <c r="V220" s="1">
        <v>4.9981999999999998</v>
      </c>
    </row>
    <row r="221" spans="1:22" x14ac:dyDescent="0.25">
      <c r="A221" s="1">
        <v>0.99990000000000001</v>
      </c>
      <c r="B221" s="9" t="s">
        <v>2903</v>
      </c>
      <c r="C221" s="2">
        <v>2908</v>
      </c>
      <c r="D221" s="2" t="s">
        <v>2069</v>
      </c>
      <c r="E221" s="9" t="s">
        <v>289</v>
      </c>
      <c r="F221" s="9" t="s">
        <v>290</v>
      </c>
      <c r="G221" s="1">
        <v>1831.9757</v>
      </c>
      <c r="H221" s="2">
        <v>174</v>
      </c>
      <c r="I221" s="2">
        <v>3</v>
      </c>
      <c r="J221" s="1">
        <v>1832.1821</v>
      </c>
      <c r="K221" s="1">
        <v>611.66579999999999</v>
      </c>
      <c r="L221" s="9" t="s">
        <v>291</v>
      </c>
      <c r="M221" s="2">
        <v>6.17</v>
      </c>
      <c r="N221" s="4">
        <v>5786.48</v>
      </c>
      <c r="O221" s="1">
        <v>112.47972340451273</v>
      </c>
      <c r="P221" s="6">
        <v>40.1</v>
      </c>
      <c r="Q221" s="6">
        <v>22.7</v>
      </c>
      <c r="R221" s="6">
        <v>10.199999999999999</v>
      </c>
      <c r="S221" s="6">
        <v>10.8</v>
      </c>
      <c r="T221" s="5">
        <v>3.3E-4</v>
      </c>
      <c r="U221" s="1">
        <v>0.2064</v>
      </c>
      <c r="V221" s="1">
        <v>6.8042999999999996</v>
      </c>
    </row>
    <row r="222" spans="1:22" x14ac:dyDescent="0.25">
      <c r="A222" s="1">
        <v>0.99299999999999999</v>
      </c>
      <c r="B222" s="9" t="s">
        <v>2904</v>
      </c>
      <c r="C222" s="2">
        <v>2911</v>
      </c>
      <c r="D222" s="2" t="s">
        <v>1653</v>
      </c>
      <c r="E222" s="9" t="s">
        <v>2905</v>
      </c>
      <c r="F222" s="9" t="s">
        <v>130</v>
      </c>
      <c r="G222" s="1">
        <v>1612.7807</v>
      </c>
      <c r="H222" s="2">
        <v>1160</v>
      </c>
      <c r="I222" s="2">
        <v>2</v>
      </c>
      <c r="J222" s="1">
        <v>1612.9413999999999</v>
      </c>
      <c r="K222" s="1">
        <v>807.39760000000001</v>
      </c>
      <c r="L222" s="9" t="s">
        <v>131</v>
      </c>
      <c r="M222" s="2">
        <v>4.21</v>
      </c>
      <c r="N222" s="4">
        <v>5796.95</v>
      </c>
      <c r="O222" s="1">
        <v>99.517263861076628</v>
      </c>
      <c r="P222" s="6">
        <v>30.5</v>
      </c>
      <c r="Q222" s="6">
        <v>20.3</v>
      </c>
      <c r="R222" s="6">
        <v>12</v>
      </c>
      <c r="S222" s="6">
        <v>6.1</v>
      </c>
      <c r="T222" s="5">
        <v>1.4E-3</v>
      </c>
      <c r="U222" s="1">
        <v>0.16070000000000001</v>
      </c>
      <c r="V222" s="1">
        <v>4.6401000000000003</v>
      </c>
    </row>
    <row r="223" spans="1:22" x14ac:dyDescent="0.25">
      <c r="A223" s="1">
        <v>0.99990000000000001</v>
      </c>
      <c r="B223" s="9" t="s">
        <v>2906</v>
      </c>
      <c r="C223" s="2">
        <v>2914</v>
      </c>
      <c r="D223" s="2" t="s">
        <v>2907</v>
      </c>
      <c r="E223" s="9" t="s">
        <v>2908</v>
      </c>
      <c r="F223" s="9" t="s">
        <v>203</v>
      </c>
      <c r="G223" s="1">
        <v>2432.4077000000002</v>
      </c>
      <c r="H223" s="2">
        <v>44</v>
      </c>
      <c r="I223" s="2">
        <v>3</v>
      </c>
      <c r="J223" s="1">
        <v>2432.6988000000001</v>
      </c>
      <c r="K223" s="1">
        <v>811.8098</v>
      </c>
      <c r="L223" s="9" t="s">
        <v>204</v>
      </c>
      <c r="M223" s="2">
        <v>8.56</v>
      </c>
      <c r="N223" s="4">
        <v>5807.41</v>
      </c>
      <c r="O223" s="1">
        <v>119.52717660384654</v>
      </c>
      <c r="P223" s="6">
        <v>34.799999999999997</v>
      </c>
      <c r="Q223" s="6">
        <v>19.3</v>
      </c>
      <c r="R223" s="6">
        <v>11.1</v>
      </c>
      <c r="S223" s="6">
        <v>13.4</v>
      </c>
      <c r="T223" s="5">
        <v>1.9000000000000001E-5</v>
      </c>
      <c r="U223" s="1">
        <v>0.29110000000000003</v>
      </c>
      <c r="V223" s="1">
        <v>6.7346000000000004</v>
      </c>
    </row>
    <row r="224" spans="1:22" x14ac:dyDescent="0.25">
      <c r="A224" s="1">
        <v>0.99390000000000001</v>
      </c>
      <c r="B224" s="9" t="s">
        <v>2909</v>
      </c>
      <c r="C224" s="2">
        <v>2915</v>
      </c>
      <c r="D224" s="2" t="s">
        <v>2910</v>
      </c>
      <c r="E224" s="9" t="s">
        <v>2911</v>
      </c>
      <c r="F224" s="9" t="s">
        <v>2912</v>
      </c>
      <c r="G224" s="1">
        <v>2432.4077000000002</v>
      </c>
      <c r="H224" s="2">
        <v>1074</v>
      </c>
      <c r="I224" s="2">
        <v>3</v>
      </c>
      <c r="J224" s="1">
        <v>2433.1179999999999</v>
      </c>
      <c r="K224" s="1">
        <v>811.8098</v>
      </c>
      <c r="L224" s="9" t="s">
        <v>2913</v>
      </c>
      <c r="M224" s="2">
        <v>8.56</v>
      </c>
      <c r="N224" s="4">
        <v>5813.77</v>
      </c>
      <c r="O224" s="1">
        <v>-120.32990978921414</v>
      </c>
      <c r="P224" s="6">
        <v>38.1</v>
      </c>
      <c r="Q224" s="6">
        <v>24.3</v>
      </c>
      <c r="R224" s="6">
        <v>11.3</v>
      </c>
      <c r="S224" s="6">
        <v>13.2</v>
      </c>
      <c r="T224" s="5">
        <v>8.2000000000000001E-5</v>
      </c>
      <c r="U224" s="1">
        <v>0.71030000000000004</v>
      </c>
      <c r="V224" s="1">
        <v>5.7564000000000002</v>
      </c>
    </row>
    <row r="225" spans="1:22" x14ac:dyDescent="0.25">
      <c r="A225" s="1">
        <v>0.99250000000000005</v>
      </c>
      <c r="B225" s="9" t="s">
        <v>2914</v>
      </c>
      <c r="C225" s="2">
        <v>2923</v>
      </c>
      <c r="D225" s="2" t="s">
        <v>311</v>
      </c>
      <c r="E225" s="9" t="s">
        <v>2915</v>
      </c>
      <c r="F225" s="9" t="s">
        <v>2361</v>
      </c>
      <c r="G225" s="1">
        <v>1561.8937000000001</v>
      </c>
      <c r="H225" s="2">
        <v>176</v>
      </c>
      <c r="I225" s="2">
        <v>2</v>
      </c>
      <c r="J225" s="1">
        <v>1562.0463999999999</v>
      </c>
      <c r="K225" s="1">
        <v>781.95410000000004</v>
      </c>
      <c r="L225" s="9" t="s">
        <v>2362</v>
      </c>
      <c r="M225" s="2">
        <v>8.59</v>
      </c>
      <c r="N225" s="4">
        <v>5828.38</v>
      </c>
      <c r="O225" s="1">
        <v>97.640002143348298</v>
      </c>
      <c r="P225" s="6">
        <v>35.6</v>
      </c>
      <c r="Q225" s="6">
        <v>23.6</v>
      </c>
      <c r="R225" s="6">
        <v>12</v>
      </c>
      <c r="S225" s="6">
        <v>10.1</v>
      </c>
      <c r="T225" s="5">
        <v>3.5999999999999999E-3</v>
      </c>
      <c r="U225" s="1">
        <v>0.1527</v>
      </c>
      <c r="V225" s="1">
        <v>4.5557999999999996</v>
      </c>
    </row>
    <row r="226" spans="1:22" x14ac:dyDescent="0.25">
      <c r="A226" s="1">
        <v>0.99939999999999996</v>
      </c>
      <c r="B226" s="9" t="s">
        <v>2916</v>
      </c>
      <c r="C226" s="2">
        <v>2935</v>
      </c>
      <c r="D226" s="2" t="s">
        <v>1870</v>
      </c>
      <c r="E226" s="9" t="s">
        <v>289</v>
      </c>
      <c r="F226" s="9" t="s">
        <v>290</v>
      </c>
      <c r="G226" s="1">
        <v>1831.9757</v>
      </c>
      <c r="H226" s="2">
        <v>326</v>
      </c>
      <c r="I226" s="2">
        <v>3</v>
      </c>
      <c r="J226" s="1">
        <v>1833.2230999999999</v>
      </c>
      <c r="K226" s="1">
        <v>611.66579999999999</v>
      </c>
      <c r="L226" s="9" t="s">
        <v>291</v>
      </c>
      <c r="M226" s="2">
        <v>6.17</v>
      </c>
      <c r="N226" s="4">
        <v>5866.18</v>
      </c>
      <c r="O226" s="1">
        <v>132.99473884813139</v>
      </c>
      <c r="P226" s="6">
        <v>53.7</v>
      </c>
      <c r="Q226" s="6">
        <v>27.4</v>
      </c>
      <c r="R226" s="6">
        <v>11.5</v>
      </c>
      <c r="S226" s="6">
        <v>11.4</v>
      </c>
      <c r="T226" s="5">
        <v>2.2000000000000001E-7</v>
      </c>
      <c r="U226" s="1">
        <v>1.2474000000000001</v>
      </c>
      <c r="V226" s="1">
        <v>11.011900000000001</v>
      </c>
    </row>
    <row r="227" spans="1:22" x14ac:dyDescent="0.25">
      <c r="A227" s="1">
        <v>0.996</v>
      </c>
      <c r="B227" s="9" t="s">
        <v>2917</v>
      </c>
      <c r="C227" s="2">
        <v>2939</v>
      </c>
      <c r="D227" s="2" t="s">
        <v>163</v>
      </c>
      <c r="E227" s="9" t="s">
        <v>289</v>
      </c>
      <c r="F227" s="9" t="s">
        <v>290</v>
      </c>
      <c r="G227" s="1">
        <v>1831.9757</v>
      </c>
      <c r="H227" s="2">
        <v>327</v>
      </c>
      <c r="I227" s="2">
        <v>3</v>
      </c>
      <c r="J227" s="1">
        <v>1832.2378000000001</v>
      </c>
      <c r="K227" s="1">
        <v>611.66579999999999</v>
      </c>
      <c r="L227" s="9" t="s">
        <v>291</v>
      </c>
      <c r="M227" s="2">
        <v>6.17</v>
      </c>
      <c r="N227" s="4">
        <v>5876.63</v>
      </c>
      <c r="O227" s="1">
        <v>142.83398984652513</v>
      </c>
      <c r="P227" s="6">
        <v>35.299999999999997</v>
      </c>
      <c r="Q227" s="6">
        <v>24.5</v>
      </c>
      <c r="R227" s="6">
        <v>11.6</v>
      </c>
      <c r="S227" s="6">
        <v>11.7</v>
      </c>
      <c r="T227" s="5">
        <v>4.8999999999999998E-3</v>
      </c>
      <c r="U227" s="1">
        <v>0.2621</v>
      </c>
      <c r="V227" s="1">
        <v>4.6782000000000004</v>
      </c>
    </row>
    <row r="228" spans="1:22" x14ac:dyDescent="0.25">
      <c r="A228" s="1">
        <v>0.98340000000000005</v>
      </c>
      <c r="B228" s="9" t="s">
        <v>2918</v>
      </c>
      <c r="C228" s="2">
        <v>2942</v>
      </c>
      <c r="D228" s="2" t="s">
        <v>458</v>
      </c>
      <c r="E228" s="9" t="s">
        <v>626</v>
      </c>
      <c r="F228" s="9" t="s">
        <v>627</v>
      </c>
      <c r="G228" s="1">
        <v>1529.7547</v>
      </c>
      <c r="H228" s="2">
        <v>1163</v>
      </c>
      <c r="I228" s="2">
        <v>2</v>
      </c>
      <c r="J228" s="1">
        <v>1529.8891000000001</v>
      </c>
      <c r="K228" s="1">
        <v>765.88459999999998</v>
      </c>
      <c r="L228" s="9" t="s">
        <v>628</v>
      </c>
      <c r="M228" s="2">
        <v>4.3499999999999996</v>
      </c>
      <c r="N228" s="4">
        <v>5880.74</v>
      </c>
      <c r="O228" s="1">
        <v>87.74167805437007</v>
      </c>
      <c r="P228" s="6">
        <v>27.7</v>
      </c>
      <c r="Q228" s="6">
        <v>20.399999999999999</v>
      </c>
      <c r="R228" s="6">
        <v>12</v>
      </c>
      <c r="S228" s="6">
        <v>12</v>
      </c>
      <c r="T228" s="5">
        <v>6.0000000000000001E-3</v>
      </c>
      <c r="U228" s="1">
        <v>0.13439999999999999</v>
      </c>
      <c r="V228" s="1">
        <v>3.8397999999999999</v>
      </c>
    </row>
    <row r="229" spans="1:22" x14ac:dyDescent="0.25">
      <c r="A229" s="1">
        <v>0.99770000000000003</v>
      </c>
      <c r="B229" s="9" t="s">
        <v>2919</v>
      </c>
      <c r="C229" s="2">
        <v>2963</v>
      </c>
      <c r="D229" s="2" t="s">
        <v>1188</v>
      </c>
      <c r="E229" s="9" t="s">
        <v>2920</v>
      </c>
      <c r="F229" s="9" t="s">
        <v>2912</v>
      </c>
      <c r="G229" s="1">
        <v>1907.0916999999999</v>
      </c>
      <c r="H229" s="2">
        <v>832</v>
      </c>
      <c r="I229" s="2">
        <v>2</v>
      </c>
      <c r="J229" s="1">
        <v>1907.2916</v>
      </c>
      <c r="K229" s="1">
        <v>954.55309999999997</v>
      </c>
      <c r="L229" s="9" t="s">
        <v>2913</v>
      </c>
      <c r="M229" s="2">
        <v>8.75</v>
      </c>
      <c r="N229" s="4">
        <v>5933.14</v>
      </c>
      <c r="O229" s="1">
        <v>104.70868514281709</v>
      </c>
      <c r="P229" s="6">
        <v>45.6</v>
      </c>
      <c r="Q229" s="6">
        <v>37.200000000000003</v>
      </c>
      <c r="R229" s="6">
        <v>11.2</v>
      </c>
      <c r="S229" s="6">
        <v>10.5</v>
      </c>
      <c r="T229" s="5">
        <v>3.7000000000000002E-6</v>
      </c>
      <c r="U229" s="1">
        <v>0.19989999999999999</v>
      </c>
      <c r="V229" s="1">
        <v>5.8114999999999997</v>
      </c>
    </row>
    <row r="230" spans="1:22" x14ac:dyDescent="0.25">
      <c r="A230" s="1">
        <v>0.97299999999999998</v>
      </c>
      <c r="B230" s="9" t="s">
        <v>2921</v>
      </c>
      <c r="C230" s="2">
        <v>2967</v>
      </c>
      <c r="D230" s="2" t="s">
        <v>1531</v>
      </c>
      <c r="E230" s="9" t="s">
        <v>2920</v>
      </c>
      <c r="F230" s="9" t="s">
        <v>2912</v>
      </c>
      <c r="G230" s="1">
        <v>1907.0916999999999</v>
      </c>
      <c r="H230" s="2">
        <v>1165</v>
      </c>
      <c r="I230" s="2">
        <v>2</v>
      </c>
      <c r="J230" s="1">
        <v>1907.7351000000001</v>
      </c>
      <c r="K230" s="1">
        <v>954.55309999999997</v>
      </c>
      <c r="L230" s="9" t="s">
        <v>2913</v>
      </c>
      <c r="M230" s="2">
        <v>8.75</v>
      </c>
      <c r="N230" s="4">
        <v>5943.61</v>
      </c>
      <c r="O230" s="1">
        <v>-188.54634697640188</v>
      </c>
      <c r="P230" s="6">
        <v>41.6</v>
      </c>
      <c r="Q230" s="6">
        <v>41.6</v>
      </c>
      <c r="R230" s="6">
        <v>11.7</v>
      </c>
      <c r="S230" s="6">
        <v>10.199999999999999</v>
      </c>
      <c r="T230" s="5">
        <v>4.5000000000000001E-6</v>
      </c>
      <c r="U230" s="1">
        <v>0.64339999999999997</v>
      </c>
      <c r="V230" s="1">
        <v>5.0429000000000004</v>
      </c>
    </row>
    <row r="231" spans="1:22" x14ac:dyDescent="0.25">
      <c r="A231" s="1">
        <v>0.99780000000000002</v>
      </c>
      <c r="B231" s="9" t="s">
        <v>2922</v>
      </c>
      <c r="C231" s="2">
        <v>2978</v>
      </c>
      <c r="D231" s="2" t="s">
        <v>1642</v>
      </c>
      <c r="E231" s="9" t="s">
        <v>2920</v>
      </c>
      <c r="F231" s="9" t="s">
        <v>2912</v>
      </c>
      <c r="G231" s="1">
        <v>1907.0916999999999</v>
      </c>
      <c r="H231" s="2">
        <v>986</v>
      </c>
      <c r="I231" s="2">
        <v>2</v>
      </c>
      <c r="J231" s="1">
        <v>1906.7924</v>
      </c>
      <c r="K231" s="1">
        <v>954.55309999999997</v>
      </c>
      <c r="L231" s="9" t="s">
        <v>2913</v>
      </c>
      <c r="M231" s="2">
        <v>8.75</v>
      </c>
      <c r="N231" s="4">
        <v>5978.36</v>
      </c>
      <c r="O231" s="1">
        <v>-156.7749347836176</v>
      </c>
      <c r="P231" s="6">
        <v>51.4</v>
      </c>
      <c r="Q231" s="6">
        <v>51.4</v>
      </c>
      <c r="R231" s="6">
        <v>11.7</v>
      </c>
      <c r="S231" s="6">
        <v>11.1</v>
      </c>
      <c r="T231" s="5">
        <v>6.9999999999999997E-7</v>
      </c>
      <c r="U231" s="1">
        <v>-0.29930000000000001</v>
      </c>
      <c r="V231" s="1">
        <v>5.7446999999999999</v>
      </c>
    </row>
    <row r="232" spans="1:22" x14ac:dyDescent="0.25">
      <c r="A232" s="1">
        <v>0.99990000000000001</v>
      </c>
      <c r="B232" s="9" t="s">
        <v>2923</v>
      </c>
      <c r="C232" s="2">
        <v>2979</v>
      </c>
      <c r="D232" s="2" t="s">
        <v>2767</v>
      </c>
      <c r="E232" s="9" t="s">
        <v>289</v>
      </c>
      <c r="F232" s="9" t="s">
        <v>290</v>
      </c>
      <c r="G232" s="1">
        <v>1831.9757</v>
      </c>
      <c r="H232" s="2">
        <v>47</v>
      </c>
      <c r="I232" s="2">
        <v>3</v>
      </c>
      <c r="J232" s="1">
        <v>1832.2184</v>
      </c>
      <c r="K232" s="1">
        <v>611.66579999999999</v>
      </c>
      <c r="L232" s="9" t="s">
        <v>291</v>
      </c>
      <c r="M232" s="2">
        <v>6.17</v>
      </c>
      <c r="N232" s="4">
        <v>5975.07</v>
      </c>
      <c r="O232" s="1">
        <v>132.26176778234128</v>
      </c>
      <c r="P232" s="6">
        <v>27</v>
      </c>
      <c r="Q232" s="6">
        <v>18.7</v>
      </c>
      <c r="R232" s="6">
        <v>10.7</v>
      </c>
      <c r="S232" s="6">
        <v>10.9</v>
      </c>
      <c r="T232" s="5">
        <v>2.3999999999999998E-3</v>
      </c>
      <c r="U232" s="1">
        <v>0.2427</v>
      </c>
      <c r="V232" s="1">
        <v>5.0675999999999997</v>
      </c>
    </row>
    <row r="233" spans="1:22" x14ac:dyDescent="0.25">
      <c r="A233" s="1">
        <v>0.98470000000000002</v>
      </c>
      <c r="B233" s="9" t="s">
        <v>2924</v>
      </c>
      <c r="C233" s="2">
        <v>2983</v>
      </c>
      <c r="D233" s="2" t="s">
        <v>1651</v>
      </c>
      <c r="E233" s="9" t="s">
        <v>2920</v>
      </c>
      <c r="F233" s="9" t="s">
        <v>2912</v>
      </c>
      <c r="G233" s="1">
        <v>1907.0916999999999</v>
      </c>
      <c r="H233" s="2">
        <v>987</v>
      </c>
      <c r="I233" s="2">
        <v>2</v>
      </c>
      <c r="J233" s="1">
        <v>1907.8620000000001</v>
      </c>
      <c r="K233" s="1">
        <v>954.55309999999997</v>
      </c>
      <c r="L233" s="9" t="s">
        <v>2913</v>
      </c>
      <c r="M233" s="2">
        <v>8.75</v>
      </c>
      <c r="N233" s="4">
        <v>5991.91</v>
      </c>
      <c r="O233" s="1">
        <v>-122.07545080519881</v>
      </c>
      <c r="P233" s="6">
        <v>48.5</v>
      </c>
      <c r="Q233" s="6">
        <v>44</v>
      </c>
      <c r="R233" s="6">
        <v>11.6</v>
      </c>
      <c r="S233" s="6">
        <v>11</v>
      </c>
      <c r="T233" s="5">
        <v>5.2E-7</v>
      </c>
      <c r="U233" s="1">
        <v>0.77029999999999998</v>
      </c>
      <c r="V233" s="1">
        <v>6.2066999999999997</v>
      </c>
    </row>
    <row r="234" spans="1:22" x14ac:dyDescent="0.25">
      <c r="A234" s="1">
        <v>0.99670000000000003</v>
      </c>
      <c r="B234" s="9" t="s">
        <v>2925</v>
      </c>
      <c r="C234" s="2">
        <v>2986</v>
      </c>
      <c r="D234" s="2" t="s">
        <v>1642</v>
      </c>
      <c r="E234" s="9" t="s">
        <v>2920</v>
      </c>
      <c r="F234" s="9" t="s">
        <v>2912</v>
      </c>
      <c r="G234" s="1">
        <v>1907.0916999999999</v>
      </c>
      <c r="H234" s="2">
        <v>833</v>
      </c>
      <c r="I234" s="2">
        <v>2</v>
      </c>
      <c r="J234" s="1">
        <v>1907.3168000000001</v>
      </c>
      <c r="K234" s="1">
        <v>954.55309999999997</v>
      </c>
      <c r="L234" s="9" t="s">
        <v>2913</v>
      </c>
      <c r="M234" s="2">
        <v>8.75</v>
      </c>
      <c r="N234" s="4">
        <v>5996.02</v>
      </c>
      <c r="O234" s="1">
        <v>117.90857941794961</v>
      </c>
      <c r="P234" s="6">
        <v>52.4</v>
      </c>
      <c r="Q234" s="6">
        <v>52.4</v>
      </c>
      <c r="R234" s="6">
        <v>11.2</v>
      </c>
      <c r="S234" s="6">
        <v>10.6</v>
      </c>
      <c r="T234" s="5">
        <v>1.9999999999999999E-6</v>
      </c>
      <c r="U234" s="1">
        <v>0.22509999999999999</v>
      </c>
      <c r="V234" s="1">
        <v>5.3487999999999998</v>
      </c>
    </row>
    <row r="235" spans="1:22" x14ac:dyDescent="0.25">
      <c r="A235" s="1">
        <v>0.99750000000000005</v>
      </c>
      <c r="B235" s="9" t="s">
        <v>2926</v>
      </c>
      <c r="C235" s="2">
        <v>2991</v>
      </c>
      <c r="D235" s="2" t="s">
        <v>1188</v>
      </c>
      <c r="E235" s="9" t="s">
        <v>2920</v>
      </c>
      <c r="F235" s="9" t="s">
        <v>2912</v>
      </c>
      <c r="G235" s="1">
        <v>1907.0916999999999</v>
      </c>
      <c r="H235" s="2">
        <v>988</v>
      </c>
      <c r="I235" s="2">
        <v>2</v>
      </c>
      <c r="J235" s="1">
        <v>1907.0456999999999</v>
      </c>
      <c r="K235" s="1">
        <v>954.55309999999997</v>
      </c>
      <c r="L235" s="9" t="s">
        <v>2913</v>
      </c>
      <c r="M235" s="2">
        <v>8.75</v>
      </c>
      <c r="N235" s="4">
        <v>6012.82</v>
      </c>
      <c r="O235" s="1">
        <v>-24.095045105400633</v>
      </c>
      <c r="P235" s="6">
        <v>44.6</v>
      </c>
      <c r="Q235" s="6">
        <v>40.200000000000003</v>
      </c>
      <c r="R235" s="6">
        <v>12</v>
      </c>
      <c r="S235" s="6">
        <v>11.1</v>
      </c>
      <c r="T235" s="5">
        <v>2.7E-6</v>
      </c>
      <c r="U235" s="1">
        <v>-4.5999999999999999E-2</v>
      </c>
      <c r="V235" s="1">
        <v>5.6075999999999997</v>
      </c>
    </row>
    <row r="236" spans="1:22" x14ac:dyDescent="0.25">
      <c r="A236" s="1">
        <v>0.99770000000000003</v>
      </c>
      <c r="B236" s="9" t="s">
        <v>2927</v>
      </c>
      <c r="C236" s="2">
        <v>3004</v>
      </c>
      <c r="D236" s="2" t="s">
        <v>770</v>
      </c>
      <c r="E236" s="9" t="s">
        <v>289</v>
      </c>
      <c r="F236" s="9" t="s">
        <v>290</v>
      </c>
      <c r="G236" s="1">
        <v>1831.9757</v>
      </c>
      <c r="H236" s="2">
        <v>181</v>
      </c>
      <c r="I236" s="2">
        <v>3</v>
      </c>
      <c r="J236" s="1">
        <v>1832.2379000000001</v>
      </c>
      <c r="K236" s="1">
        <v>611.66579999999999</v>
      </c>
      <c r="L236" s="9" t="s">
        <v>291</v>
      </c>
      <c r="M236" s="2">
        <v>6.17</v>
      </c>
      <c r="N236" s="4">
        <v>6042.21</v>
      </c>
      <c r="O236" s="1">
        <v>142.88848583654666</v>
      </c>
      <c r="P236" s="6">
        <v>37.700000000000003</v>
      </c>
      <c r="Q236" s="6">
        <v>24.7</v>
      </c>
      <c r="R236" s="6">
        <v>11.2</v>
      </c>
      <c r="S236" s="6">
        <v>11.3</v>
      </c>
      <c r="T236" s="5">
        <v>8.9999999999999993E-3</v>
      </c>
      <c r="U236" s="1">
        <v>0.26219999999999999</v>
      </c>
      <c r="V236" s="1">
        <v>4.5610999999999997</v>
      </c>
    </row>
    <row r="237" spans="1:22" x14ac:dyDescent="0.25">
      <c r="A237" s="1">
        <v>0.99870000000000003</v>
      </c>
      <c r="B237" s="9" t="s">
        <v>2928</v>
      </c>
      <c r="C237" s="2">
        <v>3021</v>
      </c>
      <c r="D237" s="2" t="s">
        <v>645</v>
      </c>
      <c r="E237" s="9" t="s">
        <v>2929</v>
      </c>
      <c r="F237" s="9" t="s">
        <v>2930</v>
      </c>
      <c r="G237" s="1">
        <v>1678.8157000000001</v>
      </c>
      <c r="H237" s="2">
        <v>285</v>
      </c>
      <c r="I237" s="2">
        <v>2</v>
      </c>
      <c r="J237" s="1">
        <v>1679.0078000000001</v>
      </c>
      <c r="K237" s="1">
        <v>840.41510000000005</v>
      </c>
      <c r="L237" s="9" t="s">
        <v>2931</v>
      </c>
      <c r="M237" s="2">
        <v>4.43</v>
      </c>
      <c r="N237" s="4">
        <v>6090.5</v>
      </c>
      <c r="O237" s="1">
        <v>114.288760399474</v>
      </c>
      <c r="P237" s="6">
        <v>43.2</v>
      </c>
      <c r="Q237" s="6">
        <v>24.7</v>
      </c>
      <c r="R237" s="6">
        <v>12</v>
      </c>
      <c r="S237" s="6">
        <v>10.7</v>
      </c>
      <c r="T237" s="5">
        <v>3.0000000000000001E-5</v>
      </c>
      <c r="U237" s="1">
        <v>0.19209999999999999</v>
      </c>
      <c r="V237" s="1">
        <v>6.4714999999999998</v>
      </c>
    </row>
    <row r="238" spans="1:22" x14ac:dyDescent="0.25">
      <c r="A238" s="1">
        <v>0.99170000000000003</v>
      </c>
      <c r="B238" s="9" t="s">
        <v>2932</v>
      </c>
      <c r="C238" s="2">
        <v>3033</v>
      </c>
      <c r="D238" s="2" t="s">
        <v>183</v>
      </c>
      <c r="E238" s="9" t="s">
        <v>2933</v>
      </c>
      <c r="F238" s="9" t="s">
        <v>2831</v>
      </c>
      <c r="G238" s="1">
        <v>1308.6637000000001</v>
      </c>
      <c r="H238" s="2">
        <v>374</v>
      </c>
      <c r="I238" s="2">
        <v>2</v>
      </c>
      <c r="J238" s="1">
        <v>1308.7805000000001</v>
      </c>
      <c r="K238" s="1">
        <v>655.33910000000003</v>
      </c>
      <c r="L238" s="9" t="s">
        <v>2832</v>
      </c>
      <c r="M238" s="2">
        <v>4.75</v>
      </c>
      <c r="N238" s="4">
        <v>6115.53</v>
      </c>
      <c r="O238" s="1">
        <v>89.114170053335741</v>
      </c>
      <c r="P238" s="6">
        <v>34.299999999999997</v>
      </c>
      <c r="Q238" s="6">
        <v>23.5</v>
      </c>
      <c r="R238" s="6">
        <v>12</v>
      </c>
      <c r="S238" s="6">
        <v>11.1</v>
      </c>
      <c r="T238" s="5">
        <v>3.0000000000000001E-3</v>
      </c>
      <c r="U238" s="1">
        <v>0.1168</v>
      </c>
      <c r="V238" s="1">
        <v>4.9322999999999997</v>
      </c>
    </row>
    <row r="239" spans="1:22" x14ac:dyDescent="0.25">
      <c r="A239" s="1">
        <v>0.99139999999999995</v>
      </c>
      <c r="B239" s="9" t="s">
        <v>2934</v>
      </c>
      <c r="C239" s="2">
        <v>3044</v>
      </c>
      <c r="D239" s="2" t="s">
        <v>163</v>
      </c>
      <c r="E239" s="9" t="s">
        <v>289</v>
      </c>
      <c r="F239" s="9" t="s">
        <v>290</v>
      </c>
      <c r="G239" s="1">
        <v>1831.9757</v>
      </c>
      <c r="H239" s="2">
        <v>183</v>
      </c>
      <c r="I239" s="2">
        <v>3</v>
      </c>
      <c r="J239" s="1">
        <v>1832.1927000000001</v>
      </c>
      <c r="K239" s="1">
        <v>611.66579999999999</v>
      </c>
      <c r="L239" s="9" t="s">
        <v>291</v>
      </c>
      <c r="M239" s="2">
        <v>6.17</v>
      </c>
      <c r="N239" s="4">
        <v>6143.93</v>
      </c>
      <c r="O239" s="1">
        <v>118.25629834679874</v>
      </c>
      <c r="P239" s="6">
        <v>34.1</v>
      </c>
      <c r="Q239" s="6">
        <v>24.4</v>
      </c>
      <c r="R239" s="6">
        <v>9.6999999999999993</v>
      </c>
      <c r="S239" s="6">
        <v>10.3</v>
      </c>
      <c r="T239" s="5">
        <v>2.3E-2</v>
      </c>
      <c r="U239" s="1">
        <v>0.217</v>
      </c>
      <c r="V239" s="1">
        <v>3.7368000000000001</v>
      </c>
    </row>
    <row r="240" spans="1:22" x14ac:dyDescent="0.25">
      <c r="A240" s="1">
        <v>0.999</v>
      </c>
      <c r="B240" s="9" t="s">
        <v>2935</v>
      </c>
      <c r="C240" s="2">
        <v>3059</v>
      </c>
      <c r="D240" s="2" t="s">
        <v>178</v>
      </c>
      <c r="E240" s="9" t="s">
        <v>649</v>
      </c>
      <c r="F240" s="9" t="s">
        <v>650</v>
      </c>
      <c r="G240" s="1">
        <v>1519.7597000000001</v>
      </c>
      <c r="H240" s="2">
        <v>990</v>
      </c>
      <c r="I240" s="2">
        <v>2</v>
      </c>
      <c r="J240" s="1">
        <v>1519.8852999999999</v>
      </c>
      <c r="K240" s="1">
        <v>760.88710000000003</v>
      </c>
      <c r="L240" s="9" t="s">
        <v>296</v>
      </c>
      <c r="M240" s="2">
        <v>4.32</v>
      </c>
      <c r="N240" s="4">
        <v>6189.13</v>
      </c>
      <c r="O240" s="1">
        <v>82.535240773565477</v>
      </c>
      <c r="P240" s="6">
        <v>42.4</v>
      </c>
      <c r="Q240" s="6">
        <v>24.6</v>
      </c>
      <c r="R240" s="6">
        <v>12.6</v>
      </c>
      <c r="S240" s="6">
        <v>10.3</v>
      </c>
      <c r="T240" s="5">
        <v>3.1000000000000001E-5</v>
      </c>
      <c r="U240" s="1">
        <v>0.12559999999999999</v>
      </c>
      <c r="V240" s="1">
        <v>6.8699000000000003</v>
      </c>
    </row>
    <row r="241" spans="1:22" x14ac:dyDescent="0.25">
      <c r="A241" s="1">
        <v>0.97950000000000004</v>
      </c>
      <c r="B241" s="9" t="s">
        <v>2936</v>
      </c>
      <c r="C241" s="2">
        <v>3104</v>
      </c>
      <c r="D241" s="2" t="s">
        <v>302</v>
      </c>
      <c r="E241" s="9" t="s">
        <v>2937</v>
      </c>
      <c r="F241" s="9" t="s">
        <v>1700</v>
      </c>
      <c r="G241" s="1">
        <v>1452.7147</v>
      </c>
      <c r="H241" s="2">
        <v>842</v>
      </c>
      <c r="I241" s="2">
        <v>2</v>
      </c>
      <c r="J241" s="1">
        <v>1452.835</v>
      </c>
      <c r="K241" s="1">
        <v>727.3646</v>
      </c>
      <c r="L241" s="9" t="s">
        <v>1701</v>
      </c>
      <c r="M241" s="2">
        <v>5.83</v>
      </c>
      <c r="N241" s="4">
        <v>6299.32</v>
      </c>
      <c r="O241" s="1">
        <v>82.695803452628837</v>
      </c>
      <c r="P241" s="6">
        <v>32.200000000000003</v>
      </c>
      <c r="Q241" s="6">
        <v>25.1</v>
      </c>
      <c r="R241" s="6">
        <v>11.4</v>
      </c>
      <c r="S241" s="6">
        <v>11</v>
      </c>
      <c r="T241" s="5">
        <v>9.4000000000000004E-3</v>
      </c>
      <c r="U241" s="1">
        <v>0.1203</v>
      </c>
      <c r="V241" s="1">
        <v>3.7151999999999998</v>
      </c>
    </row>
    <row r="242" spans="1:22" x14ac:dyDescent="0.25">
      <c r="A242" s="1">
        <v>0.96360000000000001</v>
      </c>
      <c r="B242" s="9" t="s">
        <v>2938</v>
      </c>
      <c r="C242" s="2">
        <v>3109</v>
      </c>
      <c r="D242" s="2" t="s">
        <v>558</v>
      </c>
      <c r="E242" s="9" t="s">
        <v>289</v>
      </c>
      <c r="F242" s="9" t="s">
        <v>290</v>
      </c>
      <c r="G242" s="1">
        <v>1831.9757</v>
      </c>
      <c r="H242" s="2">
        <v>185</v>
      </c>
      <c r="I242" s="2">
        <v>3</v>
      </c>
      <c r="J242" s="1">
        <v>1832.2067</v>
      </c>
      <c r="K242" s="1">
        <v>611.66579999999999</v>
      </c>
      <c r="L242" s="9" t="s">
        <v>291</v>
      </c>
      <c r="M242" s="2">
        <v>6.17</v>
      </c>
      <c r="N242" s="4">
        <v>6309.79</v>
      </c>
      <c r="O242" s="1">
        <v>125.88573694981801</v>
      </c>
      <c r="P242" s="6">
        <v>31</v>
      </c>
      <c r="Q242" s="6">
        <v>24.4</v>
      </c>
      <c r="R242" s="6">
        <v>9.9</v>
      </c>
      <c r="S242" s="6">
        <v>10.1</v>
      </c>
      <c r="T242" s="5">
        <v>5.1999999999999998E-2</v>
      </c>
      <c r="U242" s="1">
        <v>0.23100000000000001</v>
      </c>
      <c r="V242" s="1">
        <v>2.9182999999999999</v>
      </c>
    </row>
    <row r="243" spans="1:22" x14ac:dyDescent="0.25">
      <c r="A243" s="1">
        <v>0.99809999999999999</v>
      </c>
      <c r="B243" s="9" t="s">
        <v>2939</v>
      </c>
      <c r="C243" s="2">
        <v>3133</v>
      </c>
      <c r="D243" s="2" t="s">
        <v>163</v>
      </c>
      <c r="E243" s="9" t="s">
        <v>289</v>
      </c>
      <c r="F243" s="9" t="s">
        <v>290</v>
      </c>
      <c r="G243" s="1">
        <v>1831.9757</v>
      </c>
      <c r="H243" s="2">
        <v>186</v>
      </c>
      <c r="I243" s="2">
        <v>3</v>
      </c>
      <c r="J243" s="1">
        <v>1832.2072000000001</v>
      </c>
      <c r="K243" s="1">
        <v>611.66579999999999</v>
      </c>
      <c r="L243" s="9" t="s">
        <v>291</v>
      </c>
      <c r="M243" s="2">
        <v>6.17</v>
      </c>
      <c r="N243" s="4">
        <v>6376.98</v>
      </c>
      <c r="O243" s="1">
        <v>126.15821689992586</v>
      </c>
      <c r="P243" s="6">
        <v>34.200000000000003</v>
      </c>
      <c r="Q243" s="6">
        <v>23.2</v>
      </c>
      <c r="R243" s="6">
        <v>10.199999999999999</v>
      </c>
      <c r="S243" s="6">
        <v>10.1</v>
      </c>
      <c r="T243" s="5">
        <v>5.7999999999999996E-3</v>
      </c>
      <c r="U243" s="1">
        <v>0.23150000000000001</v>
      </c>
      <c r="V243" s="1">
        <v>4.6719999999999997</v>
      </c>
    </row>
    <row r="244" spans="1:22" x14ac:dyDescent="0.25">
      <c r="A244" s="1">
        <v>0.9718</v>
      </c>
      <c r="B244" s="9" t="s">
        <v>2940</v>
      </c>
      <c r="C244" s="2">
        <v>3139</v>
      </c>
      <c r="D244" s="2" t="s">
        <v>425</v>
      </c>
      <c r="E244" s="9" t="s">
        <v>2445</v>
      </c>
      <c r="F244" s="9" t="s">
        <v>1732</v>
      </c>
      <c r="G244" s="1">
        <v>1493.7437</v>
      </c>
      <c r="H244" s="2">
        <v>991</v>
      </c>
      <c r="I244" s="2">
        <v>2</v>
      </c>
      <c r="J244" s="1">
        <v>1493.886</v>
      </c>
      <c r="K244" s="1">
        <v>747.87909999999999</v>
      </c>
      <c r="L244" s="9" t="s">
        <v>1733</v>
      </c>
      <c r="M244" s="2">
        <v>4.21</v>
      </c>
      <c r="N244" s="4">
        <v>6395.08</v>
      </c>
      <c r="O244" s="1">
        <v>95.135697735101843</v>
      </c>
      <c r="P244" s="6">
        <v>33.9</v>
      </c>
      <c r="Q244" s="6">
        <v>26.9</v>
      </c>
      <c r="R244" s="6">
        <v>11.7</v>
      </c>
      <c r="S244" s="6">
        <v>10.199999999999999</v>
      </c>
      <c r="T244" s="5">
        <v>7.9000000000000008E-3</v>
      </c>
      <c r="U244" s="1">
        <v>0.14230000000000001</v>
      </c>
      <c r="V244" s="1">
        <v>3.5895999999999999</v>
      </c>
    </row>
    <row r="245" spans="1:22" x14ac:dyDescent="0.25">
      <c r="A245" s="1">
        <v>0.99060000000000004</v>
      </c>
      <c r="B245" s="9" t="s">
        <v>2941</v>
      </c>
      <c r="C245" s="2">
        <v>3148</v>
      </c>
      <c r="D245" s="2" t="s">
        <v>423</v>
      </c>
      <c r="E245" s="9" t="s">
        <v>1725</v>
      </c>
      <c r="F245" s="9" t="s">
        <v>788</v>
      </c>
      <c r="G245" s="1">
        <v>1592.8197</v>
      </c>
      <c r="H245" s="2">
        <v>187</v>
      </c>
      <c r="I245" s="2">
        <v>2</v>
      </c>
      <c r="J245" s="1">
        <v>1592.9776999999999</v>
      </c>
      <c r="K245" s="1">
        <v>797.4171</v>
      </c>
      <c r="L245" s="9" t="s">
        <v>789</v>
      </c>
      <c r="M245" s="2">
        <v>4.75</v>
      </c>
      <c r="N245" s="4">
        <v>6412.72</v>
      </c>
      <c r="O245" s="1">
        <v>99.069859424885678</v>
      </c>
      <c r="P245" s="6">
        <v>35.9</v>
      </c>
      <c r="Q245" s="6">
        <v>22</v>
      </c>
      <c r="R245" s="6">
        <v>9.3000000000000007</v>
      </c>
      <c r="S245" s="6">
        <v>12.5</v>
      </c>
      <c r="T245" s="5">
        <v>5.4000000000000003E-3</v>
      </c>
      <c r="U245" s="1">
        <v>0.158</v>
      </c>
      <c r="V245" s="1">
        <v>4.4352</v>
      </c>
    </row>
    <row r="246" spans="1:22" x14ac:dyDescent="0.25">
      <c r="A246" s="1">
        <v>0.99609999999999999</v>
      </c>
      <c r="B246" s="9" t="s">
        <v>2942</v>
      </c>
      <c r="C246" s="2">
        <v>3151</v>
      </c>
      <c r="D246" s="2" t="s">
        <v>2943</v>
      </c>
      <c r="E246" s="9" t="s">
        <v>2944</v>
      </c>
      <c r="F246" s="9" t="s">
        <v>2945</v>
      </c>
      <c r="G246" s="1">
        <v>2375.2957000000001</v>
      </c>
      <c r="H246" s="2">
        <v>844</v>
      </c>
      <c r="I246" s="2">
        <v>3</v>
      </c>
      <c r="J246" s="1">
        <v>2375.5790000000002</v>
      </c>
      <c r="K246" s="1">
        <v>792.77250000000004</v>
      </c>
      <c r="L246" s="9" t="s">
        <v>2946</v>
      </c>
      <c r="M246" s="2">
        <v>8.75</v>
      </c>
      <c r="N246" s="4">
        <v>6423.21</v>
      </c>
      <c r="O246" s="1">
        <v>119.11782173742571</v>
      </c>
      <c r="P246" s="6">
        <v>37.6</v>
      </c>
      <c r="Q246" s="6">
        <v>30.3</v>
      </c>
      <c r="R246" s="6">
        <v>11.4</v>
      </c>
      <c r="S246" s="6">
        <v>13.8</v>
      </c>
      <c r="T246" s="5">
        <v>4.3E-3</v>
      </c>
      <c r="U246" s="1">
        <v>0.2833</v>
      </c>
      <c r="V246" s="1">
        <v>3.2172000000000001</v>
      </c>
    </row>
    <row r="247" spans="1:22" x14ac:dyDescent="0.25">
      <c r="A247" s="1">
        <v>0.99750000000000005</v>
      </c>
      <c r="B247" s="9" t="s">
        <v>2947</v>
      </c>
      <c r="C247" s="2">
        <v>3176</v>
      </c>
      <c r="D247" s="2" t="s">
        <v>163</v>
      </c>
      <c r="E247" s="9" t="s">
        <v>289</v>
      </c>
      <c r="F247" s="9" t="s">
        <v>290</v>
      </c>
      <c r="G247" s="1">
        <v>1831.9757</v>
      </c>
      <c r="H247" s="2">
        <v>189</v>
      </c>
      <c r="I247" s="2">
        <v>3</v>
      </c>
      <c r="J247" s="1">
        <v>1832.1846</v>
      </c>
      <c r="K247" s="1">
        <v>611.66579999999999</v>
      </c>
      <c r="L247" s="9" t="s">
        <v>291</v>
      </c>
      <c r="M247" s="2">
        <v>6.17</v>
      </c>
      <c r="N247" s="4">
        <v>6483</v>
      </c>
      <c r="O247" s="1">
        <v>113.84212315505189</v>
      </c>
      <c r="P247" s="6">
        <v>35.700000000000003</v>
      </c>
      <c r="Q247" s="6">
        <v>23.5</v>
      </c>
      <c r="R247" s="6">
        <v>11.6</v>
      </c>
      <c r="S247" s="6">
        <v>11.6</v>
      </c>
      <c r="T247" s="5">
        <v>9.9000000000000008E-3</v>
      </c>
      <c r="U247" s="1">
        <v>0.2089</v>
      </c>
      <c r="V247" s="1">
        <v>4.4935999999999998</v>
      </c>
    </row>
    <row r="248" spans="1:22" x14ac:dyDescent="0.25">
      <c r="A248" s="1">
        <v>0.96020000000000005</v>
      </c>
      <c r="B248" s="9" t="s">
        <v>2948</v>
      </c>
      <c r="C248" s="2">
        <v>3191</v>
      </c>
      <c r="D248" s="2" t="s">
        <v>1271</v>
      </c>
      <c r="E248" s="9" t="s">
        <v>1731</v>
      </c>
      <c r="F248" s="9" t="s">
        <v>1732</v>
      </c>
      <c r="G248" s="1">
        <v>1898.9337</v>
      </c>
      <c r="H248" s="2">
        <v>846</v>
      </c>
      <c r="I248" s="2">
        <v>2</v>
      </c>
      <c r="J248" s="1">
        <v>1899.1515999999999</v>
      </c>
      <c r="K248" s="1">
        <v>950.47410000000002</v>
      </c>
      <c r="L248" s="9" t="s">
        <v>1733</v>
      </c>
      <c r="M248" s="2">
        <v>4.32</v>
      </c>
      <c r="N248" s="4">
        <v>6526.14</v>
      </c>
      <c r="O248" s="1">
        <v>114.62700561751235</v>
      </c>
      <c r="P248" s="6">
        <v>34.9</v>
      </c>
      <c r="Q248" s="6">
        <v>24.1</v>
      </c>
      <c r="R248" s="6">
        <v>11.6</v>
      </c>
      <c r="S248" s="6">
        <v>7.1</v>
      </c>
      <c r="T248" s="5">
        <v>2.3E-2</v>
      </c>
      <c r="U248" s="1">
        <v>0.21790000000000001</v>
      </c>
      <c r="V248" s="1">
        <v>3.2368000000000001</v>
      </c>
    </row>
    <row r="249" spans="1:22" x14ac:dyDescent="0.25">
      <c r="A249" s="1">
        <v>0.99990000000000001</v>
      </c>
      <c r="B249" s="9" t="s">
        <v>2949</v>
      </c>
      <c r="C249" s="2">
        <v>3205</v>
      </c>
      <c r="D249" s="2" t="s">
        <v>2867</v>
      </c>
      <c r="E249" s="9" t="s">
        <v>289</v>
      </c>
      <c r="F249" s="9" t="s">
        <v>290</v>
      </c>
      <c r="G249" s="1">
        <v>1831.9757</v>
      </c>
      <c r="H249" s="2">
        <v>48</v>
      </c>
      <c r="I249" s="2">
        <v>3</v>
      </c>
      <c r="J249" s="1">
        <v>1832.2035000000001</v>
      </c>
      <c r="K249" s="1">
        <v>611.66579999999999</v>
      </c>
      <c r="L249" s="9" t="s">
        <v>291</v>
      </c>
      <c r="M249" s="2">
        <v>6.17</v>
      </c>
      <c r="N249" s="4">
        <v>6557.59</v>
      </c>
      <c r="O249" s="1">
        <v>124.14186526912792</v>
      </c>
      <c r="P249" s="6">
        <v>28.4</v>
      </c>
      <c r="Q249" s="6">
        <v>19.7</v>
      </c>
      <c r="R249" s="6">
        <v>10.1</v>
      </c>
      <c r="S249" s="6">
        <v>11</v>
      </c>
      <c r="T249" s="5">
        <v>1.4E-3</v>
      </c>
      <c r="U249" s="1">
        <v>0.2278</v>
      </c>
      <c r="V249" s="1">
        <v>5.3498999999999999</v>
      </c>
    </row>
    <row r="250" spans="1:22" x14ac:dyDescent="0.25">
      <c r="A250" s="1">
        <v>0.99990000000000001</v>
      </c>
      <c r="B250" s="9" t="s">
        <v>2950</v>
      </c>
      <c r="C250" s="2">
        <v>3258</v>
      </c>
      <c r="D250" s="2" t="s">
        <v>770</v>
      </c>
      <c r="E250" s="9" t="s">
        <v>289</v>
      </c>
      <c r="F250" s="9" t="s">
        <v>290</v>
      </c>
      <c r="G250" s="1">
        <v>1831.9757</v>
      </c>
      <c r="H250" s="2">
        <v>190</v>
      </c>
      <c r="I250" s="2">
        <v>3</v>
      </c>
      <c r="J250" s="1">
        <v>1832.2608</v>
      </c>
      <c r="K250" s="1">
        <v>611.66579999999999</v>
      </c>
      <c r="L250" s="9" t="s">
        <v>291</v>
      </c>
      <c r="M250" s="2">
        <v>6.17</v>
      </c>
      <c r="N250" s="4">
        <v>6687.65</v>
      </c>
      <c r="O250" s="1">
        <v>155.36806755148538</v>
      </c>
      <c r="P250" s="6">
        <v>38.4</v>
      </c>
      <c r="Q250" s="6">
        <v>23.2</v>
      </c>
      <c r="R250" s="6">
        <v>10.5</v>
      </c>
      <c r="S250" s="6">
        <v>11.3</v>
      </c>
      <c r="T250" s="5">
        <v>2.9E-4</v>
      </c>
      <c r="U250" s="1">
        <v>0.28510000000000002</v>
      </c>
      <c r="V250" s="1">
        <v>6.6698000000000004</v>
      </c>
    </row>
    <row r="251" spans="1:22" x14ac:dyDescent="0.25">
      <c r="A251" s="1">
        <v>0.98299999999999998</v>
      </c>
      <c r="B251" s="9" t="s">
        <v>2951</v>
      </c>
      <c r="C251" s="2">
        <v>3318</v>
      </c>
      <c r="D251" s="2" t="s">
        <v>558</v>
      </c>
      <c r="E251" s="9" t="s">
        <v>289</v>
      </c>
      <c r="F251" s="9" t="s">
        <v>290</v>
      </c>
      <c r="G251" s="1">
        <v>1831.9757</v>
      </c>
      <c r="H251" s="2">
        <v>331</v>
      </c>
      <c r="I251" s="2">
        <v>3</v>
      </c>
      <c r="J251" s="1">
        <v>1832.2435</v>
      </c>
      <c r="K251" s="1">
        <v>611.66579999999999</v>
      </c>
      <c r="L251" s="9" t="s">
        <v>291</v>
      </c>
      <c r="M251" s="2">
        <v>6.17</v>
      </c>
      <c r="N251" s="4">
        <v>6846.79</v>
      </c>
      <c r="O251" s="1">
        <v>145.94026127775439</v>
      </c>
      <c r="P251" s="6">
        <v>31.6</v>
      </c>
      <c r="Q251" s="6">
        <v>24.9</v>
      </c>
      <c r="R251" s="6">
        <v>10.7</v>
      </c>
      <c r="S251" s="6">
        <v>10.6</v>
      </c>
      <c r="T251" s="5">
        <v>1.0999999999999999E-2</v>
      </c>
      <c r="U251" s="1">
        <v>0.26779999999999998</v>
      </c>
      <c r="V251" s="1">
        <v>3.7439</v>
      </c>
    </row>
    <row r="252" spans="1:22" x14ac:dyDescent="0.25">
      <c r="A252" s="1">
        <v>0.99880000000000002</v>
      </c>
      <c r="B252" s="9" t="s">
        <v>2952</v>
      </c>
      <c r="C252" s="2">
        <v>3371</v>
      </c>
      <c r="D252" s="2" t="s">
        <v>163</v>
      </c>
      <c r="E252" s="9" t="s">
        <v>289</v>
      </c>
      <c r="F252" s="9" t="s">
        <v>290</v>
      </c>
      <c r="G252" s="1">
        <v>1831.9757</v>
      </c>
      <c r="H252" s="2">
        <v>332</v>
      </c>
      <c r="I252" s="2">
        <v>3</v>
      </c>
      <c r="J252" s="1">
        <v>1832.1669999999999</v>
      </c>
      <c r="K252" s="1">
        <v>611.66579999999999</v>
      </c>
      <c r="L252" s="9" t="s">
        <v>291</v>
      </c>
      <c r="M252" s="2">
        <v>6.17</v>
      </c>
      <c r="N252" s="4">
        <v>6982.31</v>
      </c>
      <c r="O252" s="1">
        <v>104.25082891125624</v>
      </c>
      <c r="P252" s="6">
        <v>35.5</v>
      </c>
      <c r="Q252" s="6">
        <v>24.8</v>
      </c>
      <c r="R252" s="6">
        <v>11.1</v>
      </c>
      <c r="S252" s="6">
        <v>11.6</v>
      </c>
      <c r="T252" s="5">
        <v>9.1E-4</v>
      </c>
      <c r="U252" s="1">
        <v>0.1913</v>
      </c>
      <c r="V252" s="1">
        <v>5.5538999999999996</v>
      </c>
    </row>
    <row r="253" spans="1:22" x14ac:dyDescent="0.25">
      <c r="A253" s="1">
        <v>0.99129999999999996</v>
      </c>
      <c r="B253" s="9" t="s">
        <v>2953</v>
      </c>
      <c r="C253" s="2">
        <v>3406</v>
      </c>
      <c r="D253" s="2" t="s">
        <v>2767</v>
      </c>
      <c r="E253" s="9" t="s">
        <v>289</v>
      </c>
      <c r="F253" s="9" t="s">
        <v>290</v>
      </c>
      <c r="G253" s="1">
        <v>1831.9757</v>
      </c>
      <c r="H253" s="2">
        <v>52</v>
      </c>
      <c r="I253" s="2">
        <v>3</v>
      </c>
      <c r="J253" s="1">
        <v>1832.2013999999999</v>
      </c>
      <c r="K253" s="1">
        <v>611.66579999999999</v>
      </c>
      <c r="L253" s="9" t="s">
        <v>291</v>
      </c>
      <c r="M253" s="2">
        <v>6.17</v>
      </c>
      <c r="N253" s="4">
        <v>7063.9</v>
      </c>
      <c r="O253" s="1">
        <v>122.99744947867499</v>
      </c>
      <c r="P253" s="6">
        <v>27.2</v>
      </c>
      <c r="Q253" s="6">
        <v>23.3</v>
      </c>
      <c r="R253" s="6">
        <v>10.9</v>
      </c>
      <c r="S253" s="6">
        <v>11</v>
      </c>
      <c r="T253" s="5">
        <v>6.2E-2</v>
      </c>
      <c r="U253" s="1">
        <v>0.22570000000000001</v>
      </c>
      <c r="V253" s="1">
        <v>2.4527000000000001</v>
      </c>
    </row>
    <row r="254" spans="1:22" x14ac:dyDescent="0.25">
      <c r="A254" s="1">
        <v>0.99570000000000003</v>
      </c>
      <c r="B254" s="9" t="s">
        <v>2954</v>
      </c>
      <c r="C254" s="2">
        <v>3428</v>
      </c>
      <c r="D254" s="2" t="s">
        <v>163</v>
      </c>
      <c r="E254" s="9" t="s">
        <v>289</v>
      </c>
      <c r="F254" s="9" t="s">
        <v>290</v>
      </c>
      <c r="G254" s="1">
        <v>1831.9757</v>
      </c>
      <c r="H254" s="2">
        <v>715</v>
      </c>
      <c r="I254" s="2">
        <v>3</v>
      </c>
      <c r="J254" s="1">
        <v>1832.1547</v>
      </c>
      <c r="K254" s="1">
        <v>611.66579999999999</v>
      </c>
      <c r="L254" s="9" t="s">
        <v>291</v>
      </c>
      <c r="M254" s="2">
        <v>6.17</v>
      </c>
      <c r="N254" s="4">
        <v>7129.77</v>
      </c>
      <c r="O254" s="1">
        <v>97.547822138603578</v>
      </c>
      <c r="P254" s="6">
        <v>34.5</v>
      </c>
      <c r="Q254" s="6">
        <v>24.3</v>
      </c>
      <c r="R254" s="6">
        <v>11.3</v>
      </c>
      <c r="S254" s="6">
        <v>11</v>
      </c>
      <c r="T254" s="5">
        <v>3.8E-3</v>
      </c>
      <c r="U254" s="1">
        <v>0.17899999999999999</v>
      </c>
      <c r="V254" s="1">
        <v>4.7591000000000001</v>
      </c>
    </row>
    <row r="255" spans="1:22" x14ac:dyDescent="0.25">
      <c r="A255" s="1">
        <v>0.99990000000000001</v>
      </c>
      <c r="B255" s="9" t="s">
        <v>2955</v>
      </c>
      <c r="C255" s="2">
        <v>3432</v>
      </c>
      <c r="D255" s="2" t="s">
        <v>558</v>
      </c>
      <c r="E255" s="9" t="s">
        <v>289</v>
      </c>
      <c r="F255" s="9" t="s">
        <v>290</v>
      </c>
      <c r="G255" s="1">
        <v>1831.9757</v>
      </c>
      <c r="H255" s="2">
        <v>53</v>
      </c>
      <c r="I255" s="2">
        <v>3</v>
      </c>
      <c r="J255" s="1">
        <v>1832.1563000000001</v>
      </c>
      <c r="K255" s="1">
        <v>611.66579999999999</v>
      </c>
      <c r="L255" s="9" t="s">
        <v>291</v>
      </c>
      <c r="M255" s="2">
        <v>6.17</v>
      </c>
      <c r="N255" s="4">
        <v>7136.98</v>
      </c>
      <c r="O255" s="1">
        <v>98.419757978948638</v>
      </c>
      <c r="P255" s="6">
        <v>30.1</v>
      </c>
      <c r="Q255" s="6">
        <v>22.2</v>
      </c>
      <c r="R255" s="6">
        <v>11.1</v>
      </c>
      <c r="S255" s="6">
        <v>11.1</v>
      </c>
      <c r="T255" s="5">
        <v>1.1000000000000001E-3</v>
      </c>
      <c r="U255" s="1">
        <v>0.18060000000000001</v>
      </c>
      <c r="V255" s="1">
        <v>5.2443</v>
      </c>
    </row>
    <row r="256" spans="1:22" x14ac:dyDescent="0.25">
      <c r="A256" s="1">
        <v>0.99590000000000001</v>
      </c>
      <c r="B256" s="9" t="s">
        <v>2956</v>
      </c>
      <c r="C256" s="2">
        <v>3446</v>
      </c>
      <c r="D256" s="2" t="s">
        <v>891</v>
      </c>
      <c r="E256" s="9" t="s">
        <v>299</v>
      </c>
      <c r="F256" s="9" t="s">
        <v>2163</v>
      </c>
      <c r="G256" s="1">
        <v>1122.5847000000001</v>
      </c>
      <c r="H256" s="2">
        <v>655</v>
      </c>
      <c r="I256" s="2">
        <v>2</v>
      </c>
      <c r="J256" s="1">
        <v>1122.6956</v>
      </c>
      <c r="K256" s="1">
        <v>562.29960000000005</v>
      </c>
      <c r="L256" s="9" t="s">
        <v>673</v>
      </c>
      <c r="M256" s="2">
        <v>8.35</v>
      </c>
      <c r="N256" s="4">
        <v>7175.83</v>
      </c>
      <c r="O256" s="1">
        <v>98.612910270610172</v>
      </c>
      <c r="P256" s="6">
        <v>35.5</v>
      </c>
      <c r="Q256" s="6">
        <v>24.6</v>
      </c>
      <c r="R256" s="6">
        <v>10.5</v>
      </c>
      <c r="S256" s="6">
        <v>11.1</v>
      </c>
      <c r="T256" s="5">
        <v>1.2999999999999999E-3</v>
      </c>
      <c r="U256" s="1">
        <v>0.1109</v>
      </c>
      <c r="V256" s="1">
        <v>5.8960999999999997</v>
      </c>
    </row>
    <row r="257" spans="1:22" x14ac:dyDescent="0.25">
      <c r="A257" s="1">
        <v>0.99960000000000004</v>
      </c>
      <c r="B257" s="9" t="s">
        <v>2957</v>
      </c>
      <c r="C257" s="2">
        <v>3458</v>
      </c>
      <c r="D257" s="2" t="s">
        <v>770</v>
      </c>
      <c r="E257" s="9" t="s">
        <v>289</v>
      </c>
      <c r="F257" s="9" t="s">
        <v>290</v>
      </c>
      <c r="G257" s="1">
        <v>1831.9757</v>
      </c>
      <c r="H257" s="2">
        <v>717</v>
      </c>
      <c r="I257" s="2">
        <v>3</v>
      </c>
      <c r="J257" s="1">
        <v>1832.1193000000001</v>
      </c>
      <c r="K257" s="1">
        <v>611.66579999999999</v>
      </c>
      <c r="L257" s="9" t="s">
        <v>291</v>
      </c>
      <c r="M257" s="2">
        <v>6.17</v>
      </c>
      <c r="N257" s="4">
        <v>7207.13</v>
      </c>
      <c r="O257" s="1">
        <v>78.256241670969132</v>
      </c>
      <c r="P257" s="6">
        <v>38.700000000000003</v>
      </c>
      <c r="Q257" s="6">
        <v>25.7</v>
      </c>
      <c r="R257" s="6">
        <v>11.7</v>
      </c>
      <c r="S257" s="6">
        <v>10.6</v>
      </c>
      <c r="T257" s="5">
        <v>1.4999999999999999E-4</v>
      </c>
      <c r="U257" s="1">
        <v>0.14360000000000001</v>
      </c>
      <c r="V257" s="1">
        <v>6.702</v>
      </c>
    </row>
    <row r="258" spans="1:22" x14ac:dyDescent="0.25">
      <c r="A258" s="1">
        <v>0.98919999999999997</v>
      </c>
      <c r="B258" s="9" t="s">
        <v>2958</v>
      </c>
      <c r="C258" s="2">
        <v>3467</v>
      </c>
      <c r="D258" s="2" t="s">
        <v>306</v>
      </c>
      <c r="E258" s="9" t="s">
        <v>2959</v>
      </c>
      <c r="F258" s="9" t="s">
        <v>2960</v>
      </c>
      <c r="G258" s="1">
        <v>1070.7137</v>
      </c>
      <c r="H258" s="2">
        <v>290</v>
      </c>
      <c r="I258" s="2">
        <v>2</v>
      </c>
      <c r="J258" s="1">
        <v>1070.913</v>
      </c>
      <c r="K258" s="1">
        <v>536.36410000000001</v>
      </c>
      <c r="L258" s="9" t="s">
        <v>2961</v>
      </c>
      <c r="M258" s="2">
        <v>10</v>
      </c>
      <c r="N258" s="4">
        <v>7229.2</v>
      </c>
      <c r="O258" s="1">
        <v>185.78797499683517</v>
      </c>
      <c r="P258" s="6">
        <v>30</v>
      </c>
      <c r="Q258" s="6">
        <v>22.4</v>
      </c>
      <c r="R258" s="6">
        <v>12.1</v>
      </c>
      <c r="S258" s="6">
        <v>11.7</v>
      </c>
      <c r="T258" s="5">
        <v>6.3E-3</v>
      </c>
      <c r="U258" s="1">
        <v>0.1993</v>
      </c>
      <c r="V258" s="1">
        <v>4.6994999999999996</v>
      </c>
    </row>
    <row r="259" spans="1:22" x14ac:dyDescent="0.25">
      <c r="A259" s="1">
        <v>1</v>
      </c>
      <c r="B259" s="9" t="s">
        <v>2962</v>
      </c>
      <c r="C259" s="2">
        <v>3484</v>
      </c>
      <c r="D259" s="2" t="s">
        <v>333</v>
      </c>
      <c r="E259" s="9" t="s">
        <v>289</v>
      </c>
      <c r="F259" s="9" t="s">
        <v>290</v>
      </c>
      <c r="G259" s="1">
        <v>1831.9757</v>
      </c>
      <c r="H259" s="2">
        <v>511</v>
      </c>
      <c r="I259" s="2">
        <v>3</v>
      </c>
      <c r="J259" s="1">
        <v>1832.1238000000001</v>
      </c>
      <c r="K259" s="1">
        <v>611.66579999999999</v>
      </c>
      <c r="L259" s="9" t="s">
        <v>291</v>
      </c>
      <c r="M259" s="2">
        <v>6.17</v>
      </c>
      <c r="N259" s="4">
        <v>7268.87</v>
      </c>
      <c r="O259" s="1">
        <v>80.708561221939604</v>
      </c>
      <c r="P259" s="6">
        <v>40.9</v>
      </c>
      <c r="Q259" s="6">
        <v>22.4</v>
      </c>
      <c r="R259" s="6">
        <v>11</v>
      </c>
      <c r="S259" s="6">
        <v>11.1</v>
      </c>
      <c r="T259" s="5">
        <v>1.2999999999999999E-5</v>
      </c>
      <c r="U259" s="1">
        <v>0.14810000000000001</v>
      </c>
      <c r="V259" s="1">
        <v>8.6313999999999993</v>
      </c>
    </row>
    <row r="260" spans="1:22" x14ac:dyDescent="0.25">
      <c r="A260" s="1">
        <v>0.99939999999999996</v>
      </c>
      <c r="B260" s="9" t="s">
        <v>2963</v>
      </c>
      <c r="C260" s="2">
        <v>3510</v>
      </c>
      <c r="D260" s="2" t="s">
        <v>2767</v>
      </c>
      <c r="E260" s="9" t="s">
        <v>289</v>
      </c>
      <c r="F260" s="9" t="s">
        <v>290</v>
      </c>
      <c r="G260" s="1">
        <v>1831.9757</v>
      </c>
      <c r="H260" s="2">
        <v>385</v>
      </c>
      <c r="I260" s="2">
        <v>3</v>
      </c>
      <c r="J260" s="1">
        <v>1832.1404</v>
      </c>
      <c r="K260" s="1">
        <v>611.66579999999999</v>
      </c>
      <c r="L260" s="9" t="s">
        <v>291</v>
      </c>
      <c r="M260" s="2">
        <v>6.17</v>
      </c>
      <c r="N260" s="4">
        <v>7333.83</v>
      </c>
      <c r="O260" s="1">
        <v>89.754895565519604</v>
      </c>
      <c r="P260" s="6">
        <v>28.2</v>
      </c>
      <c r="Q260" s="6">
        <v>22.2</v>
      </c>
      <c r="R260" s="6">
        <v>11</v>
      </c>
      <c r="S260" s="6">
        <v>11.5</v>
      </c>
      <c r="T260" s="5">
        <v>9.1E-4</v>
      </c>
      <c r="U260" s="1">
        <v>0.16470000000000001</v>
      </c>
      <c r="V260" s="1">
        <v>5.08</v>
      </c>
    </row>
    <row r="261" spans="1:22" x14ac:dyDescent="0.25">
      <c r="A261" s="1">
        <v>1</v>
      </c>
      <c r="B261" s="9" t="s">
        <v>2964</v>
      </c>
      <c r="C261" s="2">
        <v>3535</v>
      </c>
      <c r="D261" s="2" t="s">
        <v>163</v>
      </c>
      <c r="E261" s="9" t="s">
        <v>289</v>
      </c>
      <c r="F261" s="9" t="s">
        <v>290</v>
      </c>
      <c r="G261" s="1">
        <v>1831.9757</v>
      </c>
      <c r="H261" s="2">
        <v>386</v>
      </c>
      <c r="I261" s="2">
        <v>3</v>
      </c>
      <c r="J261" s="1">
        <v>1832.1295</v>
      </c>
      <c r="K261" s="1">
        <v>611.66579999999999</v>
      </c>
      <c r="L261" s="9" t="s">
        <v>291</v>
      </c>
      <c r="M261" s="2">
        <v>6.17</v>
      </c>
      <c r="N261" s="4">
        <v>7395.5</v>
      </c>
      <c r="O261" s="1">
        <v>83.814832653168878</v>
      </c>
      <c r="P261" s="6">
        <v>35.200000000000003</v>
      </c>
      <c r="Q261" s="6">
        <v>19.8</v>
      </c>
      <c r="R261" s="6">
        <v>11.3</v>
      </c>
      <c r="S261" s="6">
        <v>10.9</v>
      </c>
      <c r="T261" s="5">
        <v>6.9999999999999999E-6</v>
      </c>
      <c r="U261" s="1">
        <v>0.15379999999999999</v>
      </c>
      <c r="V261" s="1">
        <v>8.8831000000000007</v>
      </c>
    </row>
    <row r="262" spans="1:22" x14ac:dyDescent="0.25">
      <c r="A262" s="1">
        <v>0.99980000000000002</v>
      </c>
      <c r="B262" s="9" t="s">
        <v>2965</v>
      </c>
      <c r="C262" s="2">
        <v>3562</v>
      </c>
      <c r="D262" s="2" t="s">
        <v>770</v>
      </c>
      <c r="E262" s="9" t="s">
        <v>289</v>
      </c>
      <c r="F262" s="9" t="s">
        <v>290</v>
      </c>
      <c r="G262" s="1">
        <v>1831.9757</v>
      </c>
      <c r="H262" s="2">
        <v>333</v>
      </c>
      <c r="I262" s="2">
        <v>3</v>
      </c>
      <c r="J262" s="1">
        <v>1832.1306</v>
      </c>
      <c r="K262" s="1">
        <v>611.66579999999999</v>
      </c>
      <c r="L262" s="9" t="s">
        <v>291</v>
      </c>
      <c r="M262" s="2">
        <v>6.17</v>
      </c>
      <c r="N262" s="4">
        <v>7458.73</v>
      </c>
      <c r="O262" s="1">
        <v>84.41428854340613</v>
      </c>
      <c r="P262" s="6">
        <v>40.4</v>
      </c>
      <c r="Q262" s="6">
        <v>24.5</v>
      </c>
      <c r="R262" s="6">
        <v>12.1</v>
      </c>
      <c r="S262" s="6">
        <v>11.3</v>
      </c>
      <c r="T262" s="5">
        <v>5.8999999999999998E-5</v>
      </c>
      <c r="U262" s="1">
        <v>0.15490000000000001</v>
      </c>
      <c r="V262" s="1">
        <v>7.5088999999999997</v>
      </c>
    </row>
    <row r="263" spans="1:22" x14ac:dyDescent="0.25">
      <c r="A263" s="1">
        <v>0.98740000000000006</v>
      </c>
      <c r="B263" s="9" t="s">
        <v>2966</v>
      </c>
      <c r="C263" s="2">
        <v>4213</v>
      </c>
      <c r="D263" s="2" t="s">
        <v>298</v>
      </c>
      <c r="E263" s="9" t="s">
        <v>299</v>
      </c>
      <c r="F263" s="9" t="s">
        <v>2163</v>
      </c>
      <c r="G263" s="1">
        <v>1122.5847000000001</v>
      </c>
      <c r="H263" s="2">
        <v>389</v>
      </c>
      <c r="I263" s="2">
        <v>2</v>
      </c>
      <c r="J263" s="1">
        <v>1122.655</v>
      </c>
      <c r="K263" s="1">
        <v>562.29960000000005</v>
      </c>
      <c r="L263" s="9" t="s">
        <v>673</v>
      </c>
      <c r="M263" s="2">
        <v>8.35</v>
      </c>
      <c r="N263" s="4">
        <v>8202.2099999999991</v>
      </c>
      <c r="O263" s="1">
        <v>62.51115953132458</v>
      </c>
      <c r="P263" s="6">
        <v>39.4</v>
      </c>
      <c r="Q263" s="6">
        <v>29.1</v>
      </c>
      <c r="R263" s="6">
        <v>10.3</v>
      </c>
      <c r="S263" s="6">
        <v>11.1</v>
      </c>
      <c r="T263" s="5">
        <v>4.4000000000000003E-3</v>
      </c>
      <c r="U263" s="1">
        <v>7.0300000000000001E-2</v>
      </c>
      <c r="V263" s="1">
        <v>4.9482999999999997</v>
      </c>
    </row>
    <row r="264" spans="1:22" x14ac:dyDescent="0.25">
      <c r="A264" s="1">
        <v>1</v>
      </c>
      <c r="B264" s="9" t="s">
        <v>2967</v>
      </c>
      <c r="C264" s="2">
        <v>4216</v>
      </c>
      <c r="D264" s="2" t="s">
        <v>807</v>
      </c>
      <c r="E264" s="9" t="s">
        <v>289</v>
      </c>
      <c r="F264" s="9" t="s">
        <v>290</v>
      </c>
      <c r="G264" s="1">
        <v>1831.9757</v>
      </c>
      <c r="H264" s="2">
        <v>55</v>
      </c>
      <c r="I264" s="2">
        <v>3</v>
      </c>
      <c r="J264" s="1">
        <v>1832.1275000000001</v>
      </c>
      <c r="K264" s="1">
        <v>611.66579999999999</v>
      </c>
      <c r="L264" s="9" t="s">
        <v>291</v>
      </c>
      <c r="M264" s="2">
        <v>6.17</v>
      </c>
      <c r="N264" s="4">
        <v>8212.6299999999992</v>
      </c>
      <c r="O264" s="1">
        <v>82.72491285273756</v>
      </c>
      <c r="P264" s="6">
        <v>30.4</v>
      </c>
      <c r="Q264" s="6">
        <v>19.7</v>
      </c>
      <c r="R264" s="6">
        <v>11.8</v>
      </c>
      <c r="S264" s="6">
        <v>10.8</v>
      </c>
      <c r="T264" s="5">
        <v>2.4000000000000001E-4</v>
      </c>
      <c r="U264" s="1">
        <v>0.15179999999999999</v>
      </c>
      <c r="V264" s="1">
        <v>6.5366</v>
      </c>
    </row>
    <row r="265" spans="1:22" x14ac:dyDescent="0.25">
      <c r="A265" s="1">
        <v>0.96409999999999996</v>
      </c>
      <c r="B265" s="9" t="s">
        <v>2968</v>
      </c>
      <c r="C265" s="2">
        <v>4412</v>
      </c>
      <c r="D265" s="2" t="s">
        <v>807</v>
      </c>
      <c r="E265" s="9" t="s">
        <v>2969</v>
      </c>
      <c r="F265" s="9" t="s">
        <v>2970</v>
      </c>
      <c r="G265" s="1">
        <v>1580.9617000000001</v>
      </c>
      <c r="H265" s="2">
        <v>226</v>
      </c>
      <c r="I265" s="2">
        <v>3</v>
      </c>
      <c r="J265" s="1">
        <v>1581.2674</v>
      </c>
      <c r="K265" s="1">
        <v>527.99450000000002</v>
      </c>
      <c r="L265" s="9" t="s">
        <v>2971</v>
      </c>
      <c r="M265" s="2">
        <v>11.17</v>
      </c>
      <c r="N265" s="4">
        <v>1632.48</v>
      </c>
      <c r="O265" s="1">
        <v>192.994434601118</v>
      </c>
      <c r="P265" s="6">
        <v>23.9</v>
      </c>
      <c r="Q265" s="6">
        <v>15.8</v>
      </c>
      <c r="R265" s="6">
        <v>7.6</v>
      </c>
      <c r="S265" s="6">
        <v>8.5</v>
      </c>
      <c r="T265" s="5">
        <v>8.5999999999999993E-2</v>
      </c>
      <c r="U265" s="1">
        <v>0.30570000000000003</v>
      </c>
      <c r="V265" s="1">
        <v>3.323</v>
      </c>
    </row>
    <row r="266" spans="1:22" x14ac:dyDescent="0.25">
      <c r="A266" s="1">
        <v>0.99339999999999995</v>
      </c>
      <c r="B266" s="9" t="s">
        <v>2972</v>
      </c>
      <c r="C266" s="2">
        <v>4422</v>
      </c>
      <c r="D266" s="2" t="s">
        <v>2973</v>
      </c>
      <c r="E266" s="9" t="s">
        <v>2974</v>
      </c>
      <c r="F266" s="9" t="s">
        <v>2975</v>
      </c>
      <c r="G266" s="1">
        <v>1087.3297</v>
      </c>
      <c r="H266" s="2">
        <v>201</v>
      </c>
      <c r="I266" s="2">
        <v>2</v>
      </c>
      <c r="J266" s="1">
        <v>1087.1143999999999</v>
      </c>
      <c r="K266" s="1">
        <v>544.6721</v>
      </c>
      <c r="L266" s="9" t="s">
        <v>2976</v>
      </c>
      <c r="M266" s="2">
        <v>3.91</v>
      </c>
      <c r="N266" s="4">
        <v>1877.41</v>
      </c>
      <c r="O266" s="1">
        <v>-197.64184726921022</v>
      </c>
      <c r="P266" s="6">
        <v>19.100000000000001</v>
      </c>
      <c r="Q266" s="6">
        <v>12.1</v>
      </c>
      <c r="R266" s="6">
        <v>0</v>
      </c>
      <c r="S266" s="6">
        <v>13.6</v>
      </c>
      <c r="T266" s="5">
        <v>1.9E-2</v>
      </c>
      <c r="U266" s="1">
        <v>-0.21529999999999999</v>
      </c>
      <c r="V266" s="1">
        <v>4.7152000000000003</v>
      </c>
    </row>
    <row r="267" spans="1:22" x14ac:dyDescent="0.25">
      <c r="A267" s="1">
        <v>0.99939999999999996</v>
      </c>
      <c r="B267" s="9" t="s">
        <v>2977</v>
      </c>
      <c r="C267" s="2">
        <v>4432</v>
      </c>
      <c r="D267" s="2" t="s">
        <v>1002</v>
      </c>
      <c r="E267" s="9" t="s">
        <v>79</v>
      </c>
      <c r="F267" s="9" t="s">
        <v>80</v>
      </c>
      <c r="G267" s="1">
        <v>1140.5237</v>
      </c>
      <c r="H267" s="2">
        <v>202</v>
      </c>
      <c r="I267" s="2">
        <v>2</v>
      </c>
      <c r="J267" s="1">
        <v>1140.5758000000001</v>
      </c>
      <c r="K267" s="1">
        <v>571.26909999999998</v>
      </c>
      <c r="L267" s="9" t="s">
        <v>81</v>
      </c>
      <c r="M267" s="2">
        <v>5.47</v>
      </c>
      <c r="N267" s="4">
        <v>2106.63</v>
      </c>
      <c r="O267" s="1">
        <v>45.600225883038313</v>
      </c>
      <c r="P267" s="6">
        <v>51.3</v>
      </c>
      <c r="Q267" s="6">
        <v>28.7</v>
      </c>
      <c r="R267" s="6">
        <v>10.5</v>
      </c>
      <c r="S267" s="6">
        <v>11.9</v>
      </c>
      <c r="T267" s="5">
        <v>9.2E-5</v>
      </c>
      <c r="U267" s="1">
        <v>5.21E-2</v>
      </c>
      <c r="V267" s="1">
        <v>7.3312999999999997</v>
      </c>
    </row>
    <row r="268" spans="1:22" x14ac:dyDescent="0.25">
      <c r="A268" s="1">
        <v>0.95330000000000004</v>
      </c>
      <c r="B268" s="9" t="s">
        <v>2978</v>
      </c>
      <c r="C268" s="2">
        <v>4437</v>
      </c>
      <c r="D268" s="2" t="s">
        <v>2979</v>
      </c>
      <c r="E268" s="9" t="s">
        <v>2980</v>
      </c>
      <c r="F268" s="9" t="s">
        <v>2981</v>
      </c>
      <c r="G268" s="1">
        <v>2321.4097000000002</v>
      </c>
      <c r="H268" s="2">
        <v>553</v>
      </c>
      <c r="I268" s="2">
        <v>4</v>
      </c>
      <c r="J268" s="1">
        <v>2321.3020000000001</v>
      </c>
      <c r="K268" s="1">
        <v>581.35969999999998</v>
      </c>
      <c r="L268" s="9" t="s">
        <v>2982</v>
      </c>
      <c r="M268" s="2">
        <v>11.72</v>
      </c>
      <c r="N268" s="4">
        <v>2221.3200000000002</v>
      </c>
      <c r="O268" s="1">
        <v>-46.31383977939992</v>
      </c>
      <c r="P268" s="6">
        <v>39.9</v>
      </c>
      <c r="Q268" s="6">
        <v>28.6</v>
      </c>
      <c r="R268" s="6">
        <v>10</v>
      </c>
      <c r="S268" s="6">
        <v>9.3000000000000007</v>
      </c>
      <c r="T268" s="5">
        <v>2.5999999999999999E-2</v>
      </c>
      <c r="U268" s="1">
        <v>-0.1077</v>
      </c>
      <c r="V268" s="1">
        <v>3.0987</v>
      </c>
    </row>
    <row r="269" spans="1:22" x14ac:dyDescent="0.25">
      <c r="A269" s="1">
        <v>0.95450000000000002</v>
      </c>
      <c r="B269" s="9" t="s">
        <v>2983</v>
      </c>
      <c r="C269" s="2">
        <v>4439</v>
      </c>
      <c r="D269" s="2" t="s">
        <v>100</v>
      </c>
      <c r="E269" s="9" t="s">
        <v>2493</v>
      </c>
      <c r="F269" s="9" t="s">
        <v>1478</v>
      </c>
      <c r="G269" s="1">
        <v>1490.7537</v>
      </c>
      <c r="H269" s="2">
        <v>898</v>
      </c>
      <c r="I269" s="2">
        <v>3</v>
      </c>
      <c r="J269" s="1">
        <v>1490.8251</v>
      </c>
      <c r="K269" s="1">
        <v>497.92520000000002</v>
      </c>
      <c r="L269" s="9" t="s">
        <v>1479</v>
      </c>
      <c r="M269" s="2">
        <v>4.63</v>
      </c>
      <c r="N269" s="4">
        <v>2284.0300000000002</v>
      </c>
      <c r="O269" s="1">
        <v>47.79834400829683</v>
      </c>
      <c r="P269" s="6">
        <v>33.299999999999997</v>
      </c>
      <c r="Q269" s="6">
        <v>28.2</v>
      </c>
      <c r="R269" s="6">
        <v>10.199999999999999</v>
      </c>
      <c r="S269" s="6">
        <v>11.3</v>
      </c>
      <c r="T269" s="5">
        <v>8.7999999999999995E-2</v>
      </c>
      <c r="U269" s="1">
        <v>7.1400000000000005E-2</v>
      </c>
      <c r="V269" s="1">
        <v>2.5891000000000002</v>
      </c>
    </row>
    <row r="270" spans="1:22" x14ac:dyDescent="0.25">
      <c r="A270" s="1">
        <v>0.99960000000000004</v>
      </c>
      <c r="B270" s="9" t="s">
        <v>2984</v>
      </c>
      <c r="C270" s="2">
        <v>4444</v>
      </c>
      <c r="D270" s="2" t="s">
        <v>2452</v>
      </c>
      <c r="E270" s="9" t="s">
        <v>2985</v>
      </c>
      <c r="F270" s="9" t="s">
        <v>151</v>
      </c>
      <c r="G270" s="1">
        <v>2011.0767000000001</v>
      </c>
      <c r="H270" s="2">
        <v>537</v>
      </c>
      <c r="I270" s="2">
        <v>3</v>
      </c>
      <c r="J270" s="1">
        <v>2011.1895999999999</v>
      </c>
      <c r="K270" s="1">
        <v>671.36620000000005</v>
      </c>
      <c r="L270" s="9" t="s">
        <v>152</v>
      </c>
      <c r="M270" s="2">
        <v>8.59</v>
      </c>
      <c r="N270" s="4">
        <v>2430.2199999999998</v>
      </c>
      <c r="O270" s="1">
        <v>56.054852528073837</v>
      </c>
      <c r="P270" s="6">
        <v>35</v>
      </c>
      <c r="Q270" s="6">
        <v>22</v>
      </c>
      <c r="R270" s="6">
        <v>12.5</v>
      </c>
      <c r="S270" s="6">
        <v>9</v>
      </c>
      <c r="T270" s="5">
        <v>1.2999999999999999E-4</v>
      </c>
      <c r="U270" s="1">
        <v>0.1129</v>
      </c>
      <c r="V270" s="1">
        <v>6.0098000000000003</v>
      </c>
    </row>
    <row r="271" spans="1:22" x14ac:dyDescent="0.25">
      <c r="A271" s="1">
        <v>0.99909999999999999</v>
      </c>
      <c r="B271" s="9" t="s">
        <v>2986</v>
      </c>
      <c r="C271" s="2">
        <v>4445</v>
      </c>
      <c r="D271" s="2" t="s">
        <v>2518</v>
      </c>
      <c r="E271" s="9" t="s">
        <v>1202</v>
      </c>
      <c r="F271" s="9" t="s">
        <v>363</v>
      </c>
      <c r="G271" s="1">
        <v>1545.8077000000001</v>
      </c>
      <c r="H271" s="2">
        <v>861</v>
      </c>
      <c r="I271" s="2">
        <v>2</v>
      </c>
      <c r="J271" s="1">
        <v>1545.8563999999999</v>
      </c>
      <c r="K271" s="1">
        <v>773.91110000000003</v>
      </c>
      <c r="L271" s="9" t="s">
        <v>364</v>
      </c>
      <c r="M271" s="2">
        <v>8.59</v>
      </c>
      <c r="N271" s="4">
        <v>2461.54</v>
      </c>
      <c r="O271" s="1">
        <v>31.463562158495982</v>
      </c>
      <c r="P271" s="6">
        <v>66.2</v>
      </c>
      <c r="Q271" s="6">
        <v>36.9</v>
      </c>
      <c r="R271" s="6">
        <v>10.3</v>
      </c>
      <c r="S271" s="6">
        <v>11.5</v>
      </c>
      <c r="T271" s="5">
        <v>3.8E-6</v>
      </c>
      <c r="U271" s="1">
        <v>4.87E-2</v>
      </c>
      <c r="V271" s="1">
        <v>7.6295000000000002</v>
      </c>
    </row>
    <row r="272" spans="1:22" x14ac:dyDescent="0.25">
      <c r="A272" s="1">
        <v>0.96579999999999999</v>
      </c>
      <c r="B272" s="9" t="s">
        <v>2987</v>
      </c>
      <c r="C272" s="2">
        <v>4446</v>
      </c>
      <c r="D272" s="2" t="s">
        <v>2492</v>
      </c>
      <c r="E272" s="9" t="s">
        <v>2524</v>
      </c>
      <c r="F272" s="9" t="s">
        <v>2525</v>
      </c>
      <c r="G272" s="1">
        <v>1395.8017</v>
      </c>
      <c r="H272" s="2">
        <v>538</v>
      </c>
      <c r="I272" s="2">
        <v>3</v>
      </c>
      <c r="J272" s="1">
        <v>1395.8172</v>
      </c>
      <c r="K272" s="1">
        <v>466.27449999999999</v>
      </c>
      <c r="L272" s="9" t="s">
        <v>2526</v>
      </c>
      <c r="M272" s="2">
        <v>10.84</v>
      </c>
      <c r="N272" s="4">
        <v>2471.96</v>
      </c>
      <c r="O272" s="1">
        <v>11.080740350730453</v>
      </c>
      <c r="P272" s="6">
        <v>34.9</v>
      </c>
      <c r="Q272" s="6">
        <v>27.3</v>
      </c>
      <c r="R272" s="6">
        <v>8.9</v>
      </c>
      <c r="S272" s="6">
        <v>8.6999999999999993</v>
      </c>
      <c r="T272" s="5">
        <v>6.4000000000000001E-2</v>
      </c>
      <c r="U272" s="1">
        <v>1.55E-2</v>
      </c>
      <c r="V272" s="1">
        <v>3.1707999999999998</v>
      </c>
    </row>
    <row r="273" spans="1:22" x14ac:dyDescent="0.25">
      <c r="A273" s="1">
        <v>0.99980000000000002</v>
      </c>
      <c r="B273" s="9" t="s">
        <v>2988</v>
      </c>
      <c r="C273" s="2">
        <v>4449</v>
      </c>
      <c r="D273" s="2" t="s">
        <v>469</v>
      </c>
      <c r="E273" s="9" t="s">
        <v>134</v>
      </c>
      <c r="F273" s="9" t="s">
        <v>122</v>
      </c>
      <c r="G273" s="1">
        <v>1996.0667000000001</v>
      </c>
      <c r="H273" s="2">
        <v>539</v>
      </c>
      <c r="I273" s="2">
        <v>3</v>
      </c>
      <c r="J273" s="1">
        <v>1996.114</v>
      </c>
      <c r="K273" s="1">
        <v>666.36279999999999</v>
      </c>
      <c r="L273" s="9" t="s">
        <v>123</v>
      </c>
      <c r="M273" s="2">
        <v>6.33</v>
      </c>
      <c r="N273" s="4">
        <v>2545.02</v>
      </c>
      <c r="O273" s="1">
        <v>23.660784585614127</v>
      </c>
      <c r="P273" s="6">
        <v>43.4</v>
      </c>
      <c r="Q273" s="6">
        <v>27.7</v>
      </c>
      <c r="R273" s="6">
        <v>12.1</v>
      </c>
      <c r="S273" s="6">
        <v>13.3</v>
      </c>
      <c r="T273" s="5">
        <v>6.3E-5</v>
      </c>
      <c r="U273" s="1">
        <v>4.7300000000000002E-2</v>
      </c>
      <c r="V273" s="1">
        <v>6.6464999999999996</v>
      </c>
    </row>
    <row r="274" spans="1:22" x14ac:dyDescent="0.25">
      <c r="A274" s="1">
        <v>0.99909999999999999</v>
      </c>
      <c r="B274" s="9" t="s">
        <v>2989</v>
      </c>
      <c r="C274" s="2">
        <v>4468</v>
      </c>
      <c r="D274" s="2" t="s">
        <v>2518</v>
      </c>
      <c r="E274" s="9" t="s">
        <v>194</v>
      </c>
      <c r="F274" s="9" t="s">
        <v>2585</v>
      </c>
      <c r="G274" s="1">
        <v>1531.8647000000001</v>
      </c>
      <c r="H274" s="2">
        <v>867</v>
      </c>
      <c r="I274" s="2">
        <v>2</v>
      </c>
      <c r="J274" s="1">
        <v>1531.9222</v>
      </c>
      <c r="K274" s="1">
        <v>766.93960000000004</v>
      </c>
      <c r="L274" s="9" t="s">
        <v>2586</v>
      </c>
      <c r="M274" s="2">
        <v>10</v>
      </c>
      <c r="N274" s="4">
        <v>3004.47</v>
      </c>
      <c r="O274" s="1">
        <v>37.486654750908677</v>
      </c>
      <c r="P274" s="6">
        <v>64.7</v>
      </c>
      <c r="Q274" s="6">
        <v>41</v>
      </c>
      <c r="R274" s="6">
        <v>11.1</v>
      </c>
      <c r="S274" s="6">
        <v>10.6</v>
      </c>
      <c r="T274" s="5">
        <v>1.1000000000000001E-6</v>
      </c>
      <c r="U274" s="1">
        <v>5.7500000000000002E-2</v>
      </c>
      <c r="V274" s="1">
        <v>7.8334000000000001</v>
      </c>
    </row>
    <row r="275" spans="1:22" x14ac:dyDescent="0.25">
      <c r="A275" s="1">
        <v>0.99839999999999995</v>
      </c>
      <c r="B275" s="9" t="s">
        <v>2990</v>
      </c>
      <c r="C275" s="2">
        <v>4477</v>
      </c>
      <c r="D275" s="2" t="s">
        <v>2991</v>
      </c>
      <c r="E275" s="9" t="s">
        <v>2608</v>
      </c>
      <c r="F275" s="9" t="s">
        <v>97</v>
      </c>
      <c r="G275" s="1">
        <v>2666.3847000000001</v>
      </c>
      <c r="H275" s="2">
        <v>901</v>
      </c>
      <c r="I275" s="2">
        <v>3</v>
      </c>
      <c r="J275" s="1">
        <v>2666.8035</v>
      </c>
      <c r="K275" s="1">
        <v>889.80219999999997</v>
      </c>
      <c r="L275" s="9" t="s">
        <v>98</v>
      </c>
      <c r="M275" s="2">
        <v>6.25</v>
      </c>
      <c r="N275" s="4">
        <v>3234.16</v>
      </c>
      <c r="O275" s="1">
        <v>156.88880067952181</v>
      </c>
      <c r="P275" s="6">
        <v>39.299999999999997</v>
      </c>
      <c r="Q275" s="6">
        <v>25.3</v>
      </c>
      <c r="R275" s="6">
        <v>11.2</v>
      </c>
      <c r="S275" s="6">
        <v>13.6</v>
      </c>
      <c r="T275" s="5">
        <v>4.4000000000000002E-4</v>
      </c>
      <c r="U275" s="1">
        <v>0.41880000000000001</v>
      </c>
      <c r="V275" s="1">
        <v>4.8095999999999997</v>
      </c>
    </row>
    <row r="276" spans="1:22" x14ac:dyDescent="0.25">
      <c r="A276" s="1">
        <v>0.99839999999999995</v>
      </c>
      <c r="B276" s="9" t="s">
        <v>2992</v>
      </c>
      <c r="C276" s="2">
        <v>4479</v>
      </c>
      <c r="D276" s="2" t="s">
        <v>493</v>
      </c>
      <c r="E276" s="9" t="s">
        <v>2076</v>
      </c>
      <c r="F276" s="9" t="s">
        <v>897</v>
      </c>
      <c r="G276" s="1">
        <v>1431.7391</v>
      </c>
      <c r="H276" s="2">
        <v>205</v>
      </c>
      <c r="I276" s="2">
        <v>2</v>
      </c>
      <c r="J276" s="1">
        <v>1431.7394999999999</v>
      </c>
      <c r="K276" s="1">
        <v>716.8768</v>
      </c>
      <c r="L276" s="9" t="s">
        <v>898</v>
      </c>
      <c r="M276" s="2">
        <v>6.25</v>
      </c>
      <c r="N276" s="4">
        <v>3286.37</v>
      </c>
      <c r="O276" s="1">
        <v>0.27898796557511696</v>
      </c>
      <c r="P276" s="6">
        <v>48.7</v>
      </c>
      <c r="Q276" s="6">
        <v>28.1</v>
      </c>
      <c r="R276" s="6">
        <v>10.4</v>
      </c>
      <c r="S276" s="6">
        <v>10.4</v>
      </c>
      <c r="T276" s="5">
        <v>9.1000000000000003E-5</v>
      </c>
      <c r="U276" s="1">
        <v>4.0000000000000002E-4</v>
      </c>
      <c r="V276" s="1">
        <v>6.4061000000000003</v>
      </c>
    </row>
    <row r="277" spans="1:22" x14ac:dyDescent="0.25">
      <c r="A277" s="1">
        <v>0.99880000000000002</v>
      </c>
      <c r="B277" s="9" t="s">
        <v>2993</v>
      </c>
      <c r="C277" s="2">
        <v>4485</v>
      </c>
      <c r="D277" s="2" t="s">
        <v>2994</v>
      </c>
      <c r="E277" s="9" t="s">
        <v>2630</v>
      </c>
      <c r="F277" s="9" t="s">
        <v>2631</v>
      </c>
      <c r="G277" s="1">
        <v>2103.1007</v>
      </c>
      <c r="H277" s="2">
        <v>922</v>
      </c>
      <c r="I277" s="2">
        <v>4</v>
      </c>
      <c r="J277" s="1">
        <v>2103.2791000000002</v>
      </c>
      <c r="K277" s="1">
        <v>526.78250000000003</v>
      </c>
      <c r="L277" s="9" t="s">
        <v>2632</v>
      </c>
      <c r="M277" s="2">
        <v>8.9</v>
      </c>
      <c r="N277" s="4">
        <v>3411.64</v>
      </c>
      <c r="O277" s="1">
        <v>84.664923379193496</v>
      </c>
      <c r="P277" s="6">
        <v>40.6</v>
      </c>
      <c r="Q277" s="6">
        <v>25.6</v>
      </c>
      <c r="R277" s="6">
        <v>12.1</v>
      </c>
      <c r="S277" s="6">
        <v>13.6</v>
      </c>
      <c r="T277" s="5">
        <v>1.1000000000000001E-3</v>
      </c>
      <c r="U277" s="1">
        <v>0.1784</v>
      </c>
      <c r="V277" s="1">
        <v>5.4535</v>
      </c>
    </row>
    <row r="278" spans="1:22" x14ac:dyDescent="0.25">
      <c r="A278" s="1">
        <v>0.98650000000000004</v>
      </c>
      <c r="B278" s="9" t="s">
        <v>2995</v>
      </c>
      <c r="C278" s="2">
        <v>4491</v>
      </c>
      <c r="D278" s="2" t="s">
        <v>33</v>
      </c>
      <c r="E278" s="9" t="s">
        <v>299</v>
      </c>
      <c r="F278" s="9" t="s">
        <v>2163</v>
      </c>
      <c r="G278" s="1">
        <v>1122.5847000000001</v>
      </c>
      <c r="H278" s="2">
        <v>519</v>
      </c>
      <c r="I278" s="2">
        <v>2</v>
      </c>
      <c r="J278" s="1">
        <v>1122.6766</v>
      </c>
      <c r="K278" s="1">
        <v>562.29960000000005</v>
      </c>
      <c r="L278" s="9" t="s">
        <v>673</v>
      </c>
      <c r="M278" s="2">
        <v>8.35</v>
      </c>
      <c r="N278" s="4">
        <v>3578.9</v>
      </c>
      <c r="O278" s="1">
        <v>81.718002289171096</v>
      </c>
      <c r="P278" s="6">
        <v>44.9</v>
      </c>
      <c r="Q278" s="6">
        <v>34.6</v>
      </c>
      <c r="R278" s="6">
        <v>11.2</v>
      </c>
      <c r="S278" s="6">
        <v>12.5</v>
      </c>
      <c r="T278" s="5">
        <v>8.3999999999999995E-3</v>
      </c>
      <c r="U278" s="1">
        <v>9.1899999999999996E-2</v>
      </c>
      <c r="V278" s="1">
        <v>4.4013999999999998</v>
      </c>
    </row>
    <row r="279" spans="1:22" x14ac:dyDescent="0.25">
      <c r="A279" s="1">
        <v>0.99990000000000001</v>
      </c>
      <c r="B279" s="9" t="s">
        <v>2996</v>
      </c>
      <c r="C279" s="2">
        <v>4500</v>
      </c>
      <c r="D279" s="2" t="s">
        <v>2069</v>
      </c>
      <c r="E279" s="9" t="s">
        <v>289</v>
      </c>
      <c r="F279" s="9" t="s">
        <v>290</v>
      </c>
      <c r="G279" s="1">
        <v>1831.9757</v>
      </c>
      <c r="H279" s="2">
        <v>231</v>
      </c>
      <c r="I279" s="2">
        <v>3</v>
      </c>
      <c r="J279" s="1">
        <v>1832.1512</v>
      </c>
      <c r="K279" s="1">
        <v>611.66579999999999</v>
      </c>
      <c r="L279" s="9" t="s">
        <v>291</v>
      </c>
      <c r="M279" s="2">
        <v>6.17</v>
      </c>
      <c r="N279" s="4">
        <v>3787.85</v>
      </c>
      <c r="O279" s="1">
        <v>95.640462487848751</v>
      </c>
      <c r="P279" s="6">
        <v>44.3</v>
      </c>
      <c r="Q279" s="6">
        <v>29.7</v>
      </c>
      <c r="R279" s="6">
        <v>11.9</v>
      </c>
      <c r="S279" s="6">
        <v>10.6</v>
      </c>
      <c r="T279" s="5">
        <v>1.1E-4</v>
      </c>
      <c r="U279" s="1">
        <v>0.17549999999999999</v>
      </c>
      <c r="V279" s="1">
        <v>6.8338000000000001</v>
      </c>
    </row>
    <row r="280" spans="1:22" x14ac:dyDescent="0.25">
      <c r="A280" s="1">
        <v>0.99709999999999999</v>
      </c>
      <c r="B280" s="9" t="s">
        <v>2997</v>
      </c>
      <c r="C280" s="2">
        <v>4502</v>
      </c>
      <c r="D280" s="2" t="s">
        <v>316</v>
      </c>
      <c r="E280" s="9" t="s">
        <v>1355</v>
      </c>
      <c r="F280" s="9" t="s">
        <v>1083</v>
      </c>
      <c r="G280" s="1">
        <v>1670.8087</v>
      </c>
      <c r="H280" s="2">
        <v>207</v>
      </c>
      <c r="I280" s="2">
        <v>2</v>
      </c>
      <c r="J280" s="1">
        <v>1670.9465</v>
      </c>
      <c r="K280" s="1">
        <v>836.41160000000002</v>
      </c>
      <c r="L280" s="9" t="s">
        <v>1084</v>
      </c>
      <c r="M280" s="2">
        <v>5.51</v>
      </c>
      <c r="N280" s="4">
        <v>3860.99</v>
      </c>
      <c r="O280" s="1">
        <v>82.375710714676842</v>
      </c>
      <c r="P280" s="6">
        <v>38.9</v>
      </c>
      <c r="Q280" s="6">
        <v>23.7</v>
      </c>
      <c r="R280" s="6">
        <v>10.4</v>
      </c>
      <c r="S280" s="6">
        <v>9.4</v>
      </c>
      <c r="T280" s="5">
        <v>3.6000000000000002E-4</v>
      </c>
      <c r="U280" s="1">
        <v>0.13780000000000001</v>
      </c>
      <c r="V280" s="1">
        <v>5.4617000000000004</v>
      </c>
    </row>
    <row r="281" spans="1:22" x14ac:dyDescent="0.25">
      <c r="A281" s="1">
        <v>1</v>
      </c>
      <c r="B281" s="9" t="s">
        <v>2998</v>
      </c>
      <c r="C281" s="2">
        <v>4511</v>
      </c>
      <c r="D281" s="2" t="s">
        <v>2999</v>
      </c>
      <c r="E281" s="9" t="s">
        <v>1406</v>
      </c>
      <c r="F281" s="9" t="s">
        <v>2718</v>
      </c>
      <c r="G281" s="1">
        <v>2287.2837</v>
      </c>
      <c r="H281" s="2">
        <v>232</v>
      </c>
      <c r="I281" s="2">
        <v>3</v>
      </c>
      <c r="J281" s="1">
        <v>2287.4969000000001</v>
      </c>
      <c r="K281" s="1">
        <v>763.43520000000001</v>
      </c>
      <c r="L281" s="9" t="s">
        <v>1408</v>
      </c>
      <c r="M281" s="2">
        <v>10.84</v>
      </c>
      <c r="N281" s="4">
        <v>4132.71</v>
      </c>
      <c r="O281" s="1">
        <v>93.08801410606516</v>
      </c>
      <c r="P281" s="6">
        <v>58.1</v>
      </c>
      <c r="Q281" s="6">
        <v>27.2</v>
      </c>
      <c r="R281" s="6">
        <v>10.5</v>
      </c>
      <c r="S281" s="6">
        <v>9.6</v>
      </c>
      <c r="T281" s="5">
        <v>3.4E-8</v>
      </c>
      <c r="U281" s="1">
        <v>0.2132</v>
      </c>
      <c r="V281" s="1">
        <v>9.8005999999999993</v>
      </c>
    </row>
    <row r="282" spans="1:22" x14ac:dyDescent="0.25">
      <c r="A282" s="1">
        <v>0.99850000000000005</v>
      </c>
      <c r="B282" s="9" t="s">
        <v>3000</v>
      </c>
      <c r="C282" s="2">
        <v>4515</v>
      </c>
      <c r="D282" s="2" t="s">
        <v>3001</v>
      </c>
      <c r="E282" s="9" t="s">
        <v>3002</v>
      </c>
      <c r="F282" s="9" t="s">
        <v>1014</v>
      </c>
      <c r="G282" s="1">
        <v>2554.1736999999998</v>
      </c>
      <c r="H282" s="2">
        <v>923</v>
      </c>
      <c r="I282" s="2">
        <v>4</v>
      </c>
      <c r="J282" s="1">
        <v>2554.5070000000001</v>
      </c>
      <c r="K282" s="1">
        <v>639.55070000000001</v>
      </c>
      <c r="L282" s="9" t="s">
        <v>1015</v>
      </c>
      <c r="M282" s="2">
        <v>5.31</v>
      </c>
      <c r="N282" s="4">
        <v>4226.79</v>
      </c>
      <c r="O282" s="1">
        <v>130.28677788954028</v>
      </c>
      <c r="P282" s="6">
        <v>44.9</v>
      </c>
      <c r="Q282" s="6">
        <v>30.3</v>
      </c>
      <c r="R282" s="6">
        <v>11.4</v>
      </c>
      <c r="S282" s="6">
        <v>11.3</v>
      </c>
      <c r="T282" s="5">
        <v>2.5999999999999998E-4</v>
      </c>
      <c r="U282" s="1">
        <v>0.33329999999999999</v>
      </c>
      <c r="V282" s="1">
        <v>5.2218</v>
      </c>
    </row>
    <row r="283" spans="1:22" x14ac:dyDescent="0.25">
      <c r="A283" s="1">
        <v>0.99109999999999998</v>
      </c>
      <c r="B283" s="9" t="s">
        <v>3003</v>
      </c>
      <c r="C283" s="2">
        <v>4519</v>
      </c>
      <c r="D283" s="2" t="s">
        <v>423</v>
      </c>
      <c r="E283" s="9" t="s">
        <v>407</v>
      </c>
      <c r="F283" s="9" t="s">
        <v>290</v>
      </c>
      <c r="G283" s="1">
        <v>1645.8597</v>
      </c>
      <c r="H283" s="2">
        <v>524</v>
      </c>
      <c r="I283" s="2">
        <v>2</v>
      </c>
      <c r="J283" s="1">
        <v>1645.9809</v>
      </c>
      <c r="K283" s="1">
        <v>823.93709999999999</v>
      </c>
      <c r="L283" s="9" t="s">
        <v>291</v>
      </c>
      <c r="M283" s="2">
        <v>4.8499999999999996</v>
      </c>
      <c r="N283" s="4">
        <v>4320.9399999999996</v>
      </c>
      <c r="O283" s="1">
        <v>73.549303702916163</v>
      </c>
      <c r="P283" s="6">
        <v>36.700000000000003</v>
      </c>
      <c r="Q283" s="6">
        <v>24.9</v>
      </c>
      <c r="R283" s="6">
        <v>9.3000000000000007</v>
      </c>
      <c r="S283" s="6">
        <v>10.8</v>
      </c>
      <c r="T283" s="5">
        <v>1.2999999999999999E-3</v>
      </c>
      <c r="U283" s="1">
        <v>0.1212</v>
      </c>
      <c r="V283" s="1">
        <v>4.7758000000000003</v>
      </c>
    </row>
    <row r="284" spans="1:22" x14ac:dyDescent="0.25">
      <c r="A284" s="1">
        <v>0.96919999999999995</v>
      </c>
      <c r="B284" s="9" t="s">
        <v>3004</v>
      </c>
      <c r="C284" s="2">
        <v>4523</v>
      </c>
      <c r="D284" s="2" t="s">
        <v>451</v>
      </c>
      <c r="E284" s="9" t="s">
        <v>1422</v>
      </c>
      <c r="F284" s="9" t="s">
        <v>340</v>
      </c>
      <c r="G284" s="1">
        <v>1774.9537</v>
      </c>
      <c r="H284" s="2">
        <v>525</v>
      </c>
      <c r="I284" s="2">
        <v>2</v>
      </c>
      <c r="J284" s="1">
        <v>1775.1086</v>
      </c>
      <c r="K284" s="1">
        <v>888.48410000000001</v>
      </c>
      <c r="L284" s="9" t="s">
        <v>341</v>
      </c>
      <c r="M284" s="2">
        <v>6.24</v>
      </c>
      <c r="N284" s="4">
        <v>4446.3999999999996</v>
      </c>
      <c r="O284" s="1">
        <v>87.170946559426341</v>
      </c>
      <c r="P284" s="6">
        <v>37</v>
      </c>
      <c r="Q284" s="6">
        <v>24.7</v>
      </c>
      <c r="R284" s="6">
        <v>13.2</v>
      </c>
      <c r="S284" s="6">
        <v>11.9</v>
      </c>
      <c r="T284" s="5">
        <v>1.2E-2</v>
      </c>
      <c r="U284" s="1">
        <v>0.15490000000000001</v>
      </c>
      <c r="V284" s="1">
        <v>3.7128000000000001</v>
      </c>
    </row>
    <row r="285" spans="1:22" x14ac:dyDescent="0.25">
      <c r="A285" s="1">
        <v>0.98619999999999997</v>
      </c>
      <c r="B285" s="9" t="s">
        <v>3005</v>
      </c>
      <c r="C285" s="2">
        <v>4527</v>
      </c>
      <c r="D285" s="2" t="s">
        <v>1363</v>
      </c>
      <c r="E285" s="9" t="s">
        <v>2255</v>
      </c>
      <c r="F285" s="9" t="s">
        <v>540</v>
      </c>
      <c r="G285" s="1">
        <v>1596.8257000000001</v>
      </c>
      <c r="H285" s="2">
        <v>209</v>
      </c>
      <c r="I285" s="2">
        <v>2</v>
      </c>
      <c r="J285" s="1">
        <v>1596.8941</v>
      </c>
      <c r="K285" s="1">
        <v>799.42010000000005</v>
      </c>
      <c r="L285" s="9" t="s">
        <v>514</v>
      </c>
      <c r="M285" s="2">
        <v>8.59</v>
      </c>
      <c r="N285" s="4">
        <v>4519.5200000000004</v>
      </c>
      <c r="O285" s="1">
        <v>42.781010885265459</v>
      </c>
      <c r="P285" s="6">
        <v>52.8</v>
      </c>
      <c r="Q285" s="6">
        <v>38.200000000000003</v>
      </c>
      <c r="R285" s="6">
        <v>11.1</v>
      </c>
      <c r="S285" s="6">
        <v>10.8</v>
      </c>
      <c r="T285" s="5">
        <v>1.5E-3</v>
      </c>
      <c r="U285" s="1">
        <v>6.8400000000000002E-2</v>
      </c>
      <c r="V285" s="1">
        <v>4.3628999999999998</v>
      </c>
    </row>
    <row r="286" spans="1:22" x14ac:dyDescent="0.25">
      <c r="A286" s="1">
        <v>0.99909999999999999</v>
      </c>
      <c r="B286" s="9" t="s">
        <v>3006</v>
      </c>
      <c r="C286" s="2">
        <v>4541</v>
      </c>
      <c r="D286" s="2" t="s">
        <v>1603</v>
      </c>
      <c r="E286" s="9" t="s">
        <v>1489</v>
      </c>
      <c r="F286" s="9" t="s">
        <v>1490</v>
      </c>
      <c r="G286" s="1">
        <v>1911.8706999999999</v>
      </c>
      <c r="H286" s="2">
        <v>879</v>
      </c>
      <c r="I286" s="2">
        <v>2</v>
      </c>
      <c r="J286" s="1">
        <v>1912.0985000000001</v>
      </c>
      <c r="K286" s="1">
        <v>956.94259999999997</v>
      </c>
      <c r="L286" s="9" t="s">
        <v>1491</v>
      </c>
      <c r="M286" s="2">
        <v>4.46</v>
      </c>
      <c r="N286" s="4">
        <v>4749.6400000000003</v>
      </c>
      <c r="O286" s="1">
        <v>119.0249028520624</v>
      </c>
      <c r="P286" s="6">
        <v>57.7</v>
      </c>
      <c r="Q286" s="6">
        <v>31.8</v>
      </c>
      <c r="R286" s="6">
        <v>11.4</v>
      </c>
      <c r="S286" s="6">
        <v>12.1</v>
      </c>
      <c r="T286" s="5">
        <v>1.7999999999999999E-6</v>
      </c>
      <c r="U286" s="1">
        <v>0.2278</v>
      </c>
      <c r="V286" s="1">
        <v>7.7190000000000003</v>
      </c>
    </row>
    <row r="287" spans="1:22" x14ac:dyDescent="0.25">
      <c r="A287" s="1">
        <v>0.99870000000000003</v>
      </c>
      <c r="B287" s="9" t="s">
        <v>3007</v>
      </c>
      <c r="C287" s="2">
        <v>4543</v>
      </c>
      <c r="D287" s="2" t="s">
        <v>115</v>
      </c>
      <c r="E287" s="9" t="s">
        <v>1545</v>
      </c>
      <c r="F287" s="9" t="s">
        <v>1546</v>
      </c>
      <c r="G287" s="1">
        <v>1593.8326999999999</v>
      </c>
      <c r="H287" s="2">
        <v>527</v>
      </c>
      <c r="I287" s="2">
        <v>2</v>
      </c>
      <c r="J287" s="1">
        <v>1593.6922</v>
      </c>
      <c r="K287" s="1">
        <v>797.92359999999996</v>
      </c>
      <c r="L287" s="9" t="s">
        <v>1547</v>
      </c>
      <c r="M287" s="2">
        <v>4.9400000000000004</v>
      </c>
      <c r="N287" s="4">
        <v>4781.0600000000004</v>
      </c>
      <c r="O287" s="1">
        <v>-88.041010442603792</v>
      </c>
      <c r="P287" s="6">
        <v>46</v>
      </c>
      <c r="Q287" s="6">
        <v>28</v>
      </c>
      <c r="R287" s="6">
        <v>11.1</v>
      </c>
      <c r="S287" s="6">
        <v>11.9</v>
      </c>
      <c r="T287" s="5">
        <v>1.3999999999999999E-6</v>
      </c>
      <c r="U287" s="1">
        <v>-0.14050000000000001</v>
      </c>
      <c r="V287" s="1">
        <v>8.1179000000000006</v>
      </c>
    </row>
    <row r="288" spans="1:22" x14ac:dyDescent="0.25">
      <c r="A288" s="1">
        <v>0.99909999999999999</v>
      </c>
      <c r="B288" s="9" t="s">
        <v>3008</v>
      </c>
      <c r="C288" s="2">
        <v>4545</v>
      </c>
      <c r="D288" s="2" t="s">
        <v>1337</v>
      </c>
      <c r="E288" s="9" t="s">
        <v>2803</v>
      </c>
      <c r="F288" s="9" t="s">
        <v>1122</v>
      </c>
      <c r="G288" s="1">
        <v>2260.0976999999998</v>
      </c>
      <c r="H288" s="2">
        <v>233</v>
      </c>
      <c r="I288" s="2">
        <v>3</v>
      </c>
      <c r="J288" s="1">
        <v>2260.3121000000001</v>
      </c>
      <c r="K288" s="1">
        <v>754.3732</v>
      </c>
      <c r="L288" s="9" t="s">
        <v>456</v>
      </c>
      <c r="M288" s="2">
        <v>4.8499999999999996</v>
      </c>
      <c r="N288" s="4">
        <v>4812.51</v>
      </c>
      <c r="O288" s="1">
        <v>94.736486750413022</v>
      </c>
      <c r="P288" s="6">
        <v>38.9</v>
      </c>
      <c r="Q288" s="6">
        <v>24</v>
      </c>
      <c r="R288" s="6">
        <v>11</v>
      </c>
      <c r="S288" s="6">
        <v>12.3</v>
      </c>
      <c r="T288" s="5">
        <v>6.8999999999999997E-4</v>
      </c>
      <c r="U288" s="1">
        <v>0.21440000000000001</v>
      </c>
      <c r="V288" s="1">
        <v>5.1681999999999997</v>
      </c>
    </row>
    <row r="289" spans="1:22" x14ac:dyDescent="0.25">
      <c r="A289" s="1">
        <v>0.99980000000000002</v>
      </c>
      <c r="B289" s="9" t="s">
        <v>3009</v>
      </c>
      <c r="C289" s="2">
        <v>4548</v>
      </c>
      <c r="D289" s="2" t="s">
        <v>333</v>
      </c>
      <c r="E289" s="9" t="s">
        <v>289</v>
      </c>
      <c r="F289" s="9" t="s">
        <v>290</v>
      </c>
      <c r="G289" s="1">
        <v>1831.9757</v>
      </c>
      <c r="H289" s="2">
        <v>234</v>
      </c>
      <c r="I289" s="2">
        <v>3</v>
      </c>
      <c r="J289" s="1">
        <v>1832.1873000000001</v>
      </c>
      <c r="K289" s="1">
        <v>611.66579999999999</v>
      </c>
      <c r="L289" s="9" t="s">
        <v>291</v>
      </c>
      <c r="M289" s="2">
        <v>6.17</v>
      </c>
      <c r="N289" s="4">
        <v>4906.71</v>
      </c>
      <c r="O289" s="1">
        <v>115.31351488563418</v>
      </c>
      <c r="P289" s="6">
        <v>39.700000000000003</v>
      </c>
      <c r="Q289" s="6">
        <v>25</v>
      </c>
      <c r="R289" s="6">
        <v>10.3</v>
      </c>
      <c r="S289" s="6">
        <v>10.5</v>
      </c>
      <c r="T289" s="5">
        <v>2.5999999999999998E-4</v>
      </c>
      <c r="U289" s="1">
        <v>0.21160000000000001</v>
      </c>
      <c r="V289" s="1">
        <v>6.5915999999999997</v>
      </c>
    </row>
    <row r="290" spans="1:22" x14ac:dyDescent="0.25">
      <c r="A290" s="1">
        <v>0.99490000000000001</v>
      </c>
      <c r="B290" s="9" t="s">
        <v>3010</v>
      </c>
      <c r="C290" s="2">
        <v>4549</v>
      </c>
      <c r="D290" s="2" t="s">
        <v>280</v>
      </c>
      <c r="E290" s="9" t="s">
        <v>507</v>
      </c>
      <c r="F290" s="9" t="s">
        <v>508</v>
      </c>
      <c r="G290" s="1">
        <v>1634.7766999999999</v>
      </c>
      <c r="H290" s="2">
        <v>214</v>
      </c>
      <c r="I290" s="2">
        <v>2</v>
      </c>
      <c r="J290" s="1">
        <v>1634.9730999999999</v>
      </c>
      <c r="K290" s="1">
        <v>818.39559999999994</v>
      </c>
      <c r="L290" s="9" t="s">
        <v>509</v>
      </c>
      <c r="M290" s="2">
        <v>5.51</v>
      </c>
      <c r="N290" s="4">
        <v>4917.1899999999996</v>
      </c>
      <c r="O290" s="1">
        <v>119.99086994113848</v>
      </c>
      <c r="P290" s="6">
        <v>44.5</v>
      </c>
      <c r="Q290" s="6">
        <v>30</v>
      </c>
      <c r="R290" s="6">
        <v>12</v>
      </c>
      <c r="S290" s="6">
        <v>10.7</v>
      </c>
      <c r="T290" s="5">
        <v>9.5E-4</v>
      </c>
      <c r="U290" s="1">
        <v>0.19639999999999999</v>
      </c>
      <c r="V290" s="1">
        <v>4.9340999999999999</v>
      </c>
    </row>
    <row r="291" spans="1:22" x14ac:dyDescent="0.25">
      <c r="A291" s="1">
        <v>0.95979999999999999</v>
      </c>
      <c r="B291" s="9" t="s">
        <v>3011</v>
      </c>
      <c r="C291" s="2">
        <v>4550</v>
      </c>
      <c r="D291" s="2" t="s">
        <v>621</v>
      </c>
      <c r="E291" s="9" t="s">
        <v>3012</v>
      </c>
      <c r="F291" s="9" t="s">
        <v>3013</v>
      </c>
      <c r="G291" s="1">
        <v>1390.6847</v>
      </c>
      <c r="H291" s="2">
        <v>215</v>
      </c>
      <c r="I291" s="2">
        <v>2</v>
      </c>
      <c r="J291" s="1">
        <v>1390.7446</v>
      </c>
      <c r="K291" s="1">
        <v>696.34960000000001</v>
      </c>
      <c r="L291" s="9" t="s">
        <v>2592</v>
      </c>
      <c r="M291" s="2">
        <v>6.24</v>
      </c>
      <c r="N291" s="4">
        <v>4938.17</v>
      </c>
      <c r="O291" s="1">
        <v>43.01000531916727</v>
      </c>
      <c r="P291" s="6">
        <v>35</v>
      </c>
      <c r="Q291" s="6">
        <v>27.3</v>
      </c>
      <c r="R291" s="6">
        <v>11.3</v>
      </c>
      <c r="S291" s="6">
        <v>9.4</v>
      </c>
      <c r="T291" s="5">
        <v>4.1000000000000002E-2</v>
      </c>
      <c r="U291" s="1">
        <v>5.9900000000000002E-2</v>
      </c>
      <c r="V291" s="1">
        <v>3.1293000000000002</v>
      </c>
    </row>
    <row r="292" spans="1:22" x14ac:dyDescent="0.25">
      <c r="A292" s="1">
        <v>0.99629999999999996</v>
      </c>
      <c r="B292" s="9" t="s">
        <v>3014</v>
      </c>
      <c r="C292" s="2">
        <v>4552</v>
      </c>
      <c r="D292" s="2" t="s">
        <v>178</v>
      </c>
      <c r="E292" s="9" t="s">
        <v>494</v>
      </c>
      <c r="F292" s="9" t="s">
        <v>495</v>
      </c>
      <c r="G292" s="1">
        <v>1368.7327</v>
      </c>
      <c r="H292" s="2">
        <v>216</v>
      </c>
      <c r="I292" s="2">
        <v>2</v>
      </c>
      <c r="J292" s="1">
        <v>1368.7771</v>
      </c>
      <c r="K292" s="1">
        <v>685.37360000000001</v>
      </c>
      <c r="L292" s="9" t="s">
        <v>157</v>
      </c>
      <c r="M292" s="2">
        <v>4.75</v>
      </c>
      <c r="N292" s="4">
        <v>4959.09</v>
      </c>
      <c r="O292" s="1">
        <v>32.391092974692931</v>
      </c>
      <c r="P292" s="6">
        <v>40</v>
      </c>
      <c r="Q292" s="6">
        <v>26.9</v>
      </c>
      <c r="R292" s="6">
        <v>12.5</v>
      </c>
      <c r="S292" s="6">
        <v>11.5</v>
      </c>
      <c r="T292" s="5">
        <v>2.7E-4</v>
      </c>
      <c r="U292" s="1">
        <v>4.4400000000000002E-2</v>
      </c>
      <c r="V292" s="1">
        <v>5.4996999999999998</v>
      </c>
    </row>
    <row r="293" spans="1:22" x14ac:dyDescent="0.25">
      <c r="A293" s="1">
        <v>0.99660000000000004</v>
      </c>
      <c r="B293" s="9" t="s">
        <v>3015</v>
      </c>
      <c r="C293" s="2">
        <v>4553</v>
      </c>
      <c r="D293" s="2" t="s">
        <v>316</v>
      </c>
      <c r="E293" s="9" t="s">
        <v>452</v>
      </c>
      <c r="F293" s="9" t="s">
        <v>222</v>
      </c>
      <c r="G293" s="1">
        <v>1715.7936999999999</v>
      </c>
      <c r="H293" s="2">
        <v>217</v>
      </c>
      <c r="I293" s="2">
        <v>2</v>
      </c>
      <c r="J293" s="1">
        <v>1715.9523999999999</v>
      </c>
      <c r="K293" s="1">
        <v>858.90409999999997</v>
      </c>
      <c r="L293" s="9" t="s">
        <v>223</v>
      </c>
      <c r="M293" s="2">
        <v>4.54</v>
      </c>
      <c r="N293" s="4">
        <v>5000.96</v>
      </c>
      <c r="O293" s="1">
        <v>92.385168495528205</v>
      </c>
      <c r="P293" s="6">
        <v>40.5</v>
      </c>
      <c r="Q293" s="6">
        <v>21.9</v>
      </c>
      <c r="R293" s="6">
        <v>13.7</v>
      </c>
      <c r="S293" s="6">
        <v>8.8000000000000007</v>
      </c>
      <c r="T293" s="5">
        <v>5.2999999999999998E-4</v>
      </c>
      <c r="U293" s="1">
        <v>0.15870000000000001</v>
      </c>
      <c r="V293" s="1">
        <v>5.5891999999999999</v>
      </c>
    </row>
    <row r="294" spans="1:22" x14ac:dyDescent="0.25">
      <c r="A294" s="1">
        <v>0.99660000000000004</v>
      </c>
      <c r="B294" s="9" t="s">
        <v>3016</v>
      </c>
      <c r="C294" s="2">
        <v>4555</v>
      </c>
      <c r="D294" s="2" t="s">
        <v>280</v>
      </c>
      <c r="E294" s="9" t="s">
        <v>2322</v>
      </c>
      <c r="F294" s="9" t="s">
        <v>2323</v>
      </c>
      <c r="G294" s="1">
        <v>1462.7487000000001</v>
      </c>
      <c r="H294" s="2">
        <v>882</v>
      </c>
      <c r="I294" s="2">
        <v>2</v>
      </c>
      <c r="J294" s="1">
        <v>1462.8398999999999</v>
      </c>
      <c r="K294" s="1">
        <v>732.38160000000005</v>
      </c>
      <c r="L294" s="9" t="s">
        <v>2324</v>
      </c>
      <c r="M294" s="2">
        <v>5.84</v>
      </c>
      <c r="N294" s="4">
        <v>5053.34</v>
      </c>
      <c r="O294" s="1">
        <v>62.262623746964692</v>
      </c>
      <c r="P294" s="6">
        <v>46</v>
      </c>
      <c r="Q294" s="6">
        <v>31.6</v>
      </c>
      <c r="R294" s="6">
        <v>12.3</v>
      </c>
      <c r="S294" s="6">
        <v>8.6999999999999993</v>
      </c>
      <c r="T294" s="5">
        <v>3.4000000000000002E-4</v>
      </c>
      <c r="U294" s="1">
        <v>9.1200000000000003E-2</v>
      </c>
      <c r="V294" s="1">
        <v>5.3333000000000004</v>
      </c>
    </row>
    <row r="295" spans="1:22" x14ac:dyDescent="0.25">
      <c r="A295" s="1">
        <v>0.99309999999999998</v>
      </c>
      <c r="B295" s="9" t="s">
        <v>3017</v>
      </c>
      <c r="C295" s="2">
        <v>4560</v>
      </c>
      <c r="D295" s="2" t="s">
        <v>2910</v>
      </c>
      <c r="E295" s="9" t="s">
        <v>2849</v>
      </c>
      <c r="F295" s="9" t="s">
        <v>97</v>
      </c>
      <c r="G295" s="1">
        <v>2497.1587</v>
      </c>
      <c r="H295" s="2">
        <v>914</v>
      </c>
      <c r="I295" s="2">
        <v>3</v>
      </c>
      <c r="J295" s="1">
        <v>2497.5010000000002</v>
      </c>
      <c r="K295" s="1">
        <v>833.39350000000002</v>
      </c>
      <c r="L295" s="9" t="s">
        <v>98</v>
      </c>
      <c r="M295" s="2">
        <v>4.37</v>
      </c>
      <c r="N295" s="4">
        <v>5231.34</v>
      </c>
      <c r="O295" s="1">
        <v>136.91011508969049</v>
      </c>
      <c r="P295" s="6">
        <v>37.4</v>
      </c>
      <c r="Q295" s="6">
        <v>28</v>
      </c>
      <c r="R295" s="6">
        <v>12</v>
      </c>
      <c r="S295" s="6">
        <v>9</v>
      </c>
      <c r="T295" s="5">
        <v>3.0000000000000001E-3</v>
      </c>
      <c r="U295" s="1">
        <v>0.34229999999999999</v>
      </c>
      <c r="V295" s="1">
        <v>3.7486999999999999</v>
      </c>
    </row>
    <row r="296" spans="1:22" x14ac:dyDescent="0.25">
      <c r="A296" s="1">
        <v>0.97560000000000002</v>
      </c>
      <c r="B296" s="9" t="s">
        <v>3018</v>
      </c>
      <c r="C296" s="2">
        <v>4564</v>
      </c>
      <c r="D296" s="2" t="s">
        <v>425</v>
      </c>
      <c r="E296" s="9" t="s">
        <v>546</v>
      </c>
      <c r="F296" s="9" t="s">
        <v>547</v>
      </c>
      <c r="G296" s="1">
        <v>1349.6537000000001</v>
      </c>
      <c r="H296" s="2">
        <v>218</v>
      </c>
      <c r="I296" s="2">
        <v>2</v>
      </c>
      <c r="J296" s="1">
        <v>1349.7637</v>
      </c>
      <c r="K296" s="1">
        <v>675.83410000000003</v>
      </c>
      <c r="L296" s="9" t="s">
        <v>548</v>
      </c>
      <c r="M296" s="2">
        <v>4.32</v>
      </c>
      <c r="N296" s="4">
        <v>5336.1</v>
      </c>
      <c r="O296" s="1">
        <v>81.38091877873579</v>
      </c>
      <c r="P296" s="6">
        <v>35.6</v>
      </c>
      <c r="Q296" s="6">
        <v>28.8</v>
      </c>
      <c r="R296" s="6">
        <v>11.8</v>
      </c>
      <c r="S296" s="6">
        <v>9.5</v>
      </c>
      <c r="T296" s="5">
        <v>5.1000000000000004E-3</v>
      </c>
      <c r="U296" s="1">
        <v>0.11</v>
      </c>
      <c r="V296" s="1">
        <v>3.7202999999999999</v>
      </c>
    </row>
    <row r="297" spans="1:22" x14ac:dyDescent="0.25">
      <c r="A297" s="1">
        <v>0.99390000000000001</v>
      </c>
      <c r="B297" s="9" t="s">
        <v>3019</v>
      </c>
      <c r="C297" s="2">
        <v>4565</v>
      </c>
      <c r="D297" s="2" t="s">
        <v>302</v>
      </c>
      <c r="E297" s="9" t="s">
        <v>584</v>
      </c>
      <c r="F297" s="9" t="s">
        <v>585</v>
      </c>
      <c r="G297" s="1">
        <v>1305.5736999999999</v>
      </c>
      <c r="H297" s="2">
        <v>219</v>
      </c>
      <c r="I297" s="2">
        <v>2</v>
      </c>
      <c r="J297" s="1">
        <v>1305.6813999999999</v>
      </c>
      <c r="K297" s="1">
        <v>653.79409999999996</v>
      </c>
      <c r="L297" s="9" t="s">
        <v>86</v>
      </c>
      <c r="M297" s="2">
        <v>4.71</v>
      </c>
      <c r="N297" s="4">
        <v>5419.9</v>
      </c>
      <c r="O297" s="1">
        <v>82.365380782726561</v>
      </c>
      <c r="P297" s="6">
        <v>35</v>
      </c>
      <c r="Q297" s="6">
        <v>21.9</v>
      </c>
      <c r="R297" s="6">
        <v>11.1</v>
      </c>
      <c r="S297" s="6">
        <v>8.8000000000000007</v>
      </c>
      <c r="T297" s="5">
        <v>4.7999999999999996E-3</v>
      </c>
      <c r="U297" s="1">
        <v>0.1077</v>
      </c>
      <c r="V297" s="1">
        <v>4.7812999999999999</v>
      </c>
    </row>
    <row r="298" spans="1:22" x14ac:dyDescent="0.25">
      <c r="A298" s="1">
        <v>0.99539999999999995</v>
      </c>
      <c r="B298" s="9" t="s">
        <v>3020</v>
      </c>
      <c r="C298" s="2">
        <v>4571</v>
      </c>
      <c r="D298" s="2" t="s">
        <v>630</v>
      </c>
      <c r="E298" s="9" t="s">
        <v>1582</v>
      </c>
      <c r="F298" s="9" t="s">
        <v>897</v>
      </c>
      <c r="G298" s="1">
        <v>1707.8577</v>
      </c>
      <c r="H298" s="2">
        <v>221</v>
      </c>
      <c r="I298" s="2">
        <v>2</v>
      </c>
      <c r="J298" s="1">
        <v>1708.0814</v>
      </c>
      <c r="K298" s="1">
        <v>854.93610000000001</v>
      </c>
      <c r="L298" s="9" t="s">
        <v>898</v>
      </c>
      <c r="M298" s="2">
        <v>6.22</v>
      </c>
      <c r="N298" s="4">
        <v>5524.7</v>
      </c>
      <c r="O298" s="1">
        <v>130.828491158579</v>
      </c>
      <c r="P298" s="6">
        <v>39.200000000000003</v>
      </c>
      <c r="Q298" s="6">
        <v>25</v>
      </c>
      <c r="R298" s="6">
        <v>12.4</v>
      </c>
      <c r="S298" s="6">
        <v>6.8</v>
      </c>
      <c r="T298" s="5">
        <v>2.5999999999999998E-4</v>
      </c>
      <c r="U298" s="1">
        <v>0.22370000000000001</v>
      </c>
      <c r="V298" s="1">
        <v>5.3067000000000002</v>
      </c>
    </row>
    <row r="299" spans="1:22" x14ac:dyDescent="0.25">
      <c r="A299" s="1">
        <v>0.99950000000000006</v>
      </c>
      <c r="B299" s="9" t="s">
        <v>3021</v>
      </c>
      <c r="C299" s="2">
        <v>4572</v>
      </c>
      <c r="D299" s="2" t="s">
        <v>2883</v>
      </c>
      <c r="E299" s="9" t="s">
        <v>1552</v>
      </c>
      <c r="F299" s="9" t="s">
        <v>672</v>
      </c>
      <c r="G299" s="1">
        <v>2243.1257000000001</v>
      </c>
      <c r="H299" s="2">
        <v>549</v>
      </c>
      <c r="I299" s="2">
        <v>3</v>
      </c>
      <c r="J299" s="1">
        <v>2243.0895</v>
      </c>
      <c r="K299" s="1">
        <v>748.71579999999994</v>
      </c>
      <c r="L299" s="9" t="s">
        <v>673</v>
      </c>
      <c r="M299" s="2">
        <v>4.54</v>
      </c>
      <c r="N299" s="4">
        <v>5566.63</v>
      </c>
      <c r="O299" s="1">
        <v>-16.116484608267474</v>
      </c>
      <c r="P299" s="6">
        <v>35.200000000000003</v>
      </c>
      <c r="Q299" s="6">
        <v>20.399999999999999</v>
      </c>
      <c r="R299" s="6">
        <v>11.3</v>
      </c>
      <c r="S299" s="6">
        <v>9.3000000000000007</v>
      </c>
      <c r="T299" s="5">
        <v>2.5999999999999998E-4</v>
      </c>
      <c r="U299" s="1">
        <v>-3.6200000000000003E-2</v>
      </c>
      <c r="V299" s="1">
        <v>5.7720000000000002</v>
      </c>
    </row>
    <row r="300" spans="1:22" x14ac:dyDescent="0.25">
      <c r="A300" s="1">
        <v>0.99990000000000001</v>
      </c>
      <c r="B300" s="9" t="s">
        <v>3022</v>
      </c>
      <c r="C300" s="2">
        <v>4582</v>
      </c>
      <c r="D300" s="2" t="s">
        <v>2069</v>
      </c>
      <c r="E300" s="9" t="s">
        <v>289</v>
      </c>
      <c r="F300" s="9" t="s">
        <v>290</v>
      </c>
      <c r="G300" s="1">
        <v>1831.9757</v>
      </c>
      <c r="H300" s="2">
        <v>235</v>
      </c>
      <c r="I300" s="2">
        <v>3</v>
      </c>
      <c r="J300" s="1">
        <v>1832.1762000000001</v>
      </c>
      <c r="K300" s="1">
        <v>611.66579999999999</v>
      </c>
      <c r="L300" s="9" t="s">
        <v>291</v>
      </c>
      <c r="M300" s="2">
        <v>6.17</v>
      </c>
      <c r="N300" s="4">
        <v>5723.66</v>
      </c>
      <c r="O300" s="1">
        <v>109.26445999324034</v>
      </c>
      <c r="P300" s="6">
        <v>43.5</v>
      </c>
      <c r="Q300" s="6">
        <v>26.6</v>
      </c>
      <c r="R300" s="6">
        <v>11</v>
      </c>
      <c r="S300" s="6">
        <v>11.3</v>
      </c>
      <c r="T300" s="5">
        <v>7.2000000000000002E-5</v>
      </c>
      <c r="U300" s="1">
        <v>0.20050000000000001</v>
      </c>
      <c r="V300" s="1">
        <v>7.3754</v>
      </c>
    </row>
    <row r="301" spans="1:22" x14ac:dyDescent="0.25">
      <c r="A301" s="1">
        <v>0.99970000000000003</v>
      </c>
      <c r="B301" s="9" t="s">
        <v>3023</v>
      </c>
      <c r="C301" s="2">
        <v>4586</v>
      </c>
      <c r="D301" s="2" t="s">
        <v>2337</v>
      </c>
      <c r="E301" s="9" t="s">
        <v>2911</v>
      </c>
      <c r="F301" s="9" t="s">
        <v>2912</v>
      </c>
      <c r="G301" s="1">
        <v>2432.4077000000002</v>
      </c>
      <c r="H301" s="2">
        <v>916</v>
      </c>
      <c r="I301" s="2">
        <v>3</v>
      </c>
      <c r="J301" s="1">
        <v>2432.6988000000001</v>
      </c>
      <c r="K301" s="1">
        <v>811.8098</v>
      </c>
      <c r="L301" s="9" t="s">
        <v>2913</v>
      </c>
      <c r="M301" s="2">
        <v>8.56</v>
      </c>
      <c r="N301" s="4">
        <v>5807.41</v>
      </c>
      <c r="O301" s="1">
        <v>119.52717660384654</v>
      </c>
      <c r="P301" s="6">
        <v>41.1</v>
      </c>
      <c r="Q301" s="6">
        <v>24.7</v>
      </c>
      <c r="R301" s="6">
        <v>10.4</v>
      </c>
      <c r="S301" s="6">
        <v>13.4</v>
      </c>
      <c r="T301" s="5">
        <v>4.6E-5</v>
      </c>
      <c r="U301" s="1">
        <v>0.29110000000000003</v>
      </c>
      <c r="V301" s="1">
        <v>6.1599000000000004</v>
      </c>
    </row>
    <row r="302" spans="1:22" x14ac:dyDescent="0.25">
      <c r="A302" s="1">
        <v>0.96850000000000003</v>
      </c>
      <c r="B302" s="9" t="s">
        <v>3024</v>
      </c>
      <c r="C302" s="2">
        <v>4589</v>
      </c>
      <c r="D302" s="2" t="s">
        <v>163</v>
      </c>
      <c r="E302" s="9" t="s">
        <v>289</v>
      </c>
      <c r="F302" s="9" t="s">
        <v>290</v>
      </c>
      <c r="G302" s="1">
        <v>1831.9757</v>
      </c>
      <c r="H302" s="2">
        <v>236</v>
      </c>
      <c r="I302" s="2">
        <v>3</v>
      </c>
      <c r="J302" s="1">
        <v>1833.2230999999999</v>
      </c>
      <c r="K302" s="1">
        <v>611.66579999999999</v>
      </c>
      <c r="L302" s="9" t="s">
        <v>291</v>
      </c>
      <c r="M302" s="2">
        <v>6.17</v>
      </c>
      <c r="N302" s="4">
        <v>5859.79</v>
      </c>
      <c r="O302" s="1">
        <v>132.99473884813139</v>
      </c>
      <c r="P302" s="6">
        <v>34.1</v>
      </c>
      <c r="Q302" s="6">
        <v>23.4</v>
      </c>
      <c r="R302" s="6">
        <v>9.9</v>
      </c>
      <c r="S302" s="6">
        <v>10.199999999999999</v>
      </c>
      <c r="T302" s="5">
        <v>7.6E-3</v>
      </c>
      <c r="U302" s="1">
        <v>1.2474000000000001</v>
      </c>
      <c r="V302" s="1">
        <v>4.4855</v>
      </c>
    </row>
    <row r="303" spans="1:22" x14ac:dyDescent="0.25">
      <c r="A303" s="1">
        <v>0.98650000000000004</v>
      </c>
      <c r="B303" s="9" t="s">
        <v>3025</v>
      </c>
      <c r="C303" s="2">
        <v>4590</v>
      </c>
      <c r="D303" s="2" t="s">
        <v>423</v>
      </c>
      <c r="E303" s="9" t="s">
        <v>626</v>
      </c>
      <c r="F303" s="9" t="s">
        <v>627</v>
      </c>
      <c r="G303" s="1">
        <v>1529.7547</v>
      </c>
      <c r="H303" s="2">
        <v>888</v>
      </c>
      <c r="I303" s="2">
        <v>2</v>
      </c>
      <c r="J303" s="1">
        <v>1529.8891000000001</v>
      </c>
      <c r="K303" s="1">
        <v>765.88459999999998</v>
      </c>
      <c r="L303" s="9" t="s">
        <v>628</v>
      </c>
      <c r="M303" s="2">
        <v>4.3499999999999996</v>
      </c>
      <c r="N303" s="4">
        <v>5880.74</v>
      </c>
      <c r="O303" s="1">
        <v>87.74167805437007</v>
      </c>
      <c r="P303" s="6">
        <v>37.299999999999997</v>
      </c>
      <c r="Q303" s="6">
        <v>26.4</v>
      </c>
      <c r="R303" s="6">
        <v>12</v>
      </c>
      <c r="S303" s="6">
        <v>12.4</v>
      </c>
      <c r="T303" s="5">
        <v>5.1000000000000004E-3</v>
      </c>
      <c r="U303" s="1">
        <v>0.13439999999999999</v>
      </c>
      <c r="V303" s="1">
        <v>4.0392000000000001</v>
      </c>
    </row>
    <row r="304" spans="1:22" x14ac:dyDescent="0.25">
      <c r="A304" s="1">
        <v>0.99739999999999995</v>
      </c>
      <c r="B304" s="9" t="s">
        <v>3026</v>
      </c>
      <c r="C304" s="2">
        <v>4592</v>
      </c>
      <c r="D304" s="2" t="s">
        <v>1772</v>
      </c>
      <c r="E304" s="9" t="s">
        <v>2920</v>
      </c>
      <c r="F304" s="9" t="s">
        <v>2912</v>
      </c>
      <c r="G304" s="1">
        <v>1907.0916999999999</v>
      </c>
      <c r="H304" s="2">
        <v>889</v>
      </c>
      <c r="I304" s="2">
        <v>2</v>
      </c>
      <c r="J304" s="1">
        <v>1907.2916</v>
      </c>
      <c r="K304" s="1">
        <v>954.55309999999997</v>
      </c>
      <c r="L304" s="9" t="s">
        <v>2913</v>
      </c>
      <c r="M304" s="2">
        <v>8.75</v>
      </c>
      <c r="N304" s="4">
        <v>5933.14</v>
      </c>
      <c r="O304" s="1">
        <v>104.70868514281709</v>
      </c>
      <c r="P304" s="6">
        <v>55.4</v>
      </c>
      <c r="Q304" s="6">
        <v>55.4</v>
      </c>
      <c r="R304" s="6">
        <v>11.6</v>
      </c>
      <c r="S304" s="6">
        <v>10.4</v>
      </c>
      <c r="T304" s="5">
        <v>9.7000000000000003E-7</v>
      </c>
      <c r="U304" s="1">
        <v>0.19989999999999999</v>
      </c>
      <c r="V304" s="1">
        <v>5.6215999999999999</v>
      </c>
    </row>
    <row r="305" spans="1:22" x14ac:dyDescent="0.25">
      <c r="A305" s="1">
        <v>0.99419999999999997</v>
      </c>
      <c r="B305" s="9" t="s">
        <v>3027</v>
      </c>
      <c r="C305" s="2">
        <v>4610</v>
      </c>
      <c r="D305" s="2" t="s">
        <v>770</v>
      </c>
      <c r="E305" s="9" t="s">
        <v>289</v>
      </c>
      <c r="F305" s="9" t="s">
        <v>290</v>
      </c>
      <c r="G305" s="1">
        <v>1831.9757</v>
      </c>
      <c r="H305" s="2">
        <v>237</v>
      </c>
      <c r="I305" s="2">
        <v>3</v>
      </c>
      <c r="J305" s="1">
        <v>1833.1604</v>
      </c>
      <c r="K305" s="1">
        <v>611.66579999999999</v>
      </c>
      <c r="L305" s="9" t="s">
        <v>291</v>
      </c>
      <c r="M305" s="2">
        <v>6.17</v>
      </c>
      <c r="N305" s="4">
        <v>6330.74</v>
      </c>
      <c r="O305" s="1">
        <v>98.825753104609348</v>
      </c>
      <c r="P305" s="6">
        <v>36.700000000000003</v>
      </c>
      <c r="Q305" s="6">
        <v>25.4</v>
      </c>
      <c r="R305" s="6">
        <v>9.9</v>
      </c>
      <c r="S305" s="6">
        <v>10.5</v>
      </c>
      <c r="T305" s="5">
        <v>7.2999999999999996E-4</v>
      </c>
      <c r="U305" s="1">
        <v>1.1847000000000001</v>
      </c>
      <c r="V305" s="1">
        <v>5.7064000000000004</v>
      </c>
    </row>
  </sheetData>
  <mergeCells count="1">
    <mergeCell ref="A2:I2"/>
  </mergeCells>
  <phoneticPr fontId="21" type="noConversion"/>
  <hyperlinks>
    <hyperlink ref="J1" location="'Supplementary Table 2'!A1" display="back to index"/>
  </hyperlinks>
  <pageMargins left="0.39000000000000007" right="0.39000000000000007" top="0.39000000000000007" bottom="0.39000000000000007" header="0" footer="0"/>
  <pageSetup orientation="landscape" r:id="rId1"/>
  <ignoredErrors>
    <ignoredError sqref="A5:N305 A4:N4 P4:V4 P5:V305" twoDigitTextYear="1"/>
  </ignoredErrors>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1"/>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1"/>
    <col min="16" max="19" width="15.7109375" style="6"/>
    <col min="20" max="20" width="15.7109375" style="5"/>
    <col min="21" max="22" width="15.7109375" style="1"/>
    <col min="23" max="16384" width="15.7109375" style="2"/>
  </cols>
  <sheetData>
    <row r="1" spans="1:22" ht="15" customHeight="1" x14ac:dyDescent="0.25">
      <c r="A1" s="12" t="s">
        <v>5399</v>
      </c>
      <c r="J1" s="26" t="s">
        <v>5405</v>
      </c>
    </row>
    <row r="2" spans="1:22" s="21" customFormat="1" ht="90" customHeight="1" x14ac:dyDescent="0.25">
      <c r="A2" s="34" t="s">
        <v>5384</v>
      </c>
      <c r="B2" s="34"/>
      <c r="C2" s="34"/>
      <c r="D2" s="34"/>
      <c r="E2" s="34"/>
      <c r="F2" s="34"/>
      <c r="G2" s="34"/>
      <c r="H2" s="34"/>
      <c r="I2" s="34"/>
      <c r="N2" s="22"/>
      <c r="O2" s="1"/>
      <c r="P2" s="23"/>
      <c r="Q2" s="23"/>
      <c r="R2" s="23"/>
      <c r="S2" s="23"/>
      <c r="T2" s="24"/>
      <c r="U2" s="25"/>
      <c r="V2" s="25"/>
    </row>
    <row r="3" spans="1:22" s="8" customFormat="1" ht="45" x14ac:dyDescent="0.25">
      <c r="A3" s="7" t="str">
        <f>'MMP1-G'!A3</f>
        <v>probability</v>
      </c>
      <c r="B3" s="7" t="str">
        <f>'MMP1-G'!B3</f>
        <v>spectrum</v>
      </c>
      <c r="C3" s="7" t="str">
        <f>'MMP1-G'!C3</f>
        <v>start scan</v>
      </c>
      <c r="D3" s="7" t="str">
        <f>'MMP1-G'!D3</f>
        <v>ions</v>
      </c>
      <c r="E3" s="7" t="str">
        <f>'MMP1-G'!E3</f>
        <v>peptide</v>
      </c>
      <c r="F3" s="7" t="str">
        <f>'MMP1-G'!F3</f>
        <v>protein</v>
      </c>
      <c r="G3" s="7" t="str">
        <f>'MMP1-G'!G3</f>
        <v>calculated neutral
peptide mass</v>
      </c>
      <c r="H3" s="7" t="str">
        <f>'MMP1-G'!H3</f>
        <v>index</v>
      </c>
      <c r="I3" s="7" t="str">
        <f>'MMP1-G'!I3</f>
        <v>assumed charge</v>
      </c>
      <c r="J3" s="7" t="str">
        <f>'MMP1-G'!J3</f>
        <v>precursor neutral mass</v>
      </c>
      <c r="K3" s="7" t="str">
        <f>'MMP1-G'!K3</f>
        <v>m/z ratio</v>
      </c>
      <c r="L3" s="7" t="str">
        <f>'MMP1-G'!L3</f>
        <v>protein description</v>
      </c>
      <c r="M3" s="7" t="str">
        <f>'MMP1-G'!M3</f>
        <v>pI</v>
      </c>
      <c r="N3" s="7" t="str">
        <f>'MMP1-G'!N3</f>
        <v>retention
time (sec)</v>
      </c>
      <c r="O3" s="7" t="str">
        <f>'MMP1-G'!O3</f>
        <v>ppm</v>
      </c>
      <c r="P3" s="7" t="str">
        <f>'MMP1-G'!P3</f>
        <v>hyperscore</v>
      </c>
      <c r="Q3" s="7" t="str">
        <f>'MMP1-G'!Q3</f>
        <v>nextscore</v>
      </c>
      <c r="R3" s="7" t="str">
        <f>'MMP1-G'!R3</f>
        <v>bscore</v>
      </c>
      <c r="S3" s="7" t="str">
        <f>'MMP1-G'!S3</f>
        <v>yscore</v>
      </c>
      <c r="T3" s="7" t="str">
        <f>'MMP1-G'!T3</f>
        <v>expect</v>
      </c>
      <c r="U3" s="7" t="str">
        <f>'MMP1-G'!U3</f>
        <v>mass diff</v>
      </c>
      <c r="V3" s="7" t="str">
        <f>'MMP1-G'!V3</f>
        <v>fval</v>
      </c>
    </row>
    <row r="4" spans="1:22" x14ac:dyDescent="0.25">
      <c r="A4" s="1">
        <v>0.99990000000000001</v>
      </c>
      <c r="B4" s="9" t="s">
        <v>3028</v>
      </c>
      <c r="C4" s="2">
        <v>1563</v>
      </c>
      <c r="D4" s="3" t="s">
        <v>3029</v>
      </c>
      <c r="E4" s="9" t="s">
        <v>3030</v>
      </c>
      <c r="F4" s="9" t="s">
        <v>1799</v>
      </c>
      <c r="G4" s="1">
        <v>2345.3977</v>
      </c>
      <c r="H4" s="2">
        <v>1022</v>
      </c>
      <c r="I4" s="2">
        <v>4</v>
      </c>
      <c r="J4" s="1">
        <v>2345.4245000000001</v>
      </c>
      <c r="K4" s="1">
        <v>587.35670000000005</v>
      </c>
      <c r="L4" s="9" t="s">
        <v>1800</v>
      </c>
      <c r="M4" s="2">
        <v>10.7</v>
      </c>
      <c r="N4" s="4">
        <v>1671.62</v>
      </c>
      <c r="O4" s="1">
        <v>11.407037665527607</v>
      </c>
      <c r="P4" s="6">
        <v>36.1</v>
      </c>
      <c r="Q4" s="6">
        <v>27.5</v>
      </c>
      <c r="R4" s="6">
        <v>11.4</v>
      </c>
      <c r="S4" s="6">
        <v>11.7</v>
      </c>
      <c r="T4" s="5">
        <v>2.1999999999999999E-2</v>
      </c>
      <c r="U4" s="1">
        <v>2.6800000000000001E-2</v>
      </c>
      <c r="V4" s="1">
        <v>2.9055</v>
      </c>
    </row>
    <row r="5" spans="1:22" x14ac:dyDescent="0.25">
      <c r="A5" s="1">
        <v>0.99860000000000004</v>
      </c>
      <c r="B5" s="9" t="s">
        <v>3031</v>
      </c>
      <c r="C5" s="2">
        <v>1632</v>
      </c>
      <c r="D5" s="3" t="s">
        <v>384</v>
      </c>
      <c r="E5" s="9" t="s">
        <v>16</v>
      </c>
      <c r="F5" s="9" t="s">
        <v>17</v>
      </c>
      <c r="G5" s="1">
        <v>1509.7827</v>
      </c>
      <c r="H5" s="2">
        <v>345</v>
      </c>
      <c r="I5" s="2">
        <v>3</v>
      </c>
      <c r="J5" s="1">
        <v>1509.7936</v>
      </c>
      <c r="K5" s="1">
        <v>504.26819999999998</v>
      </c>
      <c r="L5" s="9" t="s">
        <v>18</v>
      </c>
      <c r="M5" s="2">
        <v>6.77</v>
      </c>
      <c r="N5" s="4">
        <v>1752.47</v>
      </c>
      <c r="O5" s="1">
        <v>7.2051605342818243</v>
      </c>
      <c r="P5" s="6">
        <v>36</v>
      </c>
      <c r="Q5" s="6">
        <v>24</v>
      </c>
      <c r="R5" s="6">
        <v>13.7</v>
      </c>
      <c r="S5" s="6">
        <v>10</v>
      </c>
      <c r="T5" s="5">
        <v>1.2999999999999999E-2</v>
      </c>
      <c r="U5" s="1">
        <v>1.09E-2</v>
      </c>
      <c r="V5" s="1">
        <v>4.4580000000000002</v>
      </c>
    </row>
    <row r="6" spans="1:22" x14ac:dyDescent="0.25">
      <c r="A6" s="1">
        <v>0.99909999999999999</v>
      </c>
      <c r="B6" s="9" t="s">
        <v>3032</v>
      </c>
      <c r="C6" s="2">
        <v>1634</v>
      </c>
      <c r="D6" s="3" t="s">
        <v>321</v>
      </c>
      <c r="E6" s="9" t="s">
        <v>3033</v>
      </c>
      <c r="F6" s="9" t="s">
        <v>3034</v>
      </c>
      <c r="G6" s="1">
        <v>1503.8198</v>
      </c>
      <c r="H6" s="2">
        <v>714</v>
      </c>
      <c r="I6" s="2">
        <v>3</v>
      </c>
      <c r="J6" s="1">
        <v>1503.8279</v>
      </c>
      <c r="K6" s="1">
        <v>502.28050000000002</v>
      </c>
      <c r="L6" s="9" t="s">
        <v>3035</v>
      </c>
      <c r="M6" s="2">
        <v>9.6999999999999993</v>
      </c>
      <c r="N6" s="4">
        <v>1755.62</v>
      </c>
      <c r="O6" s="1">
        <v>5.3754824246611195</v>
      </c>
      <c r="P6" s="6">
        <v>37.700000000000003</v>
      </c>
      <c r="Q6" s="6">
        <v>24.7</v>
      </c>
      <c r="R6" s="6">
        <v>7.4</v>
      </c>
      <c r="S6" s="6">
        <v>9.9</v>
      </c>
      <c r="T6" s="5">
        <v>7.2999999999999996E-4</v>
      </c>
      <c r="U6" s="1">
        <v>8.0999999999999996E-3</v>
      </c>
      <c r="V6" s="1">
        <v>6.1191000000000004</v>
      </c>
    </row>
    <row r="7" spans="1:22" x14ac:dyDescent="0.25">
      <c r="A7" s="1">
        <v>0.99760000000000004</v>
      </c>
      <c r="B7" s="9" t="s">
        <v>3036</v>
      </c>
      <c r="C7" s="2">
        <v>1638</v>
      </c>
      <c r="D7" s="3" t="s">
        <v>15</v>
      </c>
      <c r="E7" s="9" t="s">
        <v>21</v>
      </c>
      <c r="F7" s="9" t="s">
        <v>22</v>
      </c>
      <c r="G7" s="1">
        <v>1525.7777000000001</v>
      </c>
      <c r="H7" s="2">
        <v>58</v>
      </c>
      <c r="I7" s="2">
        <v>3</v>
      </c>
      <c r="J7" s="1">
        <v>1525.7968000000001</v>
      </c>
      <c r="K7" s="1">
        <v>509.59980000000002</v>
      </c>
      <c r="L7" s="9" t="s">
        <v>23</v>
      </c>
      <c r="M7" s="2">
        <v>6.77</v>
      </c>
      <c r="N7" s="4">
        <v>1760.87</v>
      </c>
      <c r="O7" s="1">
        <v>12.49346382527361</v>
      </c>
      <c r="P7" s="6">
        <v>30.1</v>
      </c>
      <c r="Q7" s="6">
        <v>21.6</v>
      </c>
      <c r="R7" s="6">
        <v>13.6</v>
      </c>
      <c r="S7" s="6">
        <v>10.4</v>
      </c>
      <c r="T7" s="5">
        <v>1.9E-2</v>
      </c>
      <c r="U7" s="1">
        <v>1.9099999999999999E-2</v>
      </c>
      <c r="V7" s="1">
        <v>3.9649000000000001</v>
      </c>
    </row>
    <row r="8" spans="1:22" x14ac:dyDescent="0.25">
      <c r="A8" s="1">
        <v>0.99939999999999996</v>
      </c>
      <c r="B8" s="9" t="s">
        <v>3037</v>
      </c>
      <c r="C8" s="2">
        <v>1655</v>
      </c>
      <c r="D8" s="3" t="s">
        <v>20</v>
      </c>
      <c r="E8" s="9" t="s">
        <v>16</v>
      </c>
      <c r="F8" s="9" t="s">
        <v>17</v>
      </c>
      <c r="G8" s="1">
        <v>1509.7827</v>
      </c>
      <c r="H8" s="2">
        <v>346</v>
      </c>
      <c r="I8" s="2">
        <v>3</v>
      </c>
      <c r="J8" s="1">
        <v>1509.7873</v>
      </c>
      <c r="K8" s="1">
        <v>504.26819999999998</v>
      </c>
      <c r="L8" s="9" t="s">
        <v>18</v>
      </c>
      <c r="M8" s="2">
        <v>6.77</v>
      </c>
      <c r="N8" s="4">
        <v>1782.92</v>
      </c>
      <c r="O8" s="1">
        <v>3.0407099502473756</v>
      </c>
      <c r="P8" s="6">
        <v>33.200000000000003</v>
      </c>
      <c r="Q8" s="6">
        <v>26.8</v>
      </c>
      <c r="R8" s="6">
        <v>13.6</v>
      </c>
      <c r="S8" s="6">
        <v>10.1</v>
      </c>
      <c r="T8" s="5">
        <v>1.1999999999999999E-3</v>
      </c>
      <c r="U8" s="1">
        <v>4.5999999999999999E-3</v>
      </c>
      <c r="V8" s="1">
        <v>4.9999000000000002</v>
      </c>
    </row>
    <row r="9" spans="1:22" x14ac:dyDescent="0.25">
      <c r="A9" s="1">
        <v>0.99939999999999996</v>
      </c>
      <c r="B9" s="9" t="s">
        <v>3038</v>
      </c>
      <c r="C9" s="2">
        <v>1752</v>
      </c>
      <c r="D9" s="3" t="s">
        <v>255</v>
      </c>
      <c r="E9" s="9" t="s">
        <v>3039</v>
      </c>
      <c r="F9" s="9" t="s">
        <v>3040</v>
      </c>
      <c r="G9" s="1">
        <v>1879.8957</v>
      </c>
      <c r="H9" s="2">
        <v>347</v>
      </c>
      <c r="I9" s="2">
        <v>3</v>
      </c>
      <c r="J9" s="1">
        <v>1879.914</v>
      </c>
      <c r="K9" s="1">
        <v>627.63919999999996</v>
      </c>
      <c r="L9" s="9" t="s">
        <v>3041</v>
      </c>
      <c r="M9" s="2">
        <v>8.76</v>
      </c>
      <c r="N9" s="4">
        <v>1907.87</v>
      </c>
      <c r="O9" s="1">
        <v>9.7189595551074568</v>
      </c>
      <c r="P9" s="6">
        <v>38.9</v>
      </c>
      <c r="Q9" s="6">
        <v>24.9</v>
      </c>
      <c r="R9" s="6">
        <v>10</v>
      </c>
      <c r="S9" s="6">
        <v>10.9</v>
      </c>
      <c r="T9" s="5">
        <v>5.1999999999999995E-4</v>
      </c>
      <c r="U9" s="1">
        <v>1.83E-2</v>
      </c>
      <c r="V9" s="1">
        <v>5.9633000000000003</v>
      </c>
    </row>
    <row r="10" spans="1:22" x14ac:dyDescent="0.25">
      <c r="A10" s="1">
        <v>0.98640000000000005</v>
      </c>
      <c r="B10" s="9" t="s">
        <v>3042</v>
      </c>
      <c r="C10" s="2">
        <v>1772</v>
      </c>
      <c r="D10" s="3" t="s">
        <v>3043</v>
      </c>
      <c r="E10" s="9" t="s">
        <v>1805</v>
      </c>
      <c r="F10" s="9" t="s">
        <v>1799</v>
      </c>
      <c r="G10" s="1">
        <v>1962.1087</v>
      </c>
      <c r="H10" s="2">
        <v>717</v>
      </c>
      <c r="I10" s="2">
        <v>4</v>
      </c>
      <c r="J10" s="1">
        <v>1962.1351</v>
      </c>
      <c r="K10" s="1">
        <v>491.53449999999998</v>
      </c>
      <c r="L10" s="9" t="s">
        <v>1800</v>
      </c>
      <c r="M10" s="2">
        <v>10.48</v>
      </c>
      <c r="N10" s="4">
        <v>1938.32</v>
      </c>
      <c r="O10" s="1">
        <v>13.427338264150329</v>
      </c>
      <c r="P10" s="6">
        <v>41.5</v>
      </c>
      <c r="Q10" s="6">
        <v>33.200000000000003</v>
      </c>
      <c r="R10" s="6">
        <v>10.7</v>
      </c>
      <c r="S10" s="6">
        <v>12.6</v>
      </c>
      <c r="T10" s="5">
        <v>1.0999999999999999E-2</v>
      </c>
      <c r="U10" s="1">
        <v>2.64E-2</v>
      </c>
      <c r="V10" s="1">
        <v>3.2688000000000001</v>
      </c>
    </row>
    <row r="11" spans="1:22" x14ac:dyDescent="0.25">
      <c r="A11" s="1">
        <v>0.97750000000000004</v>
      </c>
      <c r="B11" s="9" t="s">
        <v>3044</v>
      </c>
      <c r="C11" s="2">
        <v>1824</v>
      </c>
      <c r="D11" s="3" t="s">
        <v>3045</v>
      </c>
      <c r="E11" s="9" t="s">
        <v>3046</v>
      </c>
      <c r="F11" s="9" t="s">
        <v>3047</v>
      </c>
      <c r="G11" s="1">
        <v>1611.9857</v>
      </c>
      <c r="H11" s="2">
        <v>720</v>
      </c>
      <c r="I11" s="2">
        <v>4</v>
      </c>
      <c r="J11" s="1">
        <v>1612.0099</v>
      </c>
      <c r="K11" s="1">
        <v>404.00369999999998</v>
      </c>
      <c r="L11" s="9" t="s">
        <v>3048</v>
      </c>
      <c r="M11" s="2">
        <v>11.33</v>
      </c>
      <c r="N11" s="4">
        <v>2017.07</v>
      </c>
      <c r="O11" s="1">
        <v>14.975110376464373</v>
      </c>
      <c r="P11" s="6">
        <v>34.9</v>
      </c>
      <c r="Q11" s="6">
        <v>27.7</v>
      </c>
      <c r="R11" s="6">
        <v>9.8000000000000007</v>
      </c>
      <c r="S11" s="6">
        <v>11.5</v>
      </c>
      <c r="T11" s="5">
        <v>4.1000000000000002E-2</v>
      </c>
      <c r="U11" s="1">
        <v>2.4199999999999999E-2</v>
      </c>
      <c r="V11" s="1">
        <v>3.0101</v>
      </c>
    </row>
    <row r="12" spans="1:22" x14ac:dyDescent="0.25">
      <c r="A12" s="1">
        <v>0.97560000000000002</v>
      </c>
      <c r="B12" s="9" t="s">
        <v>3049</v>
      </c>
      <c r="C12" s="2">
        <v>1831</v>
      </c>
      <c r="D12" s="3" t="s">
        <v>1875</v>
      </c>
      <c r="E12" s="9" t="s">
        <v>1809</v>
      </c>
      <c r="F12" s="9" t="s">
        <v>211</v>
      </c>
      <c r="G12" s="1">
        <v>1573.865</v>
      </c>
      <c r="H12" s="2">
        <v>59</v>
      </c>
      <c r="I12" s="2">
        <v>3</v>
      </c>
      <c r="J12" s="1">
        <v>1573.8619000000001</v>
      </c>
      <c r="K12" s="1">
        <v>525.62890000000004</v>
      </c>
      <c r="L12" s="9" t="s">
        <v>212</v>
      </c>
      <c r="M12" s="2">
        <v>9.11</v>
      </c>
      <c r="N12" s="4">
        <v>2030.72</v>
      </c>
      <c r="O12" s="1">
        <v>-1.9658990084702976</v>
      </c>
      <c r="P12" s="6">
        <v>25.4</v>
      </c>
      <c r="Q12" s="6">
        <v>22.1</v>
      </c>
      <c r="R12" s="6">
        <v>7.2</v>
      </c>
      <c r="S12" s="6">
        <v>7.3</v>
      </c>
      <c r="T12" s="5">
        <v>5.6000000000000001E-2</v>
      </c>
      <c r="U12" s="1">
        <v>-3.0999999999999999E-3</v>
      </c>
      <c r="V12" s="1">
        <v>2.6143000000000001</v>
      </c>
    </row>
    <row r="13" spans="1:22" x14ac:dyDescent="0.25">
      <c r="A13" s="1">
        <v>0.96399999999999997</v>
      </c>
      <c r="B13" s="9" t="s">
        <v>3050</v>
      </c>
      <c r="C13" s="2">
        <v>1837</v>
      </c>
      <c r="D13" s="3" t="s">
        <v>807</v>
      </c>
      <c r="E13" s="9" t="s">
        <v>3051</v>
      </c>
      <c r="F13" s="9" t="s">
        <v>1170</v>
      </c>
      <c r="G13" s="1">
        <v>1579.7855</v>
      </c>
      <c r="H13" s="2">
        <v>350</v>
      </c>
      <c r="I13" s="2">
        <v>3</v>
      </c>
      <c r="J13" s="1">
        <v>1579.7824000000001</v>
      </c>
      <c r="K13" s="1">
        <v>527.60239999999999</v>
      </c>
      <c r="L13" s="9" t="s">
        <v>1171</v>
      </c>
      <c r="M13" s="2">
        <v>8.75</v>
      </c>
      <c r="N13" s="4">
        <v>2041.22</v>
      </c>
      <c r="O13" s="1">
        <v>-1.9585455512206416</v>
      </c>
      <c r="P13" s="6">
        <v>26.4</v>
      </c>
      <c r="Q13" s="6">
        <v>18.8</v>
      </c>
      <c r="R13" s="6">
        <v>12.2</v>
      </c>
      <c r="S13" s="6">
        <v>11</v>
      </c>
      <c r="T13" s="5">
        <v>2.5000000000000001E-2</v>
      </c>
      <c r="U13" s="1">
        <v>-3.0999999999999999E-3</v>
      </c>
      <c r="V13" s="1">
        <v>3.7105999999999999</v>
      </c>
    </row>
    <row r="14" spans="1:22" x14ac:dyDescent="0.25">
      <c r="A14" s="1">
        <v>0.99929999999999997</v>
      </c>
      <c r="B14" s="9" t="s">
        <v>3052</v>
      </c>
      <c r="C14" s="2">
        <v>1849</v>
      </c>
      <c r="D14" s="3" t="s">
        <v>697</v>
      </c>
      <c r="E14" s="9" t="s">
        <v>3053</v>
      </c>
      <c r="F14" s="9" t="s">
        <v>427</v>
      </c>
      <c r="G14" s="1">
        <v>1541.9082000000001</v>
      </c>
      <c r="H14" s="2">
        <v>351</v>
      </c>
      <c r="I14" s="2">
        <v>3</v>
      </c>
      <c r="J14" s="1">
        <v>1541.9127000000001</v>
      </c>
      <c r="K14" s="1">
        <v>514.97670000000005</v>
      </c>
      <c r="L14" s="9" t="s">
        <v>428</v>
      </c>
      <c r="M14" s="2">
        <v>10</v>
      </c>
      <c r="N14" s="4">
        <v>2059.0700000000002</v>
      </c>
      <c r="O14" s="1">
        <v>2.912753140093522</v>
      </c>
      <c r="P14" s="6">
        <v>31.8</v>
      </c>
      <c r="Q14" s="6">
        <v>21.5</v>
      </c>
      <c r="R14" s="6">
        <v>8.3000000000000007</v>
      </c>
      <c r="S14" s="6">
        <v>10.3</v>
      </c>
      <c r="T14" s="5">
        <v>1.2999999999999999E-3</v>
      </c>
      <c r="U14" s="1">
        <v>4.4999999999999997E-3</v>
      </c>
      <c r="V14" s="1">
        <v>5.9067999999999996</v>
      </c>
    </row>
    <row r="15" spans="1:22" x14ac:dyDescent="0.25">
      <c r="A15" s="1">
        <v>0.99690000000000001</v>
      </c>
      <c r="B15" s="9" t="s">
        <v>3054</v>
      </c>
      <c r="C15" s="2">
        <v>1883</v>
      </c>
      <c r="D15" s="3" t="s">
        <v>779</v>
      </c>
      <c r="E15" s="9" t="s">
        <v>1819</v>
      </c>
      <c r="F15" s="9" t="s">
        <v>1820</v>
      </c>
      <c r="G15" s="1">
        <v>1419.6416999999999</v>
      </c>
      <c r="H15" s="2">
        <v>60</v>
      </c>
      <c r="I15" s="2">
        <v>3</v>
      </c>
      <c r="J15" s="1">
        <v>1419.6536000000001</v>
      </c>
      <c r="K15" s="1">
        <v>474.22120000000001</v>
      </c>
      <c r="L15" s="9" t="s">
        <v>1821</v>
      </c>
      <c r="M15" s="2">
        <v>5.96</v>
      </c>
      <c r="N15" s="4">
        <v>2116.87</v>
      </c>
      <c r="O15" s="1">
        <v>8.3645916012752419</v>
      </c>
      <c r="P15" s="6">
        <v>32.799999999999997</v>
      </c>
      <c r="Q15" s="6">
        <v>22.9</v>
      </c>
      <c r="R15" s="6">
        <v>8.4</v>
      </c>
      <c r="S15" s="6">
        <v>9.6999999999999993</v>
      </c>
      <c r="T15" s="5">
        <v>1.9E-2</v>
      </c>
      <c r="U15" s="1">
        <v>1.1900000000000001E-2</v>
      </c>
      <c r="V15" s="1">
        <v>4.4100999999999999</v>
      </c>
    </row>
    <row r="16" spans="1:22" x14ac:dyDescent="0.25">
      <c r="A16" s="1">
        <v>1</v>
      </c>
      <c r="B16" s="9" t="s">
        <v>3055</v>
      </c>
      <c r="C16" s="2">
        <v>1897</v>
      </c>
      <c r="D16" s="3" t="s">
        <v>2344</v>
      </c>
      <c r="E16" s="9" t="s">
        <v>3056</v>
      </c>
      <c r="F16" s="9" t="s">
        <v>1997</v>
      </c>
      <c r="G16" s="1">
        <v>1938.8387</v>
      </c>
      <c r="H16" s="2">
        <v>353</v>
      </c>
      <c r="I16" s="2">
        <v>3</v>
      </c>
      <c r="J16" s="1">
        <v>1938.8725999999999</v>
      </c>
      <c r="K16" s="1">
        <v>647.28679999999997</v>
      </c>
      <c r="L16" s="9" t="s">
        <v>1998</v>
      </c>
      <c r="M16" s="2">
        <v>6.04</v>
      </c>
      <c r="N16" s="4">
        <v>2138.92</v>
      </c>
      <c r="O16" s="1">
        <v>17.457485615340836</v>
      </c>
      <c r="P16" s="6">
        <v>62.2</v>
      </c>
      <c r="Q16" s="6">
        <v>29.3</v>
      </c>
      <c r="R16" s="6">
        <v>12.2</v>
      </c>
      <c r="S16" s="6">
        <v>12.7</v>
      </c>
      <c r="T16" s="5">
        <v>1.0999999999999999E-8</v>
      </c>
      <c r="U16" s="1">
        <v>3.39E-2</v>
      </c>
      <c r="V16" s="1">
        <v>11.332100000000001</v>
      </c>
    </row>
    <row r="17" spans="1:22" x14ac:dyDescent="0.25">
      <c r="A17" s="1">
        <v>0.98160000000000003</v>
      </c>
      <c r="B17" s="9" t="s">
        <v>3057</v>
      </c>
      <c r="C17" s="2">
        <v>1921</v>
      </c>
      <c r="D17" s="3" t="s">
        <v>1090</v>
      </c>
      <c r="E17" s="9" t="s">
        <v>676</v>
      </c>
      <c r="F17" s="9" t="s">
        <v>677</v>
      </c>
      <c r="G17" s="1">
        <v>1748.7727</v>
      </c>
      <c r="H17" s="2">
        <v>356</v>
      </c>
      <c r="I17" s="2">
        <v>3</v>
      </c>
      <c r="J17" s="1">
        <v>1748.796</v>
      </c>
      <c r="K17" s="1">
        <v>583.93150000000003</v>
      </c>
      <c r="L17" s="9" t="s">
        <v>678</v>
      </c>
      <c r="M17" s="2">
        <v>6.74</v>
      </c>
      <c r="N17" s="4">
        <v>2184.13</v>
      </c>
      <c r="O17" s="1">
        <v>13.300646850986231</v>
      </c>
      <c r="P17" s="6">
        <v>29.7</v>
      </c>
      <c r="Q17" s="6">
        <v>22.4</v>
      </c>
      <c r="R17" s="6">
        <v>6.7</v>
      </c>
      <c r="S17" s="6">
        <v>11.4</v>
      </c>
      <c r="T17" s="5">
        <v>7.0999999999999994E-2</v>
      </c>
      <c r="U17" s="1">
        <v>2.3300000000000001E-2</v>
      </c>
      <c r="V17" s="1">
        <v>2.8351999999999999</v>
      </c>
    </row>
    <row r="18" spans="1:22" x14ac:dyDescent="0.25">
      <c r="A18" s="1">
        <v>0.99419999999999997</v>
      </c>
      <c r="B18" s="9" t="s">
        <v>3058</v>
      </c>
      <c r="C18" s="2">
        <v>1932</v>
      </c>
      <c r="D18" s="3" t="s">
        <v>1845</v>
      </c>
      <c r="E18" s="9" t="s">
        <v>3059</v>
      </c>
      <c r="F18" s="9" t="s">
        <v>3060</v>
      </c>
      <c r="G18" s="1">
        <v>1462.9027000000001</v>
      </c>
      <c r="H18" s="2">
        <v>357</v>
      </c>
      <c r="I18" s="2">
        <v>3</v>
      </c>
      <c r="J18" s="1">
        <v>1462.9148</v>
      </c>
      <c r="K18" s="1">
        <v>488.64150000000001</v>
      </c>
      <c r="L18" s="9" t="s">
        <v>3061</v>
      </c>
      <c r="M18" s="2">
        <v>9.5299999999999994</v>
      </c>
      <c r="N18" s="4">
        <v>2206.2800000000002</v>
      </c>
      <c r="O18" s="1">
        <v>8.2541768010562624</v>
      </c>
      <c r="P18" s="6">
        <v>25.7</v>
      </c>
      <c r="Q18" s="6">
        <v>20.2</v>
      </c>
      <c r="R18" s="6">
        <v>4.4000000000000004</v>
      </c>
      <c r="S18" s="6">
        <v>7.6</v>
      </c>
      <c r="T18" s="5">
        <v>8.0999999999999996E-3</v>
      </c>
      <c r="U18" s="1">
        <v>1.21E-2</v>
      </c>
      <c r="V18" s="1">
        <v>4.3945999999999996</v>
      </c>
    </row>
    <row r="19" spans="1:22" x14ac:dyDescent="0.25">
      <c r="A19" s="1">
        <v>0.99</v>
      </c>
      <c r="B19" s="9" t="s">
        <v>3062</v>
      </c>
      <c r="C19" s="2">
        <v>1968</v>
      </c>
      <c r="D19" s="3" t="s">
        <v>3063</v>
      </c>
      <c r="E19" s="9" t="s">
        <v>3064</v>
      </c>
      <c r="F19" s="9" t="s">
        <v>3065</v>
      </c>
      <c r="G19" s="1">
        <v>2140.2656999999999</v>
      </c>
      <c r="H19" s="2">
        <v>361</v>
      </c>
      <c r="I19" s="2">
        <v>4</v>
      </c>
      <c r="J19" s="1">
        <v>2140.2892999999999</v>
      </c>
      <c r="K19" s="1">
        <v>536.07370000000003</v>
      </c>
      <c r="L19" s="9" t="s">
        <v>3066</v>
      </c>
      <c r="M19" s="2">
        <v>10.6</v>
      </c>
      <c r="N19" s="4">
        <v>2270.7800000000002</v>
      </c>
      <c r="O19" s="1">
        <v>11.00594936852899</v>
      </c>
      <c r="P19" s="6">
        <v>35.4</v>
      </c>
      <c r="Q19" s="6">
        <v>24.5</v>
      </c>
      <c r="R19" s="6">
        <v>10.3</v>
      </c>
      <c r="S19" s="6">
        <v>9.1999999999999993</v>
      </c>
      <c r="T19" s="5">
        <v>2.7000000000000001E-3</v>
      </c>
      <c r="U19" s="1">
        <v>2.3599999999999999E-2</v>
      </c>
      <c r="V19" s="1">
        <v>4.2221000000000002</v>
      </c>
    </row>
    <row r="20" spans="1:22" x14ac:dyDescent="0.25">
      <c r="A20" s="1">
        <v>0.98560000000000003</v>
      </c>
      <c r="B20" s="9" t="s">
        <v>3067</v>
      </c>
      <c r="C20" s="2">
        <v>1984</v>
      </c>
      <c r="D20" s="3" t="s">
        <v>3068</v>
      </c>
      <c r="E20" s="9" t="s">
        <v>3069</v>
      </c>
      <c r="F20" s="9" t="s">
        <v>3070</v>
      </c>
      <c r="G20" s="1">
        <v>1777.0866000000001</v>
      </c>
      <c r="H20" s="2">
        <v>363</v>
      </c>
      <c r="I20" s="2">
        <v>4</v>
      </c>
      <c r="J20" s="1">
        <v>1777.0925</v>
      </c>
      <c r="K20" s="1">
        <v>445.27890000000002</v>
      </c>
      <c r="L20" s="9" t="s">
        <v>3071</v>
      </c>
      <c r="M20" s="2">
        <v>9.4</v>
      </c>
      <c r="N20" s="4">
        <v>2300.38</v>
      </c>
      <c r="O20" s="1">
        <v>3.3125306409084283</v>
      </c>
      <c r="P20" s="6">
        <v>30.9</v>
      </c>
      <c r="Q20" s="6">
        <v>23.3</v>
      </c>
      <c r="R20" s="6">
        <v>9</v>
      </c>
      <c r="S20" s="6">
        <v>13.9</v>
      </c>
      <c r="T20" s="5">
        <v>2.4E-2</v>
      </c>
      <c r="U20" s="1">
        <v>5.8999999999999999E-3</v>
      </c>
      <c r="V20" s="1">
        <v>3.5083000000000002</v>
      </c>
    </row>
    <row r="21" spans="1:22" x14ac:dyDescent="0.25">
      <c r="A21" s="1">
        <v>0.96779999999999999</v>
      </c>
      <c r="B21" s="9" t="s">
        <v>3072</v>
      </c>
      <c r="C21" s="2">
        <v>1987</v>
      </c>
      <c r="D21" s="3" t="s">
        <v>3073</v>
      </c>
      <c r="E21" s="9" t="s">
        <v>1851</v>
      </c>
      <c r="F21" s="9" t="s">
        <v>860</v>
      </c>
      <c r="G21" s="1">
        <v>1491.7967000000001</v>
      </c>
      <c r="H21" s="2">
        <v>987</v>
      </c>
      <c r="I21" s="2">
        <v>3</v>
      </c>
      <c r="J21" s="1">
        <v>1491.8151</v>
      </c>
      <c r="K21" s="1">
        <v>498.27280000000002</v>
      </c>
      <c r="L21" s="9" t="s">
        <v>673</v>
      </c>
      <c r="M21" s="2">
        <v>9.6999999999999993</v>
      </c>
      <c r="N21" s="4">
        <v>2309.83</v>
      </c>
      <c r="O21" s="1">
        <v>12.309187524049744</v>
      </c>
      <c r="P21" s="6">
        <v>40.700000000000003</v>
      </c>
      <c r="Q21" s="6">
        <v>40.700000000000003</v>
      </c>
      <c r="R21" s="6">
        <v>8.6999999999999993</v>
      </c>
      <c r="S21" s="6">
        <v>9.8000000000000007</v>
      </c>
      <c r="T21" s="5">
        <v>1.1000000000000001E-3</v>
      </c>
      <c r="U21" s="1">
        <v>1.84E-2</v>
      </c>
      <c r="V21" s="1">
        <v>3.9788999999999999</v>
      </c>
    </row>
    <row r="22" spans="1:22" x14ac:dyDescent="0.25">
      <c r="A22" s="1">
        <v>0.99109999999999998</v>
      </c>
      <c r="B22" s="9" t="s">
        <v>3074</v>
      </c>
      <c r="C22" s="2">
        <v>2018</v>
      </c>
      <c r="D22" s="3" t="s">
        <v>558</v>
      </c>
      <c r="E22" s="9" t="s">
        <v>1135</v>
      </c>
      <c r="F22" s="9" t="s">
        <v>1136</v>
      </c>
      <c r="G22" s="1">
        <v>1687.8677</v>
      </c>
      <c r="H22" s="2">
        <v>62</v>
      </c>
      <c r="I22" s="2">
        <v>3</v>
      </c>
      <c r="J22" s="1">
        <v>1687.8870999999999</v>
      </c>
      <c r="K22" s="1">
        <v>563.62980000000005</v>
      </c>
      <c r="L22" s="9" t="s">
        <v>1137</v>
      </c>
      <c r="M22" s="2">
        <v>9.99</v>
      </c>
      <c r="N22" s="4">
        <v>2364.73</v>
      </c>
      <c r="O22" s="1">
        <v>11.473251887438645</v>
      </c>
      <c r="P22" s="6">
        <v>31.6</v>
      </c>
      <c r="Q22" s="6">
        <v>24.5</v>
      </c>
      <c r="R22" s="6">
        <v>8.1999999999999993</v>
      </c>
      <c r="S22" s="6">
        <v>10.1</v>
      </c>
      <c r="T22" s="5">
        <v>7.7999999999999996E-3</v>
      </c>
      <c r="U22" s="1">
        <v>1.9400000000000001E-2</v>
      </c>
      <c r="V22" s="1">
        <v>3.9954000000000001</v>
      </c>
    </row>
    <row r="23" spans="1:22" x14ac:dyDescent="0.25">
      <c r="A23" s="1">
        <v>0.99960000000000004</v>
      </c>
      <c r="B23" s="9" t="s">
        <v>3075</v>
      </c>
      <c r="C23" s="2">
        <v>2026</v>
      </c>
      <c r="D23" s="3" t="s">
        <v>3076</v>
      </c>
      <c r="E23" s="9" t="s">
        <v>3077</v>
      </c>
      <c r="F23" s="9" t="s">
        <v>3078</v>
      </c>
      <c r="G23" s="1">
        <v>2677.6336999999999</v>
      </c>
      <c r="H23" s="2">
        <v>367</v>
      </c>
      <c r="I23" s="2">
        <v>4</v>
      </c>
      <c r="J23" s="1">
        <v>2677.6657</v>
      </c>
      <c r="K23" s="1">
        <v>670.41570000000002</v>
      </c>
      <c r="L23" s="9" t="s">
        <v>3079</v>
      </c>
      <c r="M23" s="2">
        <v>10.130000000000001</v>
      </c>
      <c r="N23" s="4">
        <v>2379.5300000000002</v>
      </c>
      <c r="O23" s="1">
        <v>11.932894769618313</v>
      </c>
      <c r="P23" s="6">
        <v>37.9</v>
      </c>
      <c r="Q23" s="6">
        <v>22.6</v>
      </c>
      <c r="R23" s="6">
        <v>12.9</v>
      </c>
      <c r="S23" s="6">
        <v>13.1</v>
      </c>
      <c r="T23" s="5">
        <v>3.4E-5</v>
      </c>
      <c r="U23" s="1">
        <v>3.2000000000000001E-2</v>
      </c>
      <c r="V23" s="1">
        <v>6.1744000000000003</v>
      </c>
    </row>
    <row r="24" spans="1:22" x14ac:dyDescent="0.25">
      <c r="A24" s="1">
        <v>0.99360000000000004</v>
      </c>
      <c r="B24" s="9" t="s">
        <v>3080</v>
      </c>
      <c r="C24" s="2">
        <v>2027</v>
      </c>
      <c r="D24" s="3" t="s">
        <v>680</v>
      </c>
      <c r="E24" s="9" t="s">
        <v>3081</v>
      </c>
      <c r="F24" s="9" t="s">
        <v>3082</v>
      </c>
      <c r="G24" s="1">
        <v>1952.7927</v>
      </c>
      <c r="H24" s="2">
        <v>726</v>
      </c>
      <c r="I24" s="2">
        <v>3</v>
      </c>
      <c r="J24" s="1">
        <v>1952.8144</v>
      </c>
      <c r="K24" s="1">
        <v>651.93820000000005</v>
      </c>
      <c r="L24" s="9" t="s">
        <v>678</v>
      </c>
      <c r="M24" s="2">
        <v>5.39</v>
      </c>
      <c r="N24" s="4">
        <v>2379.5300000000002</v>
      </c>
      <c r="O24" s="1">
        <v>11.095121183776826</v>
      </c>
      <c r="P24" s="6">
        <v>33.6</v>
      </c>
      <c r="Q24" s="6">
        <v>25.8</v>
      </c>
      <c r="R24" s="6">
        <v>8.6999999999999993</v>
      </c>
      <c r="S24" s="6">
        <v>7.8</v>
      </c>
      <c r="T24" s="5">
        <v>1.2999999999999999E-3</v>
      </c>
      <c r="U24" s="1">
        <v>2.1700000000000001E-2</v>
      </c>
      <c r="V24" s="1">
        <v>4.6833999999999998</v>
      </c>
    </row>
    <row r="25" spans="1:22" x14ac:dyDescent="0.25">
      <c r="A25" s="1">
        <v>0.95899999999999996</v>
      </c>
      <c r="B25" s="9" t="s">
        <v>3083</v>
      </c>
      <c r="C25" s="2">
        <v>2063</v>
      </c>
      <c r="D25" s="3" t="s">
        <v>20</v>
      </c>
      <c r="E25" s="9" t="s">
        <v>3084</v>
      </c>
      <c r="F25" s="9" t="s">
        <v>2001</v>
      </c>
      <c r="G25" s="1">
        <v>1526.7258999999999</v>
      </c>
      <c r="H25" s="2">
        <v>369</v>
      </c>
      <c r="I25" s="2">
        <v>3</v>
      </c>
      <c r="J25" s="1">
        <v>1526.7330999999999</v>
      </c>
      <c r="K25" s="1">
        <v>509.91590000000002</v>
      </c>
      <c r="L25" s="9" t="s">
        <v>2002</v>
      </c>
      <c r="M25" s="2">
        <v>6.77</v>
      </c>
      <c r="N25" s="4">
        <v>2446.13</v>
      </c>
      <c r="O25" s="1">
        <v>4.7066584901549442</v>
      </c>
      <c r="P25" s="6">
        <v>30.8</v>
      </c>
      <c r="Q25" s="6">
        <v>22.8</v>
      </c>
      <c r="R25" s="6">
        <v>10.3</v>
      </c>
      <c r="S25" s="6">
        <v>11</v>
      </c>
      <c r="T25" s="5">
        <v>6.5000000000000002E-2</v>
      </c>
      <c r="U25" s="1">
        <v>7.1999999999999998E-3</v>
      </c>
      <c r="V25" s="1">
        <v>3.157</v>
      </c>
    </row>
    <row r="26" spans="1:22" x14ac:dyDescent="0.25">
      <c r="A26" s="1">
        <v>0.98550000000000004</v>
      </c>
      <c r="B26" s="9" t="s">
        <v>3085</v>
      </c>
      <c r="C26" s="2">
        <v>2191</v>
      </c>
      <c r="D26" s="3" t="s">
        <v>128</v>
      </c>
      <c r="E26" s="9" t="s">
        <v>3086</v>
      </c>
      <c r="F26" s="9" t="s">
        <v>3087</v>
      </c>
      <c r="G26" s="1">
        <v>1342.7180000000001</v>
      </c>
      <c r="H26" s="2">
        <v>166</v>
      </c>
      <c r="I26" s="2">
        <v>3</v>
      </c>
      <c r="J26" s="1">
        <v>1342.7267999999999</v>
      </c>
      <c r="K26" s="1">
        <v>448.57990000000001</v>
      </c>
      <c r="L26" s="9" t="s">
        <v>3088</v>
      </c>
      <c r="M26" s="2">
        <v>9.5</v>
      </c>
      <c r="N26" s="4">
        <v>2687.19</v>
      </c>
      <c r="O26" s="1">
        <v>6.5391546374087062</v>
      </c>
      <c r="P26" s="6">
        <v>29</v>
      </c>
      <c r="Q26" s="6">
        <v>22.5</v>
      </c>
      <c r="R26" s="6">
        <v>9.1999999999999993</v>
      </c>
      <c r="S26" s="6">
        <v>10.5</v>
      </c>
      <c r="T26" s="5">
        <v>4.5999999999999999E-2</v>
      </c>
      <c r="U26" s="1">
        <v>8.8000000000000005E-3</v>
      </c>
      <c r="V26" s="1">
        <v>3.4083999999999999</v>
      </c>
    </row>
    <row r="27" spans="1:22" x14ac:dyDescent="0.25">
      <c r="A27" s="1">
        <v>0.99839999999999995</v>
      </c>
      <c r="B27" s="9" t="s">
        <v>3089</v>
      </c>
      <c r="C27" s="2">
        <v>2246</v>
      </c>
      <c r="D27" s="3" t="s">
        <v>1002</v>
      </c>
      <c r="E27" s="9" t="s">
        <v>52</v>
      </c>
      <c r="F27" s="9" t="s">
        <v>53</v>
      </c>
      <c r="G27" s="1">
        <v>1307.6213</v>
      </c>
      <c r="H27" s="2">
        <v>220</v>
      </c>
      <c r="I27" s="2">
        <v>2</v>
      </c>
      <c r="J27" s="1">
        <v>1307.6256000000001</v>
      </c>
      <c r="K27" s="1">
        <v>654.81790000000001</v>
      </c>
      <c r="L27" s="9" t="s">
        <v>54</v>
      </c>
      <c r="M27" s="2">
        <v>8.1999999999999993</v>
      </c>
      <c r="N27" s="4">
        <v>2784.44</v>
      </c>
      <c r="O27" s="1">
        <v>3.2833555710679256</v>
      </c>
      <c r="P27" s="6">
        <v>50.1</v>
      </c>
      <c r="Q27" s="6">
        <v>35.200000000000003</v>
      </c>
      <c r="R27" s="6">
        <v>10</v>
      </c>
      <c r="S27" s="6">
        <v>10.4</v>
      </c>
      <c r="T27" s="5">
        <v>4.8000000000000001E-4</v>
      </c>
      <c r="U27" s="1">
        <v>4.3E-3</v>
      </c>
      <c r="V27" s="1">
        <v>5.7712000000000003</v>
      </c>
    </row>
    <row r="28" spans="1:22" x14ac:dyDescent="0.25">
      <c r="A28" s="1">
        <v>1</v>
      </c>
      <c r="B28" s="9" t="s">
        <v>3090</v>
      </c>
      <c r="C28" s="2">
        <v>2257</v>
      </c>
      <c r="D28" s="3" t="s">
        <v>3091</v>
      </c>
      <c r="E28" s="9" t="s">
        <v>57</v>
      </c>
      <c r="F28" s="9" t="s">
        <v>58</v>
      </c>
      <c r="G28" s="1">
        <v>1470.7943</v>
      </c>
      <c r="H28" s="2">
        <v>380</v>
      </c>
      <c r="I28" s="2">
        <v>3</v>
      </c>
      <c r="J28" s="1">
        <v>1470.7985000000001</v>
      </c>
      <c r="K28" s="1">
        <v>491.27199999999999</v>
      </c>
      <c r="L28" s="9" t="s">
        <v>59</v>
      </c>
      <c r="M28" s="2">
        <v>8.6</v>
      </c>
      <c r="N28" s="4">
        <v>2806.64</v>
      </c>
      <c r="O28" s="1">
        <v>2.8497451513621783</v>
      </c>
      <c r="P28" s="6">
        <v>54.7</v>
      </c>
      <c r="Q28" s="6">
        <v>34.5</v>
      </c>
      <c r="R28" s="6">
        <v>10.5</v>
      </c>
      <c r="S28" s="6">
        <v>10.199999999999999</v>
      </c>
      <c r="T28" s="5">
        <v>1.5E-5</v>
      </c>
      <c r="U28" s="1">
        <v>4.1999999999999997E-3</v>
      </c>
      <c r="V28" s="1">
        <v>8.4097000000000008</v>
      </c>
    </row>
    <row r="29" spans="1:22" x14ac:dyDescent="0.25">
      <c r="A29" s="1">
        <v>0.98629999999999995</v>
      </c>
      <c r="B29" s="9" t="s">
        <v>3092</v>
      </c>
      <c r="C29" s="2">
        <v>2290</v>
      </c>
      <c r="D29" s="3" t="s">
        <v>115</v>
      </c>
      <c r="E29" s="9" t="s">
        <v>2457</v>
      </c>
      <c r="F29" s="9" t="s">
        <v>2458</v>
      </c>
      <c r="G29" s="1">
        <v>1624.7765999999999</v>
      </c>
      <c r="H29" s="2">
        <v>382</v>
      </c>
      <c r="I29" s="2">
        <v>2</v>
      </c>
      <c r="J29" s="1">
        <v>1624.7825</v>
      </c>
      <c r="K29" s="1">
        <v>813.39559999999994</v>
      </c>
      <c r="L29" s="9" t="s">
        <v>2459</v>
      </c>
      <c r="M29" s="2">
        <v>6.24</v>
      </c>
      <c r="N29" s="4">
        <v>2865.84</v>
      </c>
      <c r="O29" s="1">
        <v>3.6267715242128187</v>
      </c>
      <c r="P29" s="6">
        <v>46.1</v>
      </c>
      <c r="Q29" s="6">
        <v>35.299999999999997</v>
      </c>
      <c r="R29" s="6">
        <v>10.5</v>
      </c>
      <c r="S29" s="6">
        <v>10.199999999999999</v>
      </c>
      <c r="T29" s="5">
        <v>5.6999999999999998E-4</v>
      </c>
      <c r="U29" s="1">
        <v>5.8999999999999999E-3</v>
      </c>
      <c r="V29" s="1">
        <v>4.7544000000000004</v>
      </c>
    </row>
    <row r="30" spans="1:22" x14ac:dyDescent="0.25">
      <c r="A30" s="1">
        <v>0.98280000000000001</v>
      </c>
      <c r="B30" s="9" t="s">
        <v>3093</v>
      </c>
      <c r="C30" s="2">
        <v>2298</v>
      </c>
      <c r="D30" s="3" t="s">
        <v>69</v>
      </c>
      <c r="E30" s="9" t="s">
        <v>3094</v>
      </c>
      <c r="F30" s="9" t="s">
        <v>3095</v>
      </c>
      <c r="G30" s="1">
        <v>1229.6324999999999</v>
      </c>
      <c r="H30" s="2">
        <v>383</v>
      </c>
      <c r="I30" s="2">
        <v>2</v>
      </c>
      <c r="J30" s="1">
        <v>1229.6361999999999</v>
      </c>
      <c r="K30" s="1">
        <v>615.82349999999997</v>
      </c>
      <c r="L30" s="9" t="s">
        <v>3096</v>
      </c>
      <c r="M30" s="2">
        <v>6.28</v>
      </c>
      <c r="N30" s="4">
        <v>2880.64</v>
      </c>
      <c r="O30" s="1">
        <v>3.0041075080765838</v>
      </c>
      <c r="P30" s="6">
        <v>38</v>
      </c>
      <c r="Q30" s="6">
        <v>26.6</v>
      </c>
      <c r="R30" s="6">
        <v>9.3000000000000007</v>
      </c>
      <c r="S30" s="6">
        <v>10.6</v>
      </c>
      <c r="T30" s="5">
        <v>1.9E-2</v>
      </c>
      <c r="U30" s="1">
        <v>3.7000000000000002E-3</v>
      </c>
      <c r="V30" s="1">
        <v>4.1138000000000003</v>
      </c>
    </row>
    <row r="31" spans="1:22" x14ac:dyDescent="0.25">
      <c r="A31" s="1">
        <v>1</v>
      </c>
      <c r="B31" s="9" t="s">
        <v>3097</v>
      </c>
      <c r="C31" s="2">
        <v>2303</v>
      </c>
      <c r="D31" s="3" t="s">
        <v>2247</v>
      </c>
      <c r="E31" s="9" t="s">
        <v>62</v>
      </c>
      <c r="F31" s="9" t="s">
        <v>1146</v>
      </c>
      <c r="G31" s="1">
        <v>1674.7746999999999</v>
      </c>
      <c r="H31" s="2">
        <v>66</v>
      </c>
      <c r="I31" s="2">
        <v>3</v>
      </c>
      <c r="J31" s="1">
        <v>1674.8047999999999</v>
      </c>
      <c r="K31" s="1">
        <v>559.26549999999997</v>
      </c>
      <c r="L31" s="9" t="s">
        <v>714</v>
      </c>
      <c r="M31" s="2">
        <v>6.76</v>
      </c>
      <c r="N31" s="4">
        <v>2888.04</v>
      </c>
      <c r="O31" s="1">
        <v>17.940197157402579</v>
      </c>
      <c r="P31" s="6">
        <v>43.2</v>
      </c>
      <c r="Q31" s="6">
        <v>24.7</v>
      </c>
      <c r="R31" s="6">
        <v>9.1999999999999993</v>
      </c>
      <c r="S31" s="6">
        <v>9.4</v>
      </c>
      <c r="T31" s="5">
        <v>7.7999999999999999E-6</v>
      </c>
      <c r="U31" s="1">
        <v>3.0099999999999998E-2</v>
      </c>
      <c r="V31" s="1">
        <v>8.4849999999999994</v>
      </c>
    </row>
    <row r="32" spans="1:22" x14ac:dyDescent="0.25">
      <c r="A32" s="1">
        <v>0.99299999999999999</v>
      </c>
      <c r="B32" s="9" t="s">
        <v>3098</v>
      </c>
      <c r="C32" s="2">
        <v>2310</v>
      </c>
      <c r="D32" s="3" t="s">
        <v>168</v>
      </c>
      <c r="E32" s="9" t="s">
        <v>3099</v>
      </c>
      <c r="F32" s="9" t="s">
        <v>1136</v>
      </c>
      <c r="G32" s="1">
        <v>2029.0377000000001</v>
      </c>
      <c r="H32" s="2">
        <v>167</v>
      </c>
      <c r="I32" s="2">
        <v>3</v>
      </c>
      <c r="J32" s="1">
        <v>2029.0201</v>
      </c>
      <c r="K32" s="1">
        <v>677.35320000000002</v>
      </c>
      <c r="L32" s="9" t="s">
        <v>1137</v>
      </c>
      <c r="M32" s="2">
        <v>9.99</v>
      </c>
      <c r="N32" s="4">
        <v>2907.09</v>
      </c>
      <c r="O32" s="1">
        <v>-8.6611632847776701</v>
      </c>
      <c r="P32" s="6">
        <v>35.200000000000003</v>
      </c>
      <c r="Q32" s="6">
        <v>27.2</v>
      </c>
      <c r="R32" s="6">
        <v>10.6</v>
      </c>
      <c r="S32" s="6">
        <v>7.6</v>
      </c>
      <c r="T32" s="5">
        <v>9.1E-4</v>
      </c>
      <c r="U32" s="1">
        <v>-1.7600000000000001E-2</v>
      </c>
      <c r="V32" s="1">
        <v>4.5721999999999996</v>
      </c>
    </row>
    <row r="33" spans="1:22" x14ac:dyDescent="0.25">
      <c r="A33" s="1">
        <v>0.97970000000000002</v>
      </c>
      <c r="B33" s="9" t="s">
        <v>3100</v>
      </c>
      <c r="C33" s="2">
        <v>2321</v>
      </c>
      <c r="D33" s="3" t="s">
        <v>41</v>
      </c>
      <c r="E33" s="9" t="s">
        <v>62</v>
      </c>
      <c r="F33" s="9" t="s">
        <v>1146</v>
      </c>
      <c r="G33" s="1">
        <v>1674.7750000000001</v>
      </c>
      <c r="H33" s="2">
        <v>384</v>
      </c>
      <c r="I33" s="2">
        <v>3</v>
      </c>
      <c r="J33" s="1">
        <v>1674.7801999999999</v>
      </c>
      <c r="K33" s="1">
        <v>559.26559999999995</v>
      </c>
      <c r="L33" s="9" t="s">
        <v>714</v>
      </c>
      <c r="M33" s="2">
        <v>6.76</v>
      </c>
      <c r="N33" s="4">
        <v>2925.04</v>
      </c>
      <c r="O33" s="1">
        <v>3.0993026092313443</v>
      </c>
      <c r="P33" s="6">
        <v>30.2</v>
      </c>
      <c r="Q33" s="6">
        <v>21.6</v>
      </c>
      <c r="R33" s="6">
        <v>7.7</v>
      </c>
      <c r="S33" s="6">
        <v>8.3000000000000007</v>
      </c>
      <c r="T33" s="5">
        <v>2.4E-2</v>
      </c>
      <c r="U33" s="1">
        <v>5.1999999999999998E-3</v>
      </c>
      <c r="V33" s="1">
        <v>3.5964999999999998</v>
      </c>
    </row>
    <row r="34" spans="1:22" x14ac:dyDescent="0.25">
      <c r="A34" s="1">
        <v>0.99460000000000004</v>
      </c>
      <c r="B34" s="9" t="s">
        <v>3101</v>
      </c>
      <c r="C34" s="2">
        <v>2350</v>
      </c>
      <c r="D34" s="3" t="s">
        <v>78</v>
      </c>
      <c r="E34" s="9" t="s">
        <v>3102</v>
      </c>
      <c r="F34" s="9" t="s">
        <v>3103</v>
      </c>
      <c r="G34" s="1">
        <v>1178.6216999999999</v>
      </c>
      <c r="H34" s="2">
        <v>388</v>
      </c>
      <c r="I34" s="2">
        <v>2</v>
      </c>
      <c r="J34" s="1">
        <v>1178.6241</v>
      </c>
      <c r="K34" s="1">
        <v>590.31809999999996</v>
      </c>
      <c r="L34" s="9" t="s">
        <v>1840</v>
      </c>
      <c r="M34" s="2">
        <v>8.56</v>
      </c>
      <c r="N34" s="4">
        <v>2976.84</v>
      </c>
      <c r="O34" s="1">
        <v>2.0328023145487153</v>
      </c>
      <c r="P34" s="6">
        <v>37.799999999999997</v>
      </c>
      <c r="Q34" s="6">
        <v>26</v>
      </c>
      <c r="R34" s="6">
        <v>8.6</v>
      </c>
      <c r="S34" s="6">
        <v>8.9</v>
      </c>
      <c r="T34" s="5">
        <v>1.9E-3</v>
      </c>
      <c r="U34" s="1">
        <v>2.3999999999999998E-3</v>
      </c>
      <c r="V34" s="1">
        <v>5.1497999999999999</v>
      </c>
    </row>
    <row r="35" spans="1:22" x14ac:dyDescent="0.25">
      <c r="A35" s="1">
        <v>0.98070000000000002</v>
      </c>
      <c r="B35" s="9" t="s">
        <v>3104</v>
      </c>
      <c r="C35" s="2">
        <v>2358</v>
      </c>
      <c r="D35" s="3" t="s">
        <v>2910</v>
      </c>
      <c r="E35" s="9" t="s">
        <v>3105</v>
      </c>
      <c r="F35" s="9" t="s">
        <v>3106</v>
      </c>
      <c r="G35" s="1">
        <v>1884.9407000000001</v>
      </c>
      <c r="H35" s="2">
        <v>1028</v>
      </c>
      <c r="I35" s="2">
        <v>4</v>
      </c>
      <c r="J35" s="1">
        <v>1884.9684999999999</v>
      </c>
      <c r="K35" s="1">
        <v>472.24250000000001</v>
      </c>
      <c r="L35" s="9" t="s">
        <v>3107</v>
      </c>
      <c r="M35" s="2">
        <v>3.93</v>
      </c>
      <c r="N35" s="4">
        <v>2991.64</v>
      </c>
      <c r="O35" s="1">
        <v>14.717015092881304</v>
      </c>
      <c r="P35" s="6">
        <v>30.8</v>
      </c>
      <c r="Q35" s="6">
        <v>22.4</v>
      </c>
      <c r="R35" s="6">
        <v>11.5</v>
      </c>
      <c r="S35" s="6">
        <v>11.3</v>
      </c>
      <c r="T35" s="5">
        <v>9.5999999999999992E-3</v>
      </c>
      <c r="U35" s="1">
        <v>2.7799999999999998E-2</v>
      </c>
      <c r="V35" s="1">
        <v>4.0075000000000003</v>
      </c>
    </row>
    <row r="36" spans="1:22" x14ac:dyDescent="0.25">
      <c r="A36" s="1">
        <v>0.97819999999999996</v>
      </c>
      <c r="B36" s="9" t="s">
        <v>3108</v>
      </c>
      <c r="C36" s="2">
        <v>2377</v>
      </c>
      <c r="D36" s="3" t="s">
        <v>100</v>
      </c>
      <c r="E36" s="9" t="s">
        <v>720</v>
      </c>
      <c r="F36" s="9" t="s">
        <v>721</v>
      </c>
      <c r="G36" s="1">
        <v>1323.7666999999999</v>
      </c>
      <c r="H36" s="2">
        <v>391</v>
      </c>
      <c r="I36" s="2">
        <v>3</v>
      </c>
      <c r="J36" s="1">
        <v>1323.7788</v>
      </c>
      <c r="K36" s="1">
        <v>442.26280000000003</v>
      </c>
      <c r="L36" s="9" t="s">
        <v>118</v>
      </c>
      <c r="M36" s="2">
        <v>8.6</v>
      </c>
      <c r="N36" s="4">
        <v>3028.65</v>
      </c>
      <c r="O36" s="1">
        <v>9.1197661963279142</v>
      </c>
      <c r="P36" s="6">
        <v>30.8</v>
      </c>
      <c r="Q36" s="6">
        <v>23.9</v>
      </c>
      <c r="R36" s="6">
        <v>10.5</v>
      </c>
      <c r="S36" s="6">
        <v>7.6</v>
      </c>
      <c r="T36" s="5">
        <v>0.14000000000000001</v>
      </c>
      <c r="U36" s="1">
        <v>1.21E-2</v>
      </c>
      <c r="V36" s="1">
        <v>2.7364999999999999</v>
      </c>
    </row>
    <row r="37" spans="1:22" x14ac:dyDescent="0.25">
      <c r="A37" s="1">
        <v>0.99950000000000006</v>
      </c>
      <c r="B37" s="9" t="s">
        <v>3109</v>
      </c>
      <c r="C37" s="2">
        <v>2431</v>
      </c>
      <c r="D37" s="3" t="s">
        <v>128</v>
      </c>
      <c r="E37" s="9" t="s">
        <v>724</v>
      </c>
      <c r="F37" s="9" t="s">
        <v>647</v>
      </c>
      <c r="G37" s="1">
        <v>1439.8497</v>
      </c>
      <c r="H37" s="2">
        <v>168</v>
      </c>
      <c r="I37" s="2">
        <v>3</v>
      </c>
      <c r="J37" s="1">
        <v>1439.8625999999999</v>
      </c>
      <c r="K37" s="1">
        <v>480.9572</v>
      </c>
      <c r="L37" s="9" t="s">
        <v>118</v>
      </c>
      <c r="M37" s="2">
        <v>8.48</v>
      </c>
      <c r="N37" s="4">
        <v>3130.2</v>
      </c>
      <c r="O37" s="1">
        <v>8.9405044773214755</v>
      </c>
      <c r="P37" s="6">
        <v>32.200000000000003</v>
      </c>
      <c r="Q37" s="6">
        <v>21.7</v>
      </c>
      <c r="R37" s="6">
        <v>4</v>
      </c>
      <c r="S37" s="6">
        <v>10.6</v>
      </c>
      <c r="T37" s="5">
        <v>4.0000000000000001E-3</v>
      </c>
      <c r="U37" s="1">
        <v>1.29E-2</v>
      </c>
      <c r="V37" s="1">
        <v>5.4958999999999998</v>
      </c>
    </row>
    <row r="38" spans="1:22" x14ac:dyDescent="0.25">
      <c r="A38" s="1">
        <v>0.96179999999999999</v>
      </c>
      <c r="B38" s="9" t="s">
        <v>3110</v>
      </c>
      <c r="C38" s="2">
        <v>2463</v>
      </c>
      <c r="D38" s="3" t="s">
        <v>1086</v>
      </c>
      <c r="E38" s="9" t="s">
        <v>3111</v>
      </c>
      <c r="F38" s="9" t="s">
        <v>3112</v>
      </c>
      <c r="G38" s="1">
        <v>1416.7107000000001</v>
      </c>
      <c r="H38" s="2">
        <v>991</v>
      </c>
      <c r="I38" s="2">
        <v>3</v>
      </c>
      <c r="J38" s="1">
        <v>1416.6955</v>
      </c>
      <c r="K38" s="1">
        <v>473.24419999999998</v>
      </c>
      <c r="L38" s="9" t="s">
        <v>3113</v>
      </c>
      <c r="M38" s="2">
        <v>9.7899999999999991</v>
      </c>
      <c r="N38" s="4">
        <v>3189.4</v>
      </c>
      <c r="O38" s="1">
        <v>-10.706241442930873</v>
      </c>
      <c r="P38" s="6">
        <v>31.2</v>
      </c>
      <c r="Q38" s="6">
        <v>24.2</v>
      </c>
      <c r="R38" s="6">
        <v>10.1</v>
      </c>
      <c r="S38" s="6">
        <v>8.9</v>
      </c>
      <c r="T38" s="5">
        <v>6.1000000000000004E-3</v>
      </c>
      <c r="U38" s="1">
        <v>-1.52E-2</v>
      </c>
      <c r="V38" s="1">
        <v>3.8715000000000002</v>
      </c>
    </row>
    <row r="39" spans="1:22" x14ac:dyDescent="0.25">
      <c r="A39" s="1">
        <v>0.99880000000000002</v>
      </c>
      <c r="B39" s="9" t="s">
        <v>3114</v>
      </c>
      <c r="C39" s="2">
        <v>2479</v>
      </c>
      <c r="D39" s="3" t="s">
        <v>891</v>
      </c>
      <c r="E39" s="9" t="s">
        <v>3115</v>
      </c>
      <c r="F39" s="9" t="s">
        <v>3116</v>
      </c>
      <c r="G39" s="1">
        <v>909.47080000000005</v>
      </c>
      <c r="H39" s="2">
        <v>596</v>
      </c>
      <c r="I39" s="2">
        <v>2</v>
      </c>
      <c r="J39" s="1">
        <v>909.47649999999999</v>
      </c>
      <c r="K39" s="1">
        <v>455.74270000000001</v>
      </c>
      <c r="L39" s="9" t="s">
        <v>3117</v>
      </c>
      <c r="M39" s="2">
        <v>6.74</v>
      </c>
      <c r="N39" s="4">
        <v>3219</v>
      </c>
      <c r="O39" s="1">
        <v>6.2535285809295464</v>
      </c>
      <c r="P39" s="6">
        <v>33.299999999999997</v>
      </c>
      <c r="Q39" s="6">
        <v>21.5</v>
      </c>
      <c r="R39" s="6">
        <v>11.4</v>
      </c>
      <c r="S39" s="6">
        <v>12.1</v>
      </c>
      <c r="T39" s="5">
        <v>5.9999999999999995E-4</v>
      </c>
      <c r="U39" s="1">
        <v>5.7000000000000002E-3</v>
      </c>
      <c r="V39" s="1">
        <v>6.6010999999999997</v>
      </c>
    </row>
    <row r="40" spans="1:22" x14ac:dyDescent="0.25">
      <c r="A40" s="1">
        <v>1</v>
      </c>
      <c r="B40" s="9" t="s">
        <v>3118</v>
      </c>
      <c r="C40" s="2">
        <v>2487</v>
      </c>
      <c r="D40" s="3" t="s">
        <v>3119</v>
      </c>
      <c r="E40" s="9" t="s">
        <v>3120</v>
      </c>
      <c r="F40" s="9" t="s">
        <v>2042</v>
      </c>
      <c r="G40" s="1">
        <v>2435.2366999999999</v>
      </c>
      <c r="H40" s="2">
        <v>397</v>
      </c>
      <c r="I40" s="2">
        <v>3</v>
      </c>
      <c r="J40" s="1">
        <v>2435.2566999999999</v>
      </c>
      <c r="K40" s="1">
        <v>812.75279999999998</v>
      </c>
      <c r="L40" s="9" t="s">
        <v>2043</v>
      </c>
      <c r="M40" s="2">
        <v>9.52</v>
      </c>
      <c r="N40" s="4">
        <v>3227.45</v>
      </c>
      <c r="O40" s="1">
        <v>8.2025760682296838</v>
      </c>
      <c r="P40" s="6">
        <v>42.9</v>
      </c>
      <c r="Q40" s="6">
        <v>26.8</v>
      </c>
      <c r="R40" s="6">
        <v>10.199999999999999</v>
      </c>
      <c r="S40" s="6">
        <v>9.5</v>
      </c>
      <c r="T40" s="5">
        <v>7.6000000000000006E-8</v>
      </c>
      <c r="U40" s="1">
        <v>0.02</v>
      </c>
      <c r="V40" s="1">
        <v>8.6012000000000004</v>
      </c>
    </row>
    <row r="41" spans="1:22" x14ac:dyDescent="0.25">
      <c r="A41" s="1">
        <v>0.99450000000000005</v>
      </c>
      <c r="B41" s="9" t="s">
        <v>3121</v>
      </c>
      <c r="C41" s="2">
        <v>2540</v>
      </c>
      <c r="D41" s="3" t="s">
        <v>814</v>
      </c>
      <c r="E41" s="9" t="s">
        <v>3122</v>
      </c>
      <c r="F41" s="9" t="s">
        <v>841</v>
      </c>
      <c r="G41" s="1">
        <v>1401.7076999999999</v>
      </c>
      <c r="H41" s="2">
        <v>402</v>
      </c>
      <c r="I41" s="2">
        <v>3</v>
      </c>
      <c r="J41" s="1">
        <v>1401.7349999999999</v>
      </c>
      <c r="K41" s="1">
        <v>468.2432</v>
      </c>
      <c r="L41" s="9" t="s">
        <v>673</v>
      </c>
      <c r="M41" s="2">
        <v>6.48</v>
      </c>
      <c r="N41" s="4">
        <v>3324.75</v>
      </c>
      <c r="O41" s="1">
        <v>19.43434522914588</v>
      </c>
      <c r="P41" s="6">
        <v>37.9</v>
      </c>
      <c r="Q41" s="6">
        <v>29.9</v>
      </c>
      <c r="R41" s="6">
        <v>9.6</v>
      </c>
      <c r="S41" s="6">
        <v>11.2</v>
      </c>
      <c r="T41" s="5">
        <v>5.4000000000000003E-3</v>
      </c>
      <c r="U41" s="1">
        <v>2.7300000000000001E-2</v>
      </c>
      <c r="V41" s="1">
        <v>4.4332000000000003</v>
      </c>
    </row>
    <row r="42" spans="1:22" x14ac:dyDescent="0.25">
      <c r="A42" s="1">
        <v>0.96760000000000002</v>
      </c>
      <c r="B42" s="9" t="s">
        <v>3123</v>
      </c>
      <c r="C42" s="2">
        <v>2542</v>
      </c>
      <c r="D42" s="3" t="s">
        <v>3124</v>
      </c>
      <c r="E42" s="9" t="s">
        <v>3125</v>
      </c>
      <c r="F42" s="9" t="s">
        <v>3126</v>
      </c>
      <c r="G42" s="1">
        <v>1850.0417</v>
      </c>
      <c r="H42" s="2">
        <v>403</v>
      </c>
      <c r="I42" s="2">
        <v>3</v>
      </c>
      <c r="J42" s="1">
        <v>1850.0624</v>
      </c>
      <c r="K42" s="1">
        <v>617.68780000000004</v>
      </c>
      <c r="L42" s="9" t="s">
        <v>3127</v>
      </c>
      <c r="M42" s="2">
        <v>8.5</v>
      </c>
      <c r="N42" s="4">
        <v>3332.16</v>
      </c>
      <c r="O42" s="1">
        <v>11.170691731324464</v>
      </c>
      <c r="P42" s="6">
        <v>28.1</v>
      </c>
      <c r="Q42" s="6">
        <v>22.9</v>
      </c>
      <c r="R42" s="6">
        <v>10.9</v>
      </c>
      <c r="S42" s="6">
        <v>7.6</v>
      </c>
      <c r="T42" s="5">
        <v>2.5999999999999999E-2</v>
      </c>
      <c r="U42" s="1">
        <v>2.07E-2</v>
      </c>
      <c r="V42" s="1">
        <v>2.9500999999999999</v>
      </c>
    </row>
    <row r="43" spans="1:22" x14ac:dyDescent="0.25">
      <c r="A43" s="1">
        <v>0.99870000000000003</v>
      </c>
      <c r="B43" s="9" t="s">
        <v>3128</v>
      </c>
      <c r="C43" s="2">
        <v>2544</v>
      </c>
      <c r="D43" s="3" t="s">
        <v>1002</v>
      </c>
      <c r="E43" s="9" t="s">
        <v>3129</v>
      </c>
      <c r="F43" s="9" t="s">
        <v>3130</v>
      </c>
      <c r="G43" s="1">
        <v>1150.5536999999999</v>
      </c>
      <c r="H43" s="2">
        <v>404</v>
      </c>
      <c r="I43" s="2">
        <v>2</v>
      </c>
      <c r="J43" s="1">
        <v>1150.5669</v>
      </c>
      <c r="K43" s="1">
        <v>576.28409999999997</v>
      </c>
      <c r="L43" s="9" t="s">
        <v>3131</v>
      </c>
      <c r="M43" s="2">
        <v>6.22</v>
      </c>
      <c r="N43" s="4">
        <v>3332.16</v>
      </c>
      <c r="O43" s="1">
        <v>11.4526845352839</v>
      </c>
      <c r="P43" s="6">
        <v>48.6</v>
      </c>
      <c r="Q43" s="6">
        <v>30.2</v>
      </c>
      <c r="R43" s="6">
        <v>9.1</v>
      </c>
      <c r="S43" s="6">
        <v>11</v>
      </c>
      <c r="T43" s="5">
        <v>1E-4</v>
      </c>
      <c r="U43" s="1">
        <v>1.32E-2</v>
      </c>
      <c r="V43" s="1">
        <v>6.9756999999999998</v>
      </c>
    </row>
    <row r="44" spans="1:22" x14ac:dyDescent="0.25">
      <c r="A44" s="1">
        <v>0.99880000000000002</v>
      </c>
      <c r="B44" s="9" t="s">
        <v>3132</v>
      </c>
      <c r="C44" s="2">
        <v>2547</v>
      </c>
      <c r="D44" s="3" t="s">
        <v>201</v>
      </c>
      <c r="E44" s="9" t="s">
        <v>79</v>
      </c>
      <c r="F44" s="9" t="s">
        <v>80</v>
      </c>
      <c r="G44" s="1">
        <v>1140.5237</v>
      </c>
      <c r="H44" s="2">
        <v>599</v>
      </c>
      <c r="I44" s="2">
        <v>2</v>
      </c>
      <c r="J44" s="1">
        <v>1140.5356999999999</v>
      </c>
      <c r="K44" s="1">
        <v>571.26909999999998</v>
      </c>
      <c r="L44" s="9" t="s">
        <v>81</v>
      </c>
      <c r="M44" s="2">
        <v>5.47</v>
      </c>
      <c r="N44" s="4">
        <v>3343.8</v>
      </c>
      <c r="O44" s="1">
        <v>10.502931105498268</v>
      </c>
      <c r="P44" s="6">
        <v>47.1</v>
      </c>
      <c r="Q44" s="6">
        <v>29</v>
      </c>
      <c r="R44" s="6">
        <v>11.2</v>
      </c>
      <c r="S44" s="6">
        <v>11.3</v>
      </c>
      <c r="T44" s="5">
        <v>6.0999999999999997E-4</v>
      </c>
      <c r="U44" s="1">
        <v>1.2E-2</v>
      </c>
      <c r="V44" s="1">
        <v>6.0895000000000001</v>
      </c>
    </row>
    <row r="45" spans="1:22" x14ac:dyDescent="0.25">
      <c r="A45" s="1">
        <v>0.97889999999999999</v>
      </c>
      <c r="B45" s="9" t="s">
        <v>3133</v>
      </c>
      <c r="C45" s="2">
        <v>2555</v>
      </c>
      <c r="D45" s="3" t="s">
        <v>988</v>
      </c>
      <c r="E45" s="9" t="s">
        <v>1173</v>
      </c>
      <c r="F45" s="9" t="s">
        <v>1749</v>
      </c>
      <c r="G45" s="1">
        <v>1394.5297</v>
      </c>
      <c r="H45" s="2">
        <v>902</v>
      </c>
      <c r="I45" s="2">
        <v>2</v>
      </c>
      <c r="J45" s="1">
        <v>1394.6537000000001</v>
      </c>
      <c r="K45" s="1">
        <v>698.27210000000002</v>
      </c>
      <c r="L45" s="9" t="s">
        <v>1069</v>
      </c>
      <c r="M45" s="2">
        <v>4.22</v>
      </c>
      <c r="N45" s="4">
        <v>3358.61</v>
      </c>
      <c r="O45" s="1">
        <v>88.790601829859739</v>
      </c>
      <c r="P45" s="6">
        <v>28</v>
      </c>
      <c r="Q45" s="6">
        <v>21.5</v>
      </c>
      <c r="R45" s="6">
        <v>0</v>
      </c>
      <c r="S45" s="6">
        <v>9.6</v>
      </c>
      <c r="T45" s="5">
        <v>0.19</v>
      </c>
      <c r="U45" s="1">
        <v>0.124</v>
      </c>
      <c r="V45" s="1">
        <v>2.3210999999999999</v>
      </c>
    </row>
    <row r="46" spans="1:22" x14ac:dyDescent="0.25">
      <c r="A46" s="1">
        <v>1</v>
      </c>
      <c r="B46" s="9" t="s">
        <v>3134</v>
      </c>
      <c r="C46" s="2">
        <v>2555</v>
      </c>
      <c r="D46" s="3" t="s">
        <v>3135</v>
      </c>
      <c r="E46" s="9" t="s">
        <v>1176</v>
      </c>
      <c r="F46" s="9" t="s">
        <v>1749</v>
      </c>
      <c r="G46" s="1">
        <v>2091.9387000000002</v>
      </c>
      <c r="H46" s="2">
        <v>757</v>
      </c>
      <c r="I46" s="2">
        <v>3</v>
      </c>
      <c r="J46" s="1">
        <v>2091.9805000000001</v>
      </c>
      <c r="K46" s="1">
        <v>698.3202</v>
      </c>
      <c r="L46" s="9" t="s">
        <v>1069</v>
      </c>
      <c r="M46" s="2">
        <v>4.53</v>
      </c>
      <c r="N46" s="4">
        <v>3354.35</v>
      </c>
      <c r="O46" s="1">
        <v>19.952642546117573</v>
      </c>
      <c r="P46" s="6">
        <v>63.9</v>
      </c>
      <c r="Q46" s="6">
        <v>26.7</v>
      </c>
      <c r="R46" s="6">
        <v>11</v>
      </c>
      <c r="S46" s="6">
        <v>11.1</v>
      </c>
      <c r="T46" s="5">
        <v>3.6E-10</v>
      </c>
      <c r="U46" s="1">
        <v>4.1799999999999997E-2</v>
      </c>
      <c r="V46" s="1">
        <v>13.195</v>
      </c>
    </row>
    <row r="47" spans="1:22" x14ac:dyDescent="0.25">
      <c r="A47" s="1">
        <v>0.999</v>
      </c>
      <c r="B47" s="9" t="s">
        <v>3136</v>
      </c>
      <c r="C47" s="2">
        <v>2566</v>
      </c>
      <c r="D47" s="3" t="s">
        <v>183</v>
      </c>
      <c r="E47" s="9" t="s">
        <v>79</v>
      </c>
      <c r="F47" s="9" t="s">
        <v>80</v>
      </c>
      <c r="G47" s="1">
        <v>1140.5237</v>
      </c>
      <c r="H47" s="2">
        <v>9</v>
      </c>
      <c r="I47" s="2">
        <v>2</v>
      </c>
      <c r="J47" s="1">
        <v>1140.5467000000001</v>
      </c>
      <c r="K47" s="1">
        <v>571.26909999999998</v>
      </c>
      <c r="L47" s="9" t="s">
        <v>81</v>
      </c>
      <c r="M47" s="2">
        <v>5.47</v>
      </c>
      <c r="N47" s="4">
        <v>3376.55</v>
      </c>
      <c r="O47" s="1">
        <v>20.130617952205014</v>
      </c>
      <c r="P47" s="6">
        <v>35.6</v>
      </c>
      <c r="Q47" s="6">
        <v>21.9</v>
      </c>
      <c r="R47" s="6">
        <v>10.8</v>
      </c>
      <c r="S47" s="6">
        <v>11.1</v>
      </c>
      <c r="T47" s="5">
        <v>2.7999999999999998E-4</v>
      </c>
      <c r="U47" s="1">
        <v>2.3E-2</v>
      </c>
      <c r="V47" s="1">
        <v>6.4863</v>
      </c>
    </row>
    <row r="48" spans="1:22" x14ac:dyDescent="0.25">
      <c r="A48" s="1">
        <v>0.99960000000000004</v>
      </c>
      <c r="B48" s="9" t="s">
        <v>3137</v>
      </c>
      <c r="C48" s="2">
        <v>2584</v>
      </c>
      <c r="D48" s="3" t="s">
        <v>321</v>
      </c>
      <c r="E48" s="9" t="s">
        <v>1950</v>
      </c>
      <c r="F48" s="9" t="s">
        <v>1140</v>
      </c>
      <c r="G48" s="1">
        <v>1586.7689</v>
      </c>
      <c r="H48" s="2">
        <v>993</v>
      </c>
      <c r="I48" s="2">
        <v>3</v>
      </c>
      <c r="J48" s="1">
        <v>1586.7760000000001</v>
      </c>
      <c r="K48" s="1">
        <v>529.93020000000001</v>
      </c>
      <c r="L48" s="9" t="s">
        <v>745</v>
      </c>
      <c r="M48" s="2">
        <v>5.3</v>
      </c>
      <c r="N48" s="4">
        <v>3412.51</v>
      </c>
      <c r="O48" s="1">
        <v>4.4659969684057765</v>
      </c>
      <c r="P48" s="6">
        <v>43.9</v>
      </c>
      <c r="Q48" s="6">
        <v>26.7</v>
      </c>
      <c r="R48" s="6">
        <v>12.3</v>
      </c>
      <c r="S48" s="6">
        <v>13.9</v>
      </c>
      <c r="T48" s="5">
        <v>1.3999999999999999E-4</v>
      </c>
      <c r="U48" s="1">
        <v>7.1000000000000004E-3</v>
      </c>
      <c r="V48" s="1">
        <v>7.2956000000000003</v>
      </c>
    </row>
    <row r="49" spans="1:22" x14ac:dyDescent="0.25">
      <c r="A49" s="1">
        <v>0.99970000000000003</v>
      </c>
      <c r="B49" s="9" t="s">
        <v>3138</v>
      </c>
      <c r="C49" s="2">
        <v>2601</v>
      </c>
      <c r="D49" s="3" t="s">
        <v>3139</v>
      </c>
      <c r="E49" s="9" t="s">
        <v>1950</v>
      </c>
      <c r="F49" s="9" t="s">
        <v>1140</v>
      </c>
      <c r="G49" s="1">
        <v>1586.7687000000001</v>
      </c>
      <c r="H49" s="2">
        <v>1033</v>
      </c>
      <c r="I49" s="2">
        <v>3</v>
      </c>
      <c r="J49" s="1">
        <v>1586.7860000000001</v>
      </c>
      <c r="K49" s="1">
        <v>529.93020000000001</v>
      </c>
      <c r="L49" s="9" t="s">
        <v>745</v>
      </c>
      <c r="M49" s="2">
        <v>5.3</v>
      </c>
      <c r="N49" s="4">
        <v>3441.06</v>
      </c>
      <c r="O49" s="1">
        <v>10.881936275129567</v>
      </c>
      <c r="P49" s="6">
        <v>47.3</v>
      </c>
      <c r="Q49" s="6">
        <v>28.5</v>
      </c>
      <c r="R49" s="6">
        <v>12.5</v>
      </c>
      <c r="S49" s="6">
        <v>13.9</v>
      </c>
      <c r="T49" s="5">
        <v>7.7999999999999999E-6</v>
      </c>
      <c r="U49" s="1">
        <v>1.7299999999999999E-2</v>
      </c>
      <c r="V49" s="1">
        <v>8.9288000000000007</v>
      </c>
    </row>
    <row r="50" spans="1:22" x14ac:dyDescent="0.25">
      <c r="A50" s="1">
        <v>0.99970000000000003</v>
      </c>
      <c r="B50" s="9" t="s">
        <v>3140</v>
      </c>
      <c r="C50" s="2">
        <v>2661</v>
      </c>
      <c r="D50" s="3" t="s">
        <v>56</v>
      </c>
      <c r="E50" s="9" t="s">
        <v>1956</v>
      </c>
      <c r="F50" s="9" t="s">
        <v>1957</v>
      </c>
      <c r="G50" s="1">
        <v>1570.7737</v>
      </c>
      <c r="H50" s="2">
        <v>763</v>
      </c>
      <c r="I50" s="2">
        <v>3</v>
      </c>
      <c r="J50" s="1">
        <v>1570.8004000000001</v>
      </c>
      <c r="K50" s="1">
        <v>524.59849999999994</v>
      </c>
      <c r="L50" s="9" t="s">
        <v>1958</v>
      </c>
      <c r="M50" s="2">
        <v>5.3</v>
      </c>
      <c r="N50" s="4">
        <v>3546.06</v>
      </c>
      <c r="O50" s="1">
        <v>16.965355409899193</v>
      </c>
      <c r="P50" s="6">
        <v>50.3</v>
      </c>
      <c r="Q50" s="6">
        <v>30.2</v>
      </c>
      <c r="R50" s="6">
        <v>11.5</v>
      </c>
      <c r="S50" s="6">
        <v>13.8</v>
      </c>
      <c r="T50" s="5">
        <v>2.9999999999999997E-4</v>
      </c>
      <c r="U50" s="1">
        <v>2.6700000000000002E-2</v>
      </c>
      <c r="V50" s="1">
        <v>6.9161999999999999</v>
      </c>
    </row>
    <row r="51" spans="1:22" x14ac:dyDescent="0.25">
      <c r="A51" s="1">
        <v>0.99250000000000005</v>
      </c>
      <c r="B51" s="9" t="s">
        <v>3141</v>
      </c>
      <c r="C51" s="2">
        <v>2798</v>
      </c>
      <c r="D51" s="3" t="s">
        <v>214</v>
      </c>
      <c r="E51" s="9" t="s">
        <v>89</v>
      </c>
      <c r="F51" s="9" t="s">
        <v>90</v>
      </c>
      <c r="G51" s="1">
        <v>1263.6379999999999</v>
      </c>
      <c r="H51" s="2">
        <v>602</v>
      </c>
      <c r="I51" s="2">
        <v>2</v>
      </c>
      <c r="J51" s="1">
        <v>1263.6329000000001</v>
      </c>
      <c r="K51" s="1">
        <v>632.82629999999995</v>
      </c>
      <c r="L51" s="9" t="s">
        <v>91</v>
      </c>
      <c r="M51" s="2">
        <v>6.22</v>
      </c>
      <c r="N51" s="4">
        <v>3791.92</v>
      </c>
      <c r="O51" s="1">
        <v>-4.0295417557708966</v>
      </c>
      <c r="P51" s="6">
        <v>55.7</v>
      </c>
      <c r="Q51" s="6">
        <v>35.6</v>
      </c>
      <c r="R51" s="6">
        <v>8.9</v>
      </c>
      <c r="S51" s="6">
        <v>10.4</v>
      </c>
      <c r="T51" s="5">
        <v>2.0999999999999999E-3</v>
      </c>
      <c r="U51" s="1">
        <v>-5.1000000000000004E-3</v>
      </c>
      <c r="V51" s="1">
        <v>5.1154000000000002</v>
      </c>
    </row>
    <row r="52" spans="1:22" x14ac:dyDescent="0.25">
      <c r="A52" s="1">
        <v>0.97889999999999999</v>
      </c>
      <c r="B52" s="9" t="s">
        <v>3142</v>
      </c>
      <c r="C52" s="2">
        <v>2802</v>
      </c>
      <c r="D52" s="3" t="s">
        <v>740</v>
      </c>
      <c r="E52" s="9" t="s">
        <v>3143</v>
      </c>
      <c r="F52" s="9" t="s">
        <v>3144</v>
      </c>
      <c r="G52" s="1">
        <v>1376.6577</v>
      </c>
      <c r="H52" s="2">
        <v>414</v>
      </c>
      <c r="I52" s="2">
        <v>3</v>
      </c>
      <c r="J52" s="1">
        <v>1376.6759</v>
      </c>
      <c r="K52" s="1">
        <v>459.89319999999998</v>
      </c>
      <c r="L52" s="9" t="s">
        <v>3145</v>
      </c>
      <c r="M52" s="2">
        <v>6.04</v>
      </c>
      <c r="N52" s="4">
        <v>3797.17</v>
      </c>
      <c r="O52" s="1">
        <v>13.191468511964663</v>
      </c>
      <c r="P52" s="6">
        <v>35.299999999999997</v>
      </c>
      <c r="Q52" s="6">
        <v>28.6</v>
      </c>
      <c r="R52" s="6">
        <v>12.6</v>
      </c>
      <c r="S52" s="6">
        <v>11</v>
      </c>
      <c r="T52" s="5">
        <v>1.4999999999999999E-2</v>
      </c>
      <c r="U52" s="1">
        <v>1.8200000000000001E-2</v>
      </c>
      <c r="V52" s="1">
        <v>4.0564999999999998</v>
      </c>
    </row>
    <row r="53" spans="1:22" x14ac:dyDescent="0.25">
      <c r="A53" s="1">
        <v>0.99490000000000001</v>
      </c>
      <c r="B53" s="9" t="s">
        <v>3146</v>
      </c>
      <c r="C53" s="2">
        <v>2834</v>
      </c>
      <c r="D53" s="3" t="s">
        <v>41</v>
      </c>
      <c r="E53" s="9" t="s">
        <v>3147</v>
      </c>
      <c r="F53" s="9" t="s">
        <v>3148</v>
      </c>
      <c r="G53" s="1">
        <v>1805.9196999999999</v>
      </c>
      <c r="H53" s="2">
        <v>170</v>
      </c>
      <c r="I53" s="2">
        <v>3</v>
      </c>
      <c r="J53" s="1">
        <v>1805.9335000000001</v>
      </c>
      <c r="K53" s="1">
        <v>602.98050000000001</v>
      </c>
      <c r="L53" s="9" t="s">
        <v>3149</v>
      </c>
      <c r="M53" s="2">
        <v>8.86</v>
      </c>
      <c r="N53" s="4">
        <v>3855.52</v>
      </c>
      <c r="O53" s="1">
        <v>7.6287707479760947</v>
      </c>
      <c r="P53" s="6">
        <v>34</v>
      </c>
      <c r="Q53" s="6">
        <v>25.2</v>
      </c>
      <c r="R53" s="6">
        <v>9.3000000000000007</v>
      </c>
      <c r="S53" s="6">
        <v>9.4</v>
      </c>
      <c r="T53" s="5">
        <v>1.9E-3</v>
      </c>
      <c r="U53" s="1">
        <v>1.38E-2</v>
      </c>
      <c r="V53" s="1">
        <v>4.7723000000000004</v>
      </c>
    </row>
    <row r="54" spans="1:22" x14ac:dyDescent="0.25">
      <c r="A54" s="1">
        <v>0.99990000000000001</v>
      </c>
      <c r="B54" s="9" t="s">
        <v>3150</v>
      </c>
      <c r="C54" s="2">
        <v>2912</v>
      </c>
      <c r="D54" s="3" t="s">
        <v>255</v>
      </c>
      <c r="E54" s="9" t="s">
        <v>3151</v>
      </c>
      <c r="F54" s="9" t="s">
        <v>3116</v>
      </c>
      <c r="G54" s="1">
        <v>1918.9647</v>
      </c>
      <c r="H54" s="2">
        <v>419</v>
      </c>
      <c r="I54" s="2">
        <v>3</v>
      </c>
      <c r="J54" s="1">
        <v>1918.9866</v>
      </c>
      <c r="K54" s="1">
        <v>640.66219999999998</v>
      </c>
      <c r="L54" s="9" t="s">
        <v>3117</v>
      </c>
      <c r="M54" s="2">
        <v>8.18</v>
      </c>
      <c r="N54" s="4">
        <v>3990.17</v>
      </c>
      <c r="O54" s="1">
        <v>11.394460294364176</v>
      </c>
      <c r="P54" s="6">
        <v>42.6</v>
      </c>
      <c r="Q54" s="6">
        <v>25.8</v>
      </c>
      <c r="R54" s="6">
        <v>10.9</v>
      </c>
      <c r="S54" s="6">
        <v>9.1</v>
      </c>
      <c r="T54" s="5">
        <v>1.9000000000000001E-5</v>
      </c>
      <c r="U54" s="1">
        <v>2.1899999999999999E-2</v>
      </c>
      <c r="V54" s="1">
        <v>7.8502999999999998</v>
      </c>
    </row>
    <row r="55" spans="1:22" x14ac:dyDescent="0.25">
      <c r="A55" s="1">
        <v>0.95760000000000001</v>
      </c>
      <c r="B55" s="9" t="s">
        <v>3152</v>
      </c>
      <c r="C55" s="2">
        <v>2925</v>
      </c>
      <c r="D55" s="3" t="s">
        <v>702</v>
      </c>
      <c r="E55" s="9" t="s">
        <v>761</v>
      </c>
      <c r="F55" s="9" t="s">
        <v>762</v>
      </c>
      <c r="G55" s="1">
        <v>1235.6948</v>
      </c>
      <c r="H55" s="2">
        <v>17</v>
      </c>
      <c r="I55" s="2">
        <v>2</v>
      </c>
      <c r="J55" s="1">
        <v>1235.6853000000001</v>
      </c>
      <c r="K55" s="1">
        <v>618.85469999999998</v>
      </c>
      <c r="L55" s="9" t="s">
        <v>763</v>
      </c>
      <c r="M55" s="2">
        <v>8.56</v>
      </c>
      <c r="N55" s="4">
        <v>4012.37</v>
      </c>
      <c r="O55" s="1">
        <v>-7.6754688943947595</v>
      </c>
      <c r="P55" s="6">
        <v>38</v>
      </c>
      <c r="Q55" s="6">
        <v>30.4</v>
      </c>
      <c r="R55" s="6">
        <v>11.9</v>
      </c>
      <c r="S55" s="6">
        <v>10.6</v>
      </c>
      <c r="T55" s="5">
        <v>4.1000000000000002E-2</v>
      </c>
      <c r="U55" s="1">
        <v>-9.4999999999999998E-3</v>
      </c>
      <c r="V55" s="1">
        <v>2.9058000000000002</v>
      </c>
    </row>
    <row r="56" spans="1:22" x14ac:dyDescent="0.25">
      <c r="A56" s="1">
        <v>0.99790000000000001</v>
      </c>
      <c r="B56" s="9" t="s">
        <v>3153</v>
      </c>
      <c r="C56" s="2">
        <v>2931</v>
      </c>
      <c r="D56" s="3" t="s">
        <v>349</v>
      </c>
      <c r="E56" s="9" t="s">
        <v>3151</v>
      </c>
      <c r="F56" s="9" t="s">
        <v>3116</v>
      </c>
      <c r="G56" s="1">
        <v>1918.9645</v>
      </c>
      <c r="H56" s="2">
        <v>73</v>
      </c>
      <c r="I56" s="2">
        <v>3</v>
      </c>
      <c r="J56" s="1">
        <v>1918.9691</v>
      </c>
      <c r="K56" s="1">
        <v>640.66210000000001</v>
      </c>
      <c r="L56" s="9" t="s">
        <v>3117</v>
      </c>
      <c r="M56" s="2">
        <v>8.18</v>
      </c>
      <c r="N56" s="4">
        <v>4022.98</v>
      </c>
      <c r="O56" s="1">
        <v>2.3933573303826359</v>
      </c>
      <c r="P56" s="6">
        <v>35.5</v>
      </c>
      <c r="Q56" s="6">
        <v>25.7</v>
      </c>
      <c r="R56" s="6">
        <v>10.9</v>
      </c>
      <c r="S56" s="6">
        <v>9.1999999999999993</v>
      </c>
      <c r="T56" s="5">
        <v>1.6999999999999999E-3</v>
      </c>
      <c r="U56" s="1">
        <v>4.5999999999999999E-3</v>
      </c>
      <c r="V56" s="1">
        <v>4.9187000000000003</v>
      </c>
    </row>
    <row r="57" spans="1:22" x14ac:dyDescent="0.25">
      <c r="A57" s="1">
        <v>0.99870000000000003</v>
      </c>
      <c r="B57" s="9" t="s">
        <v>3154</v>
      </c>
      <c r="C57" s="2">
        <v>3030</v>
      </c>
      <c r="D57" s="3" t="s">
        <v>1000</v>
      </c>
      <c r="E57" s="9" t="s">
        <v>111</v>
      </c>
      <c r="F57" s="9" t="s">
        <v>112</v>
      </c>
      <c r="G57" s="1">
        <v>1460.6747</v>
      </c>
      <c r="H57" s="2">
        <v>424</v>
      </c>
      <c r="I57" s="2">
        <v>2</v>
      </c>
      <c r="J57" s="1">
        <v>1460.6853000000001</v>
      </c>
      <c r="K57" s="1">
        <v>731.34460000000001</v>
      </c>
      <c r="L57" s="9" t="s">
        <v>113</v>
      </c>
      <c r="M57" s="2">
        <v>6.13</v>
      </c>
      <c r="N57" s="4">
        <v>4197.78</v>
      </c>
      <c r="O57" s="1">
        <v>7.2469257310438886</v>
      </c>
      <c r="P57" s="6">
        <v>44</v>
      </c>
      <c r="Q57" s="6">
        <v>21.9</v>
      </c>
      <c r="R57" s="6">
        <v>13.6</v>
      </c>
      <c r="S57" s="6">
        <v>12.7</v>
      </c>
      <c r="T57" s="5">
        <v>1.1E-4</v>
      </c>
      <c r="U57" s="1">
        <v>1.06E-2</v>
      </c>
      <c r="V57" s="1">
        <v>6.93</v>
      </c>
    </row>
    <row r="58" spans="1:22" x14ac:dyDescent="0.25">
      <c r="A58" s="1">
        <v>0.99850000000000005</v>
      </c>
      <c r="B58" s="9" t="s">
        <v>3155</v>
      </c>
      <c r="C58" s="2">
        <v>3033</v>
      </c>
      <c r="D58" s="3" t="s">
        <v>154</v>
      </c>
      <c r="E58" s="9" t="s">
        <v>765</v>
      </c>
      <c r="F58" s="9" t="s">
        <v>766</v>
      </c>
      <c r="G58" s="1">
        <v>1195.5657000000001</v>
      </c>
      <c r="H58" s="2">
        <v>246</v>
      </c>
      <c r="I58" s="2">
        <v>2</v>
      </c>
      <c r="J58" s="1">
        <v>1195.5758000000001</v>
      </c>
      <c r="K58" s="1">
        <v>598.79010000000005</v>
      </c>
      <c r="L58" s="9" t="s">
        <v>767</v>
      </c>
      <c r="M58" s="2">
        <v>5.55</v>
      </c>
      <c r="N58" s="4">
        <v>4205.18</v>
      </c>
      <c r="O58" s="1">
        <v>8.4336731686111701</v>
      </c>
      <c r="P58" s="6">
        <v>37</v>
      </c>
      <c r="Q58" s="6">
        <v>25.3</v>
      </c>
      <c r="R58" s="6">
        <v>10.5</v>
      </c>
      <c r="S58" s="6">
        <v>12.6</v>
      </c>
      <c r="T58" s="5">
        <v>9.3000000000000005E-4</v>
      </c>
      <c r="U58" s="1">
        <v>1.01E-2</v>
      </c>
      <c r="V58" s="1">
        <v>5.8093000000000004</v>
      </c>
    </row>
    <row r="59" spans="1:22" x14ac:dyDescent="0.25">
      <c r="A59" s="1">
        <v>1</v>
      </c>
      <c r="B59" s="9" t="s">
        <v>3156</v>
      </c>
      <c r="C59" s="2">
        <v>3086</v>
      </c>
      <c r="D59" s="3" t="s">
        <v>3139</v>
      </c>
      <c r="E59" s="9" t="s">
        <v>3157</v>
      </c>
      <c r="F59" s="9" t="s">
        <v>1585</v>
      </c>
      <c r="G59" s="1">
        <v>1644.9174</v>
      </c>
      <c r="H59" s="2">
        <v>777</v>
      </c>
      <c r="I59" s="2">
        <v>3</v>
      </c>
      <c r="J59" s="1">
        <v>1644.9222</v>
      </c>
      <c r="K59" s="1">
        <v>549.31309999999996</v>
      </c>
      <c r="L59" s="9" t="s">
        <v>1586</v>
      </c>
      <c r="M59" s="2">
        <v>10.3</v>
      </c>
      <c r="N59" s="4">
        <v>4301.4799999999996</v>
      </c>
      <c r="O59" s="1">
        <v>2.9127286423717185</v>
      </c>
      <c r="P59" s="6">
        <v>39.700000000000003</v>
      </c>
      <c r="Q59" s="6">
        <v>27.6</v>
      </c>
      <c r="R59" s="6">
        <v>10.6</v>
      </c>
      <c r="S59" s="6">
        <v>12</v>
      </c>
      <c r="T59" s="5">
        <v>2.1000000000000001E-4</v>
      </c>
      <c r="U59" s="1">
        <v>4.7999999999999996E-3</v>
      </c>
      <c r="V59" s="1">
        <v>6.5880999999999998</v>
      </c>
    </row>
    <row r="60" spans="1:22" x14ac:dyDescent="0.25">
      <c r="A60" s="1">
        <v>0.99970000000000003</v>
      </c>
      <c r="B60" s="9" t="s">
        <v>3158</v>
      </c>
      <c r="C60" s="2">
        <v>3087</v>
      </c>
      <c r="D60" s="3" t="s">
        <v>1246</v>
      </c>
      <c r="E60" s="9" t="s">
        <v>134</v>
      </c>
      <c r="F60" s="9" t="s">
        <v>122</v>
      </c>
      <c r="G60" s="1">
        <v>1996.0667000000001</v>
      </c>
      <c r="H60" s="2">
        <v>247</v>
      </c>
      <c r="I60" s="2">
        <v>3</v>
      </c>
      <c r="J60" s="1">
        <v>1996.0918999999999</v>
      </c>
      <c r="K60" s="1">
        <v>666.36279999999999</v>
      </c>
      <c r="L60" s="9" t="s">
        <v>123</v>
      </c>
      <c r="M60" s="2">
        <v>6.33</v>
      </c>
      <c r="N60" s="4">
        <v>4301.4799999999996</v>
      </c>
      <c r="O60" s="1">
        <v>12.605745698889553</v>
      </c>
      <c r="P60" s="6">
        <v>44.4</v>
      </c>
      <c r="Q60" s="6">
        <v>30.9</v>
      </c>
      <c r="R60" s="6">
        <v>13.2</v>
      </c>
      <c r="S60" s="6">
        <v>13.6</v>
      </c>
      <c r="T60" s="5">
        <v>1.1E-5</v>
      </c>
      <c r="U60" s="1">
        <v>2.52E-2</v>
      </c>
      <c r="V60" s="1">
        <v>7.2131999999999996</v>
      </c>
    </row>
    <row r="61" spans="1:22" x14ac:dyDescent="0.25">
      <c r="A61" s="1">
        <v>0.99180000000000001</v>
      </c>
      <c r="B61" s="9" t="s">
        <v>3159</v>
      </c>
      <c r="C61" s="2">
        <v>3104</v>
      </c>
      <c r="D61" s="3" t="s">
        <v>20</v>
      </c>
      <c r="E61" s="9" t="s">
        <v>3157</v>
      </c>
      <c r="F61" s="9" t="s">
        <v>1585</v>
      </c>
      <c r="G61" s="1">
        <v>1644.9174</v>
      </c>
      <c r="H61" s="2">
        <v>76</v>
      </c>
      <c r="I61" s="2">
        <v>3</v>
      </c>
      <c r="J61" s="1">
        <v>1644.9158</v>
      </c>
      <c r="K61" s="1">
        <v>549.31309999999996</v>
      </c>
      <c r="L61" s="9" t="s">
        <v>1586</v>
      </c>
      <c r="M61" s="2">
        <v>10.3</v>
      </c>
      <c r="N61" s="4">
        <v>4333.38</v>
      </c>
      <c r="O61" s="1">
        <v>-0.97090954745723945</v>
      </c>
      <c r="P61" s="6">
        <v>31.4</v>
      </c>
      <c r="Q61" s="6">
        <v>24.7</v>
      </c>
      <c r="R61" s="6">
        <v>9.5</v>
      </c>
      <c r="S61" s="6">
        <v>11.6</v>
      </c>
      <c r="T61" s="5">
        <v>8.3000000000000001E-3</v>
      </c>
      <c r="U61" s="1">
        <v>-1.6000000000000001E-3</v>
      </c>
      <c r="V61" s="1">
        <v>4.0414000000000003</v>
      </c>
    </row>
    <row r="62" spans="1:22" x14ac:dyDescent="0.25">
      <c r="A62" s="1">
        <v>0.99450000000000005</v>
      </c>
      <c r="B62" s="9" t="s">
        <v>3160</v>
      </c>
      <c r="C62" s="2">
        <v>3132</v>
      </c>
      <c r="D62" s="3" t="s">
        <v>621</v>
      </c>
      <c r="E62" s="9" t="s">
        <v>3161</v>
      </c>
      <c r="F62" s="9" t="s">
        <v>3162</v>
      </c>
      <c r="G62" s="1">
        <v>1202.5965000000001</v>
      </c>
      <c r="H62" s="2">
        <v>607</v>
      </c>
      <c r="I62" s="2">
        <v>2</v>
      </c>
      <c r="J62" s="1">
        <v>1202.6025</v>
      </c>
      <c r="K62" s="1">
        <v>602.30550000000005</v>
      </c>
      <c r="L62" s="9" t="s">
        <v>3163</v>
      </c>
      <c r="M62" s="2">
        <v>6.22</v>
      </c>
      <c r="N62" s="4">
        <v>4379.33</v>
      </c>
      <c r="O62" s="1">
        <v>4.980861041448235</v>
      </c>
      <c r="P62" s="6">
        <v>35.9</v>
      </c>
      <c r="Q62" s="6">
        <v>23</v>
      </c>
      <c r="R62" s="6">
        <v>11</v>
      </c>
      <c r="S62" s="6">
        <v>10.5</v>
      </c>
      <c r="T62" s="5">
        <v>5.4000000000000003E-3</v>
      </c>
      <c r="U62" s="1">
        <v>6.0000000000000001E-3</v>
      </c>
      <c r="V62" s="1">
        <v>4.8598999999999997</v>
      </c>
    </row>
    <row r="63" spans="1:22" x14ac:dyDescent="0.25">
      <c r="A63" s="1">
        <v>0.98040000000000005</v>
      </c>
      <c r="B63" s="9" t="s">
        <v>3164</v>
      </c>
      <c r="C63" s="2">
        <v>3155</v>
      </c>
      <c r="D63" s="3" t="s">
        <v>697</v>
      </c>
      <c r="E63" s="9" t="s">
        <v>1993</v>
      </c>
      <c r="F63" s="9" t="s">
        <v>781</v>
      </c>
      <c r="G63" s="1">
        <v>1474.8297</v>
      </c>
      <c r="H63" s="2">
        <v>80</v>
      </c>
      <c r="I63" s="2">
        <v>3</v>
      </c>
      <c r="J63" s="1">
        <v>1474.8561999999999</v>
      </c>
      <c r="K63" s="1">
        <v>492.61720000000003</v>
      </c>
      <c r="L63" s="9" t="s">
        <v>782</v>
      </c>
      <c r="M63" s="2">
        <v>6.96</v>
      </c>
      <c r="N63" s="4">
        <v>4415.28</v>
      </c>
      <c r="O63" s="1">
        <v>17.931435064251378</v>
      </c>
      <c r="P63" s="6">
        <v>31.1</v>
      </c>
      <c r="Q63" s="6">
        <v>22.7</v>
      </c>
      <c r="R63" s="6">
        <v>14</v>
      </c>
      <c r="S63" s="6">
        <v>10</v>
      </c>
      <c r="T63" s="5">
        <v>4.8000000000000001E-2</v>
      </c>
      <c r="U63" s="1">
        <v>2.6499999999999999E-2</v>
      </c>
      <c r="V63" s="1">
        <v>3.5125999999999999</v>
      </c>
    </row>
    <row r="64" spans="1:22" x14ac:dyDescent="0.25">
      <c r="A64" s="1">
        <v>0.99960000000000004</v>
      </c>
      <c r="B64" s="9" t="s">
        <v>3165</v>
      </c>
      <c r="C64" s="2">
        <v>3252</v>
      </c>
      <c r="D64" s="3" t="s">
        <v>3166</v>
      </c>
      <c r="E64" s="9" t="s">
        <v>3167</v>
      </c>
      <c r="F64" s="9" t="s">
        <v>3168</v>
      </c>
      <c r="G64" s="1">
        <v>1909.9025999999999</v>
      </c>
      <c r="H64" s="2">
        <v>142</v>
      </c>
      <c r="I64" s="2">
        <v>2</v>
      </c>
      <c r="J64" s="1">
        <v>1909.903</v>
      </c>
      <c r="K64" s="1">
        <v>955.95860000000005</v>
      </c>
      <c r="L64" s="9" t="s">
        <v>3169</v>
      </c>
      <c r="M64" s="2">
        <v>8.18</v>
      </c>
      <c r="N64" s="4">
        <v>4595.33</v>
      </c>
      <c r="O64" s="1">
        <v>0.20921408102819514</v>
      </c>
      <c r="P64" s="6">
        <v>57.8</v>
      </c>
      <c r="Q64" s="6">
        <v>26.4</v>
      </c>
      <c r="R64" s="6">
        <v>11.5</v>
      </c>
      <c r="S64" s="6">
        <v>11.2</v>
      </c>
      <c r="T64" s="5">
        <v>1.1999999999999999E-7</v>
      </c>
      <c r="U64" s="1">
        <v>4.0000000000000002E-4</v>
      </c>
      <c r="V64" s="1">
        <v>8.9473000000000003</v>
      </c>
    </row>
    <row r="65" spans="1:22" x14ac:dyDescent="0.25">
      <c r="A65" s="1">
        <v>0.9909</v>
      </c>
      <c r="B65" s="9" t="s">
        <v>3170</v>
      </c>
      <c r="C65" s="2">
        <v>3257</v>
      </c>
      <c r="D65" s="3" t="s">
        <v>78</v>
      </c>
      <c r="E65" s="9" t="s">
        <v>3171</v>
      </c>
      <c r="F65" s="9" t="s">
        <v>282</v>
      </c>
      <c r="G65" s="1">
        <v>1125.5857000000001</v>
      </c>
      <c r="H65" s="2">
        <v>784</v>
      </c>
      <c r="I65" s="2">
        <v>2</v>
      </c>
      <c r="J65" s="1">
        <v>1125.5717999999999</v>
      </c>
      <c r="K65" s="1">
        <v>563.80010000000004</v>
      </c>
      <c r="L65" s="9" t="s">
        <v>283</v>
      </c>
      <c r="M65" s="2">
        <v>8.75</v>
      </c>
      <c r="N65" s="4">
        <v>4601.68</v>
      </c>
      <c r="O65" s="1">
        <v>-12.327064149154991</v>
      </c>
      <c r="P65" s="6">
        <v>38.200000000000003</v>
      </c>
      <c r="Q65" s="6">
        <v>27.6</v>
      </c>
      <c r="R65" s="6">
        <v>9.6</v>
      </c>
      <c r="S65" s="6">
        <v>11.4</v>
      </c>
      <c r="T65" s="5">
        <v>1.4E-3</v>
      </c>
      <c r="U65" s="1">
        <v>-1.3899999999999999E-2</v>
      </c>
      <c r="V65" s="1">
        <v>5.1288</v>
      </c>
    </row>
    <row r="66" spans="1:22" x14ac:dyDescent="0.25">
      <c r="A66" s="1">
        <v>0.97909999999999997</v>
      </c>
      <c r="B66" s="9" t="s">
        <v>3172</v>
      </c>
      <c r="C66" s="2">
        <v>3263</v>
      </c>
      <c r="D66" s="3" t="s">
        <v>183</v>
      </c>
      <c r="E66" s="9" t="s">
        <v>3173</v>
      </c>
      <c r="F66" s="9" t="s">
        <v>860</v>
      </c>
      <c r="G66" s="1">
        <v>1227.6532999999999</v>
      </c>
      <c r="H66" s="2">
        <v>1041</v>
      </c>
      <c r="I66" s="2">
        <v>2</v>
      </c>
      <c r="J66" s="1">
        <v>1227.6595</v>
      </c>
      <c r="K66" s="1">
        <v>614.83389999999997</v>
      </c>
      <c r="L66" s="9" t="s">
        <v>673</v>
      </c>
      <c r="M66" s="2">
        <v>5.93</v>
      </c>
      <c r="N66" s="4">
        <v>4612.28</v>
      </c>
      <c r="O66" s="1">
        <v>5.0420121597068732</v>
      </c>
      <c r="P66" s="6">
        <v>39.4</v>
      </c>
      <c r="Q66" s="6">
        <v>27.1</v>
      </c>
      <c r="R66" s="6">
        <v>7</v>
      </c>
      <c r="S66" s="6">
        <v>13.1</v>
      </c>
      <c r="T66" s="5">
        <v>9.5999999999999992E-3</v>
      </c>
      <c r="U66" s="1">
        <v>6.1999999999999998E-3</v>
      </c>
      <c r="V66" s="1">
        <v>4.3301999999999996</v>
      </c>
    </row>
    <row r="67" spans="1:22" x14ac:dyDescent="0.25">
      <c r="A67" s="1">
        <v>0.95720000000000005</v>
      </c>
      <c r="B67" s="9" t="s">
        <v>3174</v>
      </c>
      <c r="C67" s="2">
        <v>3312</v>
      </c>
      <c r="D67" s="3" t="s">
        <v>183</v>
      </c>
      <c r="E67" s="9" t="s">
        <v>3175</v>
      </c>
      <c r="F67" s="9" t="s">
        <v>555</v>
      </c>
      <c r="G67" s="1">
        <v>1407.6744000000001</v>
      </c>
      <c r="H67" s="2">
        <v>438</v>
      </c>
      <c r="I67" s="2">
        <v>2</v>
      </c>
      <c r="J67" s="1">
        <v>1407.6705999999999</v>
      </c>
      <c r="K67" s="1">
        <v>704.84450000000004</v>
      </c>
      <c r="L67" s="9" t="s">
        <v>556</v>
      </c>
      <c r="M67" s="2">
        <v>8.43</v>
      </c>
      <c r="N67" s="4">
        <v>4692.09</v>
      </c>
      <c r="O67" s="1">
        <v>-2.6956300290347728</v>
      </c>
      <c r="P67" s="6">
        <v>32.700000000000003</v>
      </c>
      <c r="Q67" s="6">
        <v>24.2</v>
      </c>
      <c r="R67" s="6">
        <v>5.7</v>
      </c>
      <c r="S67" s="6">
        <v>9</v>
      </c>
      <c r="T67" s="5">
        <v>3.5000000000000003E-2</v>
      </c>
      <c r="U67" s="1">
        <v>-3.8E-3</v>
      </c>
      <c r="V67" s="1">
        <v>3.4114</v>
      </c>
    </row>
    <row r="68" spans="1:22" x14ac:dyDescent="0.25">
      <c r="A68" s="1">
        <v>0.99929999999999997</v>
      </c>
      <c r="B68" s="9" t="s">
        <v>3176</v>
      </c>
      <c r="C68" s="2">
        <v>3319</v>
      </c>
      <c r="D68" s="3" t="s">
        <v>1316</v>
      </c>
      <c r="E68" s="9" t="s">
        <v>169</v>
      </c>
      <c r="F68" s="9" t="s">
        <v>170</v>
      </c>
      <c r="G68" s="1">
        <v>1967.8857</v>
      </c>
      <c r="H68" s="2">
        <v>173</v>
      </c>
      <c r="I68" s="2">
        <v>3</v>
      </c>
      <c r="J68" s="1">
        <v>1967.9170999999999</v>
      </c>
      <c r="K68" s="1">
        <v>656.9692</v>
      </c>
      <c r="L68" s="9" t="s">
        <v>64</v>
      </c>
      <c r="M68" s="2">
        <v>4.3099999999999996</v>
      </c>
      <c r="N68" s="4">
        <v>4709.04</v>
      </c>
      <c r="O68" s="1">
        <v>15.931746369033229</v>
      </c>
      <c r="P68" s="6">
        <v>35.700000000000003</v>
      </c>
      <c r="Q68" s="6">
        <v>22.1</v>
      </c>
      <c r="R68" s="6">
        <v>12.8</v>
      </c>
      <c r="S68" s="6">
        <v>9</v>
      </c>
      <c r="T68" s="5">
        <v>2.5000000000000001E-4</v>
      </c>
      <c r="U68" s="1">
        <v>3.1399999999999997E-2</v>
      </c>
      <c r="V68" s="1">
        <v>5.9057000000000004</v>
      </c>
    </row>
    <row r="69" spans="1:22" x14ac:dyDescent="0.25">
      <c r="A69" s="1">
        <v>0.96850000000000003</v>
      </c>
      <c r="B69" s="9" t="s">
        <v>3177</v>
      </c>
      <c r="C69" s="2">
        <v>3320</v>
      </c>
      <c r="D69" s="3" t="s">
        <v>3178</v>
      </c>
      <c r="E69" s="9" t="s">
        <v>2007</v>
      </c>
      <c r="F69" s="9" t="s">
        <v>3179</v>
      </c>
      <c r="G69" s="1">
        <v>1981.9016999999999</v>
      </c>
      <c r="H69" s="2">
        <v>439</v>
      </c>
      <c r="I69" s="2">
        <v>3</v>
      </c>
      <c r="J69" s="1">
        <v>1981.9159999999999</v>
      </c>
      <c r="K69" s="1">
        <v>661.64120000000003</v>
      </c>
      <c r="L69" s="9" t="s">
        <v>714</v>
      </c>
      <c r="M69" s="2">
        <v>4.4400000000000004</v>
      </c>
      <c r="N69" s="4">
        <v>4706.8900000000003</v>
      </c>
      <c r="O69" s="1">
        <v>7.204307510878504</v>
      </c>
      <c r="P69" s="6">
        <v>32.1</v>
      </c>
      <c r="Q69" s="6">
        <v>24.2</v>
      </c>
      <c r="R69" s="6">
        <v>13.6</v>
      </c>
      <c r="S69" s="6">
        <v>10.7</v>
      </c>
      <c r="T69" s="5">
        <v>3.3000000000000002E-2</v>
      </c>
      <c r="U69" s="1">
        <v>1.43E-2</v>
      </c>
      <c r="V69" s="1">
        <v>2.9681999999999999</v>
      </c>
    </row>
    <row r="70" spans="1:22" x14ac:dyDescent="0.25">
      <c r="A70" s="1">
        <v>0.99560000000000004</v>
      </c>
      <c r="B70" s="9" t="s">
        <v>3180</v>
      </c>
      <c r="C70" s="2">
        <v>3324</v>
      </c>
      <c r="D70" s="3" t="s">
        <v>110</v>
      </c>
      <c r="E70" s="9" t="s">
        <v>3181</v>
      </c>
      <c r="F70" s="9" t="s">
        <v>1713</v>
      </c>
      <c r="G70" s="1">
        <v>1428.7397000000001</v>
      </c>
      <c r="H70" s="2">
        <v>442</v>
      </c>
      <c r="I70" s="2">
        <v>2</v>
      </c>
      <c r="J70" s="1">
        <v>1428.752</v>
      </c>
      <c r="K70" s="1">
        <v>715.37710000000004</v>
      </c>
      <c r="L70" s="9" t="s">
        <v>1298</v>
      </c>
      <c r="M70" s="2">
        <v>8.7200000000000006</v>
      </c>
      <c r="N70" s="4">
        <v>4714.29</v>
      </c>
      <c r="O70" s="1">
        <v>8.5968645068454101</v>
      </c>
      <c r="P70" s="6">
        <v>52.3</v>
      </c>
      <c r="Q70" s="6">
        <v>31.3</v>
      </c>
      <c r="R70" s="6">
        <v>9.6999999999999993</v>
      </c>
      <c r="S70" s="6">
        <v>11</v>
      </c>
      <c r="T70" s="5">
        <v>1.1999999999999999E-3</v>
      </c>
      <c r="U70" s="1">
        <v>1.23E-2</v>
      </c>
      <c r="V70" s="1">
        <v>5.3609</v>
      </c>
    </row>
    <row r="71" spans="1:22" x14ac:dyDescent="0.25">
      <c r="A71" s="1">
        <v>0.99970000000000003</v>
      </c>
      <c r="B71" s="9" t="s">
        <v>3182</v>
      </c>
      <c r="C71" s="2">
        <v>3333</v>
      </c>
      <c r="D71" s="3" t="s">
        <v>133</v>
      </c>
      <c r="E71" s="9" t="s">
        <v>2013</v>
      </c>
      <c r="F71" s="9" t="s">
        <v>860</v>
      </c>
      <c r="G71" s="1">
        <v>2047.066</v>
      </c>
      <c r="H71" s="2">
        <v>84</v>
      </c>
      <c r="I71" s="2">
        <v>3</v>
      </c>
      <c r="J71" s="1">
        <v>2047.0586000000001</v>
      </c>
      <c r="K71" s="1">
        <v>683.36260000000004</v>
      </c>
      <c r="L71" s="9" t="s">
        <v>673</v>
      </c>
      <c r="M71" s="2">
        <v>6.24</v>
      </c>
      <c r="N71" s="4">
        <v>4731.29</v>
      </c>
      <c r="O71" s="1">
        <v>-3.6096015009698608</v>
      </c>
      <c r="P71" s="6">
        <v>45.2</v>
      </c>
      <c r="Q71" s="6">
        <v>26.1</v>
      </c>
      <c r="R71" s="6">
        <v>9.1</v>
      </c>
      <c r="S71" s="6">
        <v>11.9</v>
      </c>
      <c r="T71" s="5">
        <v>5.0000000000000002E-5</v>
      </c>
      <c r="U71" s="1">
        <v>-7.4000000000000003E-3</v>
      </c>
      <c r="V71" s="1">
        <v>7.0536000000000003</v>
      </c>
    </row>
    <row r="72" spans="1:22" x14ac:dyDescent="0.25">
      <c r="A72" s="1">
        <v>0.97350000000000003</v>
      </c>
      <c r="B72" s="9" t="s">
        <v>3183</v>
      </c>
      <c r="C72" s="2">
        <v>3342</v>
      </c>
      <c r="D72" s="3" t="s">
        <v>260</v>
      </c>
      <c r="E72" s="9" t="s">
        <v>155</v>
      </c>
      <c r="F72" s="9" t="s">
        <v>156</v>
      </c>
      <c r="G72" s="1">
        <v>1064.5287000000001</v>
      </c>
      <c r="H72" s="2">
        <v>925</v>
      </c>
      <c r="I72" s="2">
        <v>2</v>
      </c>
      <c r="J72" s="1">
        <v>1064.5429999999999</v>
      </c>
      <c r="K72" s="1">
        <v>533.27160000000003</v>
      </c>
      <c r="L72" s="9" t="s">
        <v>157</v>
      </c>
      <c r="M72" s="2">
        <v>6.46</v>
      </c>
      <c r="N72" s="4">
        <v>4749.34</v>
      </c>
      <c r="O72" s="1">
        <v>13.407801953076069</v>
      </c>
      <c r="P72" s="6">
        <v>31.5</v>
      </c>
      <c r="Q72" s="6">
        <v>26.7</v>
      </c>
      <c r="R72" s="6">
        <v>11</v>
      </c>
      <c r="S72" s="6">
        <v>9.9</v>
      </c>
      <c r="T72" s="5">
        <v>0.16</v>
      </c>
      <c r="U72" s="1">
        <v>1.43E-2</v>
      </c>
      <c r="V72" s="1">
        <v>2.1901000000000002</v>
      </c>
    </row>
    <row r="73" spans="1:22" x14ac:dyDescent="0.25">
      <c r="A73" s="1">
        <v>0.98980000000000001</v>
      </c>
      <c r="B73" s="9" t="s">
        <v>3184</v>
      </c>
      <c r="C73" s="2">
        <v>3350</v>
      </c>
      <c r="D73" s="3" t="s">
        <v>522</v>
      </c>
      <c r="E73" s="9" t="s">
        <v>3167</v>
      </c>
      <c r="F73" s="9" t="s">
        <v>3168</v>
      </c>
      <c r="G73" s="1">
        <v>1909.9027000000001</v>
      </c>
      <c r="H73" s="2">
        <v>615</v>
      </c>
      <c r="I73" s="2">
        <v>2</v>
      </c>
      <c r="J73" s="1">
        <v>1910.8903</v>
      </c>
      <c r="K73" s="1">
        <v>955.95860000000005</v>
      </c>
      <c r="L73" s="9" t="s">
        <v>3169</v>
      </c>
      <c r="M73" s="2">
        <v>8.18</v>
      </c>
      <c r="N73" s="4">
        <v>4764.1400000000003</v>
      </c>
      <c r="O73" s="1">
        <v>-8.2404196164980164</v>
      </c>
      <c r="P73" s="6">
        <v>38.9</v>
      </c>
      <c r="Q73" s="6">
        <v>21.8</v>
      </c>
      <c r="R73" s="6">
        <v>10.1</v>
      </c>
      <c r="S73" s="6">
        <v>9.9</v>
      </c>
      <c r="T73" s="5">
        <v>1.8E-5</v>
      </c>
      <c r="U73" s="1">
        <v>0.98760000000000003</v>
      </c>
      <c r="V73" s="1">
        <v>6.5284000000000004</v>
      </c>
    </row>
    <row r="74" spans="1:22" x14ac:dyDescent="0.25">
      <c r="A74" s="1">
        <v>0.99990000000000001</v>
      </c>
      <c r="B74" s="9" t="s">
        <v>3185</v>
      </c>
      <c r="C74" s="2">
        <v>3352</v>
      </c>
      <c r="D74" s="3" t="s">
        <v>2012</v>
      </c>
      <c r="E74" s="9" t="s">
        <v>2013</v>
      </c>
      <c r="F74" s="9" t="s">
        <v>860</v>
      </c>
      <c r="G74" s="1">
        <v>2047.0657000000001</v>
      </c>
      <c r="H74" s="2">
        <v>447</v>
      </c>
      <c r="I74" s="2">
        <v>3</v>
      </c>
      <c r="J74" s="1">
        <v>2047.0847000000001</v>
      </c>
      <c r="K74" s="1">
        <v>683.36249999999995</v>
      </c>
      <c r="L74" s="9" t="s">
        <v>673</v>
      </c>
      <c r="M74" s="2">
        <v>6.24</v>
      </c>
      <c r="N74" s="4">
        <v>4765.1899999999996</v>
      </c>
      <c r="O74" s="1">
        <v>9.2678971019529666</v>
      </c>
      <c r="P74" s="6">
        <v>45.9</v>
      </c>
      <c r="Q74" s="6">
        <v>23.7</v>
      </c>
      <c r="R74" s="6">
        <v>9.3000000000000007</v>
      </c>
      <c r="S74" s="6">
        <v>11.5</v>
      </c>
      <c r="T74" s="5">
        <v>5.6999999999999996E-6</v>
      </c>
      <c r="U74" s="1">
        <v>1.9E-2</v>
      </c>
      <c r="V74" s="1">
        <v>8.4033999999999995</v>
      </c>
    </row>
    <row r="75" spans="1:22" x14ac:dyDescent="0.25">
      <c r="A75" s="1">
        <v>0.99119999999999997</v>
      </c>
      <c r="B75" s="9" t="s">
        <v>3186</v>
      </c>
      <c r="C75" s="2">
        <v>3357</v>
      </c>
      <c r="D75" s="3" t="s">
        <v>621</v>
      </c>
      <c r="E75" s="9" t="s">
        <v>2019</v>
      </c>
      <c r="F75" s="9" t="s">
        <v>1972</v>
      </c>
      <c r="G75" s="1">
        <v>1248.6285</v>
      </c>
      <c r="H75" s="2">
        <v>616</v>
      </c>
      <c r="I75" s="2">
        <v>2</v>
      </c>
      <c r="J75" s="1">
        <v>1248.6360999999999</v>
      </c>
      <c r="K75" s="1">
        <v>625.32150000000001</v>
      </c>
      <c r="L75" s="9" t="s">
        <v>1969</v>
      </c>
      <c r="M75" s="2">
        <v>8.75</v>
      </c>
      <c r="N75" s="4">
        <v>4776.84</v>
      </c>
      <c r="O75" s="1">
        <v>6.0768740559856003</v>
      </c>
      <c r="P75" s="6">
        <v>35.1</v>
      </c>
      <c r="Q75" s="6">
        <v>23.8</v>
      </c>
      <c r="R75" s="6">
        <v>11</v>
      </c>
      <c r="S75" s="6">
        <v>11</v>
      </c>
      <c r="T75" s="5">
        <v>8.3000000000000001E-3</v>
      </c>
      <c r="U75" s="1">
        <v>7.6E-3</v>
      </c>
      <c r="V75" s="1">
        <v>4.4531999999999998</v>
      </c>
    </row>
    <row r="76" spans="1:22" x14ac:dyDescent="0.25">
      <c r="A76" s="1">
        <v>0.99270000000000003</v>
      </c>
      <c r="B76" s="9" t="s">
        <v>3187</v>
      </c>
      <c r="C76" s="2">
        <v>3361</v>
      </c>
      <c r="D76" s="3" t="s">
        <v>501</v>
      </c>
      <c r="E76" s="9" t="s">
        <v>3188</v>
      </c>
      <c r="F76" s="9" t="s">
        <v>3189</v>
      </c>
      <c r="G76" s="1">
        <v>1028.5291</v>
      </c>
      <c r="H76" s="2">
        <v>256</v>
      </c>
      <c r="I76" s="2">
        <v>2</v>
      </c>
      <c r="J76" s="1">
        <v>1028.5309999999999</v>
      </c>
      <c r="K76" s="1">
        <v>515.27179999999998</v>
      </c>
      <c r="L76" s="9" t="s">
        <v>3190</v>
      </c>
      <c r="M76" s="2">
        <v>6.74</v>
      </c>
      <c r="N76" s="4">
        <v>4779.99</v>
      </c>
      <c r="O76" s="1">
        <v>1.8436871569528936</v>
      </c>
      <c r="P76" s="6">
        <v>24</v>
      </c>
      <c r="Q76" s="6">
        <v>19.899999999999999</v>
      </c>
      <c r="R76" s="6">
        <v>7.9</v>
      </c>
      <c r="S76" s="6">
        <v>8.6</v>
      </c>
      <c r="T76" s="5">
        <v>4.1000000000000003E-3</v>
      </c>
      <c r="U76" s="1">
        <v>1.9E-3</v>
      </c>
      <c r="V76" s="1">
        <v>4.0454999999999997</v>
      </c>
    </row>
    <row r="77" spans="1:22" x14ac:dyDescent="0.25">
      <c r="A77" s="1">
        <v>0.99960000000000004</v>
      </c>
      <c r="B77" s="9" t="s">
        <v>3191</v>
      </c>
      <c r="C77" s="2">
        <v>3422</v>
      </c>
      <c r="D77" s="3" t="s">
        <v>3192</v>
      </c>
      <c r="E77" s="9" t="s">
        <v>3193</v>
      </c>
      <c r="F77" s="9" t="s">
        <v>3194</v>
      </c>
      <c r="G77" s="1">
        <v>2412.3337000000001</v>
      </c>
      <c r="H77" s="2">
        <v>454</v>
      </c>
      <c r="I77" s="2">
        <v>4</v>
      </c>
      <c r="J77" s="1">
        <v>2412.3559</v>
      </c>
      <c r="K77" s="1">
        <v>604.09069999999997</v>
      </c>
      <c r="L77" s="9" t="s">
        <v>3195</v>
      </c>
      <c r="M77" s="2">
        <v>8.43</v>
      </c>
      <c r="N77" s="4">
        <v>4893.1899999999996</v>
      </c>
      <c r="O77" s="1">
        <v>9.1873620964533966</v>
      </c>
      <c r="P77" s="6">
        <v>43</v>
      </c>
      <c r="Q77" s="6">
        <v>23.9</v>
      </c>
      <c r="R77" s="6">
        <v>11.8</v>
      </c>
      <c r="S77" s="6">
        <v>9.4</v>
      </c>
      <c r="T77" s="5">
        <v>2.9E-5</v>
      </c>
      <c r="U77" s="1">
        <v>2.2200000000000001E-2</v>
      </c>
      <c r="V77" s="1">
        <v>6.6985999999999999</v>
      </c>
    </row>
    <row r="78" spans="1:22" x14ac:dyDescent="0.25">
      <c r="A78" s="1">
        <v>0.9859</v>
      </c>
      <c r="B78" s="9" t="s">
        <v>3196</v>
      </c>
      <c r="C78" s="2">
        <v>3427</v>
      </c>
      <c r="D78" s="3" t="s">
        <v>3139</v>
      </c>
      <c r="E78" s="9" t="s">
        <v>172</v>
      </c>
      <c r="F78" s="9" t="s">
        <v>156</v>
      </c>
      <c r="G78" s="1">
        <v>1470.8842999999999</v>
      </c>
      <c r="H78" s="2">
        <v>85</v>
      </c>
      <c r="I78" s="2">
        <v>3</v>
      </c>
      <c r="J78" s="1">
        <v>1470.8809000000001</v>
      </c>
      <c r="K78" s="1">
        <v>491.30200000000002</v>
      </c>
      <c r="L78" s="9" t="s">
        <v>157</v>
      </c>
      <c r="M78" s="2">
        <v>9.6999999999999993</v>
      </c>
      <c r="N78" s="4">
        <v>4898.49</v>
      </c>
      <c r="O78" s="1">
        <v>-2.3067956843923558</v>
      </c>
      <c r="P78" s="6">
        <v>38.5</v>
      </c>
      <c r="Q78" s="6">
        <v>31.5</v>
      </c>
      <c r="R78" s="6">
        <v>8.8000000000000007</v>
      </c>
      <c r="S78" s="6">
        <v>10.1</v>
      </c>
      <c r="T78" s="5">
        <v>1.0999999999999999E-2</v>
      </c>
      <c r="U78" s="1">
        <v>-3.3999999999999998E-3</v>
      </c>
      <c r="V78" s="1">
        <v>3.7101999999999999</v>
      </c>
    </row>
    <row r="79" spans="1:22" x14ac:dyDescent="0.25">
      <c r="A79" s="1">
        <v>1</v>
      </c>
      <c r="B79" s="9" t="s">
        <v>3197</v>
      </c>
      <c r="C79" s="2">
        <v>3430</v>
      </c>
      <c r="D79" s="3" t="s">
        <v>3198</v>
      </c>
      <c r="E79" s="9" t="s">
        <v>3199</v>
      </c>
      <c r="F79" s="9" t="s">
        <v>3200</v>
      </c>
      <c r="G79" s="1">
        <v>3067.6878999999999</v>
      </c>
      <c r="H79" s="2">
        <v>792</v>
      </c>
      <c r="I79" s="2">
        <v>4</v>
      </c>
      <c r="J79" s="1">
        <v>3067.6900999999998</v>
      </c>
      <c r="K79" s="1">
        <v>767.92930000000001</v>
      </c>
      <c r="L79" s="9" t="s">
        <v>3195</v>
      </c>
      <c r="M79" s="2">
        <v>6.39</v>
      </c>
      <c r="N79" s="4">
        <v>4905.8900000000003</v>
      </c>
      <c r="O79" s="1">
        <v>0.71621176584875723</v>
      </c>
      <c r="P79" s="6">
        <v>60.1</v>
      </c>
      <c r="Q79" s="6">
        <v>33.4</v>
      </c>
      <c r="R79" s="6">
        <v>12.6</v>
      </c>
      <c r="S79" s="6">
        <v>12.7</v>
      </c>
      <c r="T79" s="5">
        <v>9.2999999999999999E-7</v>
      </c>
      <c r="U79" s="1">
        <v>2.2000000000000001E-3</v>
      </c>
      <c r="V79" s="1">
        <v>7.3898999999999999</v>
      </c>
    </row>
    <row r="80" spans="1:22" x14ac:dyDescent="0.25">
      <c r="A80" s="1">
        <v>0.99519999999999997</v>
      </c>
      <c r="B80" s="9" t="s">
        <v>3201</v>
      </c>
      <c r="C80" s="2">
        <v>3433</v>
      </c>
      <c r="D80" s="3" t="s">
        <v>3202</v>
      </c>
      <c r="E80" s="9" t="s">
        <v>3203</v>
      </c>
      <c r="F80" s="9" t="s">
        <v>3194</v>
      </c>
      <c r="G80" s="1">
        <v>2541.3766999999998</v>
      </c>
      <c r="H80" s="2">
        <v>455</v>
      </c>
      <c r="I80" s="2">
        <v>4</v>
      </c>
      <c r="J80" s="1">
        <v>2541.3571999999999</v>
      </c>
      <c r="K80" s="1">
        <v>636.35149999999999</v>
      </c>
      <c r="L80" s="9" t="s">
        <v>3195</v>
      </c>
      <c r="M80" s="2">
        <v>6.35</v>
      </c>
      <c r="N80" s="4">
        <v>4911.1899999999996</v>
      </c>
      <c r="O80" s="1">
        <v>-7.660860389265995</v>
      </c>
      <c r="P80" s="6">
        <v>38.9</v>
      </c>
      <c r="Q80" s="6">
        <v>24.4</v>
      </c>
      <c r="R80" s="6">
        <v>12.3</v>
      </c>
      <c r="S80" s="6">
        <v>9.8000000000000007</v>
      </c>
      <c r="T80" s="5">
        <v>4.8000000000000001E-4</v>
      </c>
      <c r="U80" s="1">
        <v>-1.95E-2</v>
      </c>
      <c r="V80" s="1">
        <v>5.0479000000000003</v>
      </c>
    </row>
    <row r="81" spans="1:22" x14ac:dyDescent="0.25">
      <c r="A81" s="1">
        <v>0.99990000000000001</v>
      </c>
      <c r="B81" s="9" t="s">
        <v>3204</v>
      </c>
      <c r="C81" s="2">
        <v>3450</v>
      </c>
      <c r="D81" s="3" t="s">
        <v>3205</v>
      </c>
      <c r="E81" s="9" t="s">
        <v>3203</v>
      </c>
      <c r="F81" s="9" t="s">
        <v>3200</v>
      </c>
      <c r="G81" s="1">
        <v>2541.3766999999998</v>
      </c>
      <c r="H81" s="2">
        <v>793</v>
      </c>
      <c r="I81" s="2">
        <v>4</v>
      </c>
      <c r="J81" s="1">
        <v>2541.3928999999998</v>
      </c>
      <c r="K81" s="1">
        <v>636.35149999999999</v>
      </c>
      <c r="L81" s="9" t="s">
        <v>3195</v>
      </c>
      <c r="M81" s="2">
        <v>6.35</v>
      </c>
      <c r="N81" s="4">
        <v>4942.99</v>
      </c>
      <c r="O81" s="1">
        <v>6.3644070926209801</v>
      </c>
      <c r="P81" s="6">
        <v>53.5</v>
      </c>
      <c r="Q81" s="6">
        <v>33.9</v>
      </c>
      <c r="R81" s="6">
        <v>12.2</v>
      </c>
      <c r="S81" s="6">
        <v>9.1999999999999993</v>
      </c>
      <c r="T81" s="5">
        <v>1.8E-5</v>
      </c>
      <c r="U81" s="1">
        <v>1.6199999999999999E-2</v>
      </c>
      <c r="V81" s="1">
        <v>6.4206000000000003</v>
      </c>
    </row>
    <row r="82" spans="1:22" x14ac:dyDescent="0.25">
      <c r="A82" s="1">
        <v>0.99939999999999996</v>
      </c>
      <c r="B82" s="9" t="s">
        <v>3206</v>
      </c>
      <c r="C82" s="2">
        <v>3462</v>
      </c>
      <c r="D82" s="3" t="s">
        <v>3166</v>
      </c>
      <c r="E82" s="9" t="s">
        <v>175</v>
      </c>
      <c r="F82" s="9" t="s">
        <v>176</v>
      </c>
      <c r="G82" s="1">
        <v>1740.8287</v>
      </c>
      <c r="H82" s="2">
        <v>617</v>
      </c>
      <c r="I82" s="2">
        <v>2</v>
      </c>
      <c r="J82" s="1">
        <v>1740.8342</v>
      </c>
      <c r="K82" s="1">
        <v>871.42160000000001</v>
      </c>
      <c r="L82" s="9" t="s">
        <v>118</v>
      </c>
      <c r="M82" s="2">
        <v>6.73</v>
      </c>
      <c r="N82" s="4">
        <v>4967.34</v>
      </c>
      <c r="O82" s="1">
        <v>3.1557629510216407</v>
      </c>
      <c r="P82" s="6">
        <v>57.9</v>
      </c>
      <c r="Q82" s="6">
        <v>28.3</v>
      </c>
      <c r="R82" s="6">
        <v>12.1</v>
      </c>
      <c r="S82" s="6">
        <v>10.6</v>
      </c>
      <c r="T82" s="5">
        <v>8.7000000000000003E-7</v>
      </c>
      <c r="U82" s="1">
        <v>5.4999999999999997E-3</v>
      </c>
      <c r="V82" s="1">
        <v>8.0267999999999997</v>
      </c>
    </row>
    <row r="83" spans="1:22" x14ac:dyDescent="0.25">
      <c r="A83" s="1">
        <v>0.99809999999999999</v>
      </c>
      <c r="B83" s="9" t="s">
        <v>3207</v>
      </c>
      <c r="C83" s="2">
        <v>3474</v>
      </c>
      <c r="D83" s="3" t="s">
        <v>1002</v>
      </c>
      <c r="E83" s="9" t="s">
        <v>3208</v>
      </c>
      <c r="F83" s="9" t="s">
        <v>3209</v>
      </c>
      <c r="G83" s="1">
        <v>1339.6516999999999</v>
      </c>
      <c r="H83" s="2">
        <v>456</v>
      </c>
      <c r="I83" s="2">
        <v>2</v>
      </c>
      <c r="J83" s="1">
        <v>1339.6654000000001</v>
      </c>
      <c r="K83" s="1">
        <v>670.83309999999994</v>
      </c>
      <c r="L83" s="9" t="s">
        <v>3210</v>
      </c>
      <c r="M83" s="2">
        <v>6.24</v>
      </c>
      <c r="N83" s="4">
        <v>4983.1899999999996</v>
      </c>
      <c r="O83" s="1">
        <v>10.211183675939665</v>
      </c>
      <c r="P83" s="6">
        <v>51.2</v>
      </c>
      <c r="Q83" s="6">
        <v>27.9</v>
      </c>
      <c r="R83" s="6">
        <v>11.1</v>
      </c>
      <c r="S83" s="6">
        <v>11.4</v>
      </c>
      <c r="T83" s="5">
        <v>1.3999999999999999E-4</v>
      </c>
      <c r="U83" s="1">
        <v>1.37E-2</v>
      </c>
      <c r="V83" s="1">
        <v>7.1924000000000001</v>
      </c>
    </row>
    <row r="84" spans="1:22" x14ac:dyDescent="0.25">
      <c r="A84" s="1">
        <v>0.98950000000000005</v>
      </c>
      <c r="B84" s="9" t="s">
        <v>3211</v>
      </c>
      <c r="C84" s="2">
        <v>3482</v>
      </c>
      <c r="D84" s="3" t="s">
        <v>326</v>
      </c>
      <c r="E84" s="9" t="s">
        <v>3212</v>
      </c>
      <c r="F84" s="9" t="s">
        <v>3213</v>
      </c>
      <c r="G84" s="1">
        <v>1240.6116999999999</v>
      </c>
      <c r="H84" s="2">
        <v>619</v>
      </c>
      <c r="I84" s="2">
        <v>2</v>
      </c>
      <c r="J84" s="1">
        <v>1240.6297999999999</v>
      </c>
      <c r="K84" s="1">
        <v>621.31309999999996</v>
      </c>
      <c r="L84" s="9" t="s">
        <v>3214</v>
      </c>
      <c r="M84" s="2">
        <v>5.51</v>
      </c>
      <c r="N84" s="4">
        <v>5004.34</v>
      </c>
      <c r="O84" s="1">
        <v>14.565924974058975</v>
      </c>
      <c r="P84" s="6">
        <v>43.1</v>
      </c>
      <c r="Q84" s="6">
        <v>30</v>
      </c>
      <c r="R84" s="6">
        <v>11.4</v>
      </c>
      <c r="S84" s="6">
        <v>11.4</v>
      </c>
      <c r="T84" s="5">
        <v>9.1999999999999998E-3</v>
      </c>
      <c r="U84" s="1">
        <v>1.8100000000000002E-2</v>
      </c>
      <c r="V84" s="1">
        <v>4.3101000000000003</v>
      </c>
    </row>
    <row r="85" spans="1:22" x14ac:dyDescent="0.25">
      <c r="A85" s="1">
        <v>0.99819999999999998</v>
      </c>
      <c r="B85" s="9" t="s">
        <v>3215</v>
      </c>
      <c r="C85" s="2">
        <v>3502</v>
      </c>
      <c r="D85" s="3" t="s">
        <v>2559</v>
      </c>
      <c r="E85" s="9" t="s">
        <v>3216</v>
      </c>
      <c r="F85" s="9" t="s">
        <v>647</v>
      </c>
      <c r="G85" s="1">
        <v>1895.0266999999999</v>
      </c>
      <c r="H85" s="2">
        <v>88</v>
      </c>
      <c r="I85" s="2">
        <v>3</v>
      </c>
      <c r="J85" s="1">
        <v>1895.0373</v>
      </c>
      <c r="K85" s="1">
        <v>632.68280000000004</v>
      </c>
      <c r="L85" s="9" t="s">
        <v>118</v>
      </c>
      <c r="M85" s="2">
        <v>6.77</v>
      </c>
      <c r="N85" s="4">
        <v>5037.1899999999996</v>
      </c>
      <c r="O85" s="1">
        <v>5.5846837203940627</v>
      </c>
      <c r="P85" s="6">
        <v>37.6</v>
      </c>
      <c r="Q85" s="6">
        <v>27.3</v>
      </c>
      <c r="R85" s="6">
        <v>11.8</v>
      </c>
      <c r="S85" s="6">
        <v>9.6999999999999993</v>
      </c>
      <c r="T85" s="5">
        <v>1.2999999999999999E-3</v>
      </c>
      <c r="U85" s="1">
        <v>1.06E-2</v>
      </c>
      <c r="V85" s="1">
        <v>4.7523</v>
      </c>
    </row>
    <row r="86" spans="1:22" x14ac:dyDescent="0.25">
      <c r="A86" s="1">
        <v>0.99990000000000001</v>
      </c>
      <c r="B86" s="9" t="s">
        <v>3217</v>
      </c>
      <c r="C86" s="2">
        <v>3548</v>
      </c>
      <c r="D86" s="3" t="s">
        <v>133</v>
      </c>
      <c r="E86" s="9" t="s">
        <v>3218</v>
      </c>
      <c r="F86" s="9" t="s">
        <v>1519</v>
      </c>
      <c r="G86" s="1">
        <v>2116.1266999999998</v>
      </c>
      <c r="H86" s="2">
        <v>175</v>
      </c>
      <c r="I86" s="2">
        <v>3</v>
      </c>
      <c r="J86" s="1">
        <v>2116.0992000000001</v>
      </c>
      <c r="K86" s="1">
        <v>706.38279999999997</v>
      </c>
      <c r="L86" s="9" t="s">
        <v>1520</v>
      </c>
      <c r="M86" s="2">
        <v>8.5</v>
      </c>
      <c r="N86" s="4">
        <v>5113.9399999999996</v>
      </c>
      <c r="O86" s="1">
        <v>-12.976910913836898</v>
      </c>
      <c r="P86" s="6">
        <v>44.4</v>
      </c>
      <c r="Q86" s="6">
        <v>22.9</v>
      </c>
      <c r="R86" s="6">
        <v>9.6999999999999993</v>
      </c>
      <c r="S86" s="6">
        <v>13.7</v>
      </c>
      <c r="T86" s="5">
        <v>1.2999999999999999E-5</v>
      </c>
      <c r="U86" s="1">
        <v>-2.75E-2</v>
      </c>
      <c r="V86" s="1">
        <v>8.0061999999999998</v>
      </c>
    </row>
    <row r="87" spans="1:22" x14ac:dyDescent="0.25">
      <c r="A87" s="1">
        <v>0.97430000000000005</v>
      </c>
      <c r="B87" s="9" t="s">
        <v>3219</v>
      </c>
      <c r="C87" s="2">
        <v>3578</v>
      </c>
      <c r="D87" s="3" t="s">
        <v>278</v>
      </c>
      <c r="E87" s="9" t="s">
        <v>194</v>
      </c>
      <c r="F87" s="9" t="s">
        <v>1262</v>
      </c>
      <c r="G87" s="1">
        <v>1531.8647000000001</v>
      </c>
      <c r="H87" s="2">
        <v>799</v>
      </c>
      <c r="I87" s="2">
        <v>2</v>
      </c>
      <c r="J87" s="1">
        <v>1531.8753999999999</v>
      </c>
      <c r="K87" s="1">
        <v>766.93960000000004</v>
      </c>
      <c r="L87" s="9" t="s">
        <v>1263</v>
      </c>
      <c r="M87" s="2">
        <v>10</v>
      </c>
      <c r="N87" s="4">
        <v>5163.8</v>
      </c>
      <c r="O87" s="1">
        <v>6.9757774927777874</v>
      </c>
      <c r="P87" s="6">
        <v>49.2</v>
      </c>
      <c r="Q87" s="6">
        <v>33.4</v>
      </c>
      <c r="R87" s="6">
        <v>11</v>
      </c>
      <c r="S87" s="6">
        <v>10.9</v>
      </c>
      <c r="T87" s="5">
        <v>5.4999999999999997E-3</v>
      </c>
      <c r="U87" s="1">
        <v>1.0699999999999999E-2</v>
      </c>
      <c r="V87" s="1">
        <v>3.9981</v>
      </c>
    </row>
    <row r="88" spans="1:22" x14ac:dyDescent="0.25">
      <c r="A88" s="1">
        <v>0.96189999999999998</v>
      </c>
      <c r="B88" s="9" t="s">
        <v>3220</v>
      </c>
      <c r="C88" s="2">
        <v>3612</v>
      </c>
      <c r="D88" s="3" t="s">
        <v>326</v>
      </c>
      <c r="E88" s="9" t="s">
        <v>202</v>
      </c>
      <c r="F88" s="9" t="s">
        <v>2191</v>
      </c>
      <c r="G88" s="1">
        <v>1269.7366999999999</v>
      </c>
      <c r="H88" s="2">
        <v>30</v>
      </c>
      <c r="I88" s="2">
        <v>2</v>
      </c>
      <c r="J88" s="1">
        <v>1269.7258999999999</v>
      </c>
      <c r="K88" s="1">
        <v>635.87559999999996</v>
      </c>
      <c r="L88" s="9" t="s">
        <v>2161</v>
      </c>
      <c r="M88" s="2">
        <v>8.59</v>
      </c>
      <c r="N88" s="4">
        <v>5217.1000000000004</v>
      </c>
      <c r="O88" s="1">
        <v>-8.4922270959917316</v>
      </c>
      <c r="P88" s="6">
        <v>43.7</v>
      </c>
      <c r="Q88" s="6">
        <v>37.5</v>
      </c>
      <c r="R88" s="6">
        <v>10.7</v>
      </c>
      <c r="S88" s="6">
        <v>10.8</v>
      </c>
      <c r="T88" s="5">
        <v>2.5000000000000001E-2</v>
      </c>
      <c r="U88" s="1">
        <v>-1.0800000000000001E-2</v>
      </c>
      <c r="V88" s="1">
        <v>2.9843000000000002</v>
      </c>
    </row>
    <row r="89" spans="1:22" x14ac:dyDescent="0.25">
      <c r="A89" s="1">
        <v>0.98450000000000004</v>
      </c>
      <c r="B89" s="9" t="s">
        <v>3221</v>
      </c>
      <c r="C89" s="2">
        <v>3632</v>
      </c>
      <c r="D89" s="3" t="s">
        <v>51</v>
      </c>
      <c r="E89" s="9" t="s">
        <v>202</v>
      </c>
      <c r="F89" s="9" t="s">
        <v>2191</v>
      </c>
      <c r="G89" s="1">
        <v>1269.7366</v>
      </c>
      <c r="H89" s="2">
        <v>90</v>
      </c>
      <c r="I89" s="2">
        <v>2</v>
      </c>
      <c r="J89" s="1">
        <v>1269.7365</v>
      </c>
      <c r="K89" s="1">
        <v>635.87559999999996</v>
      </c>
      <c r="L89" s="9" t="s">
        <v>2161</v>
      </c>
      <c r="M89" s="2">
        <v>8.59</v>
      </c>
      <c r="N89" s="4">
        <v>5254.1</v>
      </c>
      <c r="O89" s="1">
        <v>-7.8631732370293833E-2</v>
      </c>
      <c r="P89" s="6">
        <v>54.1</v>
      </c>
      <c r="Q89" s="6">
        <v>37</v>
      </c>
      <c r="R89" s="6">
        <v>11</v>
      </c>
      <c r="S89" s="6">
        <v>11</v>
      </c>
      <c r="T89" s="5">
        <v>8.6999999999999994E-3</v>
      </c>
      <c r="U89" s="1">
        <v>-1E-4</v>
      </c>
      <c r="V89" s="1">
        <v>4.3997999999999999</v>
      </c>
    </row>
    <row r="90" spans="1:22" x14ac:dyDescent="0.25">
      <c r="A90" s="1">
        <v>0.99990000000000001</v>
      </c>
      <c r="B90" s="9" t="s">
        <v>3222</v>
      </c>
      <c r="C90" s="2">
        <v>3676</v>
      </c>
      <c r="D90" s="3" t="s">
        <v>831</v>
      </c>
      <c r="E90" s="9" t="s">
        <v>832</v>
      </c>
      <c r="F90" s="9" t="s">
        <v>455</v>
      </c>
      <c r="G90" s="1">
        <v>1699.0032000000001</v>
      </c>
      <c r="H90" s="2">
        <v>467</v>
      </c>
      <c r="I90" s="2">
        <v>3</v>
      </c>
      <c r="J90" s="1">
        <v>1699.009</v>
      </c>
      <c r="K90" s="1">
        <v>567.34169999999995</v>
      </c>
      <c r="L90" s="9" t="s">
        <v>456</v>
      </c>
      <c r="M90" s="2">
        <v>8.56</v>
      </c>
      <c r="N90" s="4">
        <v>5336.6</v>
      </c>
      <c r="O90" s="1">
        <v>3.4077053270248481</v>
      </c>
      <c r="P90" s="6">
        <v>42.3</v>
      </c>
      <c r="Q90" s="6">
        <v>26.9</v>
      </c>
      <c r="R90" s="6">
        <v>8.6999999999999993</v>
      </c>
      <c r="S90" s="6">
        <v>13.8</v>
      </c>
      <c r="T90" s="5">
        <v>2.5999999999999998E-4</v>
      </c>
      <c r="U90" s="1">
        <v>5.7999999999999996E-3</v>
      </c>
      <c r="V90" s="1">
        <v>6.1477000000000004</v>
      </c>
    </row>
    <row r="91" spans="1:22" x14ac:dyDescent="0.25">
      <c r="A91" s="1">
        <v>0.99880000000000002</v>
      </c>
      <c r="B91" s="9" t="s">
        <v>3223</v>
      </c>
      <c r="C91" s="2">
        <v>3678</v>
      </c>
      <c r="D91" s="3" t="s">
        <v>1678</v>
      </c>
      <c r="E91" s="9" t="s">
        <v>1280</v>
      </c>
      <c r="F91" s="9" t="s">
        <v>2598</v>
      </c>
      <c r="G91" s="1">
        <v>1567.8027999999999</v>
      </c>
      <c r="H91" s="2">
        <v>268</v>
      </c>
      <c r="I91" s="2">
        <v>2</v>
      </c>
      <c r="J91" s="1">
        <v>1567.8051</v>
      </c>
      <c r="K91" s="1">
        <v>784.90869999999995</v>
      </c>
      <c r="L91" s="9" t="s">
        <v>2599</v>
      </c>
      <c r="M91" s="2">
        <v>6.28</v>
      </c>
      <c r="N91" s="4">
        <v>5336.6</v>
      </c>
      <c r="O91" s="1">
        <v>1.4651385568792905</v>
      </c>
      <c r="P91" s="6">
        <v>59.2</v>
      </c>
      <c r="Q91" s="6">
        <v>32.299999999999997</v>
      </c>
      <c r="R91" s="6">
        <v>11.2</v>
      </c>
      <c r="S91" s="6">
        <v>12.3</v>
      </c>
      <c r="T91" s="5">
        <v>2.7999999999999999E-6</v>
      </c>
      <c r="U91" s="1">
        <v>2.3E-3</v>
      </c>
      <c r="V91" s="1">
        <v>8.0902999999999992</v>
      </c>
    </row>
    <row r="92" spans="1:22" x14ac:dyDescent="0.25">
      <c r="A92" s="1">
        <v>0.99990000000000001</v>
      </c>
      <c r="B92" s="9" t="s">
        <v>3224</v>
      </c>
      <c r="C92" s="2">
        <v>3687</v>
      </c>
      <c r="D92" s="3" t="s">
        <v>255</v>
      </c>
      <c r="E92" s="9" t="s">
        <v>207</v>
      </c>
      <c r="F92" s="9" t="s">
        <v>97</v>
      </c>
      <c r="G92" s="1">
        <v>1882.9607000000001</v>
      </c>
      <c r="H92" s="2">
        <v>468</v>
      </c>
      <c r="I92" s="2">
        <v>3</v>
      </c>
      <c r="J92" s="1">
        <v>1882.9761000000001</v>
      </c>
      <c r="K92" s="1">
        <v>628.66079999999999</v>
      </c>
      <c r="L92" s="9" t="s">
        <v>98</v>
      </c>
      <c r="M92" s="2">
        <v>6.77</v>
      </c>
      <c r="N92" s="4">
        <v>5354.6</v>
      </c>
      <c r="O92" s="1">
        <v>8.1655056802226778</v>
      </c>
      <c r="P92" s="6">
        <v>39.9</v>
      </c>
      <c r="Q92" s="6">
        <v>24.2</v>
      </c>
      <c r="R92" s="6">
        <v>9.8000000000000007</v>
      </c>
      <c r="S92" s="6">
        <v>9.1999999999999993</v>
      </c>
      <c r="T92" s="5">
        <v>1.8E-5</v>
      </c>
      <c r="U92" s="1">
        <v>1.54E-2</v>
      </c>
      <c r="V92" s="1">
        <v>7.8737000000000004</v>
      </c>
    </row>
    <row r="93" spans="1:22" x14ac:dyDescent="0.25">
      <c r="A93" s="1">
        <v>1</v>
      </c>
      <c r="B93" s="9" t="s">
        <v>3225</v>
      </c>
      <c r="C93" s="2">
        <v>3708</v>
      </c>
      <c r="D93" s="3" t="s">
        <v>1903</v>
      </c>
      <c r="E93" s="9" t="s">
        <v>207</v>
      </c>
      <c r="F93" s="9" t="s">
        <v>97</v>
      </c>
      <c r="G93" s="1">
        <v>1882.9607000000001</v>
      </c>
      <c r="H93" s="2">
        <v>807</v>
      </c>
      <c r="I93" s="2">
        <v>3</v>
      </c>
      <c r="J93" s="1">
        <v>1882.9846</v>
      </c>
      <c r="K93" s="1">
        <v>628.66079999999999</v>
      </c>
      <c r="L93" s="9" t="s">
        <v>98</v>
      </c>
      <c r="M93" s="2">
        <v>6.77</v>
      </c>
      <c r="N93" s="4">
        <v>5391.6</v>
      </c>
      <c r="O93" s="1">
        <v>12.672440633592339</v>
      </c>
      <c r="P93" s="6">
        <v>45.3</v>
      </c>
      <c r="Q93" s="6">
        <v>30.2</v>
      </c>
      <c r="R93" s="6">
        <v>9.5</v>
      </c>
      <c r="S93" s="6">
        <v>9</v>
      </c>
      <c r="T93" s="5">
        <v>1.1999999999999999E-6</v>
      </c>
      <c r="U93" s="1">
        <v>2.3900000000000001E-2</v>
      </c>
      <c r="V93" s="1">
        <v>8.9614999999999991</v>
      </c>
    </row>
    <row r="94" spans="1:22" x14ac:dyDescent="0.25">
      <c r="A94" s="1">
        <v>0.99</v>
      </c>
      <c r="B94" s="9" t="s">
        <v>3226</v>
      </c>
      <c r="C94" s="2">
        <v>3711</v>
      </c>
      <c r="D94" s="3" t="s">
        <v>141</v>
      </c>
      <c r="E94" s="9" t="s">
        <v>825</v>
      </c>
      <c r="F94" s="9" t="s">
        <v>829</v>
      </c>
      <c r="G94" s="1">
        <v>1243.6117999999999</v>
      </c>
      <c r="H94" s="2">
        <v>471</v>
      </c>
      <c r="I94" s="2">
        <v>2</v>
      </c>
      <c r="J94" s="1">
        <v>1243.6156000000001</v>
      </c>
      <c r="K94" s="1">
        <v>622.81320000000005</v>
      </c>
      <c r="L94" s="9" t="s">
        <v>827</v>
      </c>
      <c r="M94" s="2">
        <v>4.75</v>
      </c>
      <c r="N94" s="4">
        <v>5399</v>
      </c>
      <c r="O94" s="1">
        <v>3.0506739420423332</v>
      </c>
      <c r="P94" s="6">
        <v>46.1</v>
      </c>
      <c r="Q94" s="6">
        <v>35.5</v>
      </c>
      <c r="R94" s="6">
        <v>11.6</v>
      </c>
      <c r="S94" s="6">
        <v>11.7</v>
      </c>
      <c r="T94" s="5">
        <v>6.4000000000000005E-4</v>
      </c>
      <c r="U94" s="1">
        <v>3.8E-3</v>
      </c>
      <c r="V94" s="1">
        <v>5.0570000000000004</v>
      </c>
    </row>
    <row r="95" spans="1:22" x14ac:dyDescent="0.25">
      <c r="A95" s="1">
        <v>0.96150000000000002</v>
      </c>
      <c r="B95" s="9" t="s">
        <v>3227</v>
      </c>
      <c r="C95" s="2">
        <v>3715</v>
      </c>
      <c r="D95" s="3" t="s">
        <v>3228</v>
      </c>
      <c r="E95" s="9" t="s">
        <v>2608</v>
      </c>
      <c r="F95" s="9" t="s">
        <v>97</v>
      </c>
      <c r="G95" s="1">
        <v>2666.3850000000002</v>
      </c>
      <c r="H95" s="2">
        <v>808</v>
      </c>
      <c r="I95" s="2">
        <v>4</v>
      </c>
      <c r="J95" s="1">
        <v>2666.3924999999999</v>
      </c>
      <c r="K95" s="1">
        <v>667.60350000000005</v>
      </c>
      <c r="L95" s="9" t="s">
        <v>98</v>
      </c>
      <c r="M95" s="2">
        <v>6.25</v>
      </c>
      <c r="N95" s="4">
        <v>5406.4</v>
      </c>
      <c r="O95" s="1">
        <v>2.8085532805025735</v>
      </c>
      <c r="P95" s="6">
        <v>35.299999999999997</v>
      </c>
      <c r="Q95" s="6">
        <v>26.5</v>
      </c>
      <c r="R95" s="6">
        <v>11.2</v>
      </c>
      <c r="S95" s="6">
        <v>13.6</v>
      </c>
      <c r="T95" s="5">
        <v>2.4E-2</v>
      </c>
      <c r="U95" s="1">
        <v>7.4999999999999997E-3</v>
      </c>
      <c r="V95" s="1">
        <v>2.7404000000000002</v>
      </c>
    </row>
    <row r="96" spans="1:22" x14ac:dyDescent="0.25">
      <c r="A96" s="1">
        <v>0.99880000000000002</v>
      </c>
      <c r="B96" s="9" t="s">
        <v>3229</v>
      </c>
      <c r="C96" s="2">
        <v>3730</v>
      </c>
      <c r="D96" s="3" t="s">
        <v>93</v>
      </c>
      <c r="E96" s="9" t="s">
        <v>215</v>
      </c>
      <c r="F96" s="9" t="s">
        <v>841</v>
      </c>
      <c r="G96" s="1">
        <v>1374.6427000000001</v>
      </c>
      <c r="H96" s="2">
        <v>272</v>
      </c>
      <c r="I96" s="2">
        <v>2</v>
      </c>
      <c r="J96" s="1">
        <v>1374.6624999999999</v>
      </c>
      <c r="K96" s="1">
        <v>688.32860000000005</v>
      </c>
      <c r="L96" s="9" t="s">
        <v>673</v>
      </c>
      <c r="M96" s="2">
        <v>6.75</v>
      </c>
      <c r="N96" s="4">
        <v>5433.9</v>
      </c>
      <c r="O96" s="1">
        <v>14.382665488547186</v>
      </c>
      <c r="P96" s="6">
        <v>52.7</v>
      </c>
      <c r="Q96" s="6">
        <v>32.6</v>
      </c>
      <c r="R96" s="6">
        <v>11.1</v>
      </c>
      <c r="S96" s="6">
        <v>11.5</v>
      </c>
      <c r="T96" s="5">
        <v>2.7999999999999998E-4</v>
      </c>
      <c r="U96" s="1">
        <v>1.9800000000000002E-2</v>
      </c>
      <c r="V96" s="1">
        <v>6.1864999999999997</v>
      </c>
    </row>
    <row r="97" spans="1:22" x14ac:dyDescent="0.25">
      <c r="A97" s="1">
        <v>0.99850000000000005</v>
      </c>
      <c r="B97" s="9" t="s">
        <v>3230</v>
      </c>
      <c r="C97" s="2">
        <v>3733</v>
      </c>
      <c r="D97" s="3" t="s">
        <v>78</v>
      </c>
      <c r="E97" s="9" t="s">
        <v>3231</v>
      </c>
      <c r="F97" s="9" t="s">
        <v>3116</v>
      </c>
      <c r="G97" s="1">
        <v>1171.5662</v>
      </c>
      <c r="H97" s="2">
        <v>474</v>
      </c>
      <c r="I97" s="2">
        <v>2</v>
      </c>
      <c r="J97" s="1">
        <v>1171.5757000000001</v>
      </c>
      <c r="K97" s="1">
        <v>586.79039999999998</v>
      </c>
      <c r="L97" s="9" t="s">
        <v>3117</v>
      </c>
      <c r="M97" s="2">
        <v>5.33</v>
      </c>
      <c r="N97" s="4">
        <v>5441.3</v>
      </c>
      <c r="O97" s="1">
        <v>8.0948836245446429</v>
      </c>
      <c r="P97" s="6">
        <v>41.3</v>
      </c>
      <c r="Q97" s="6">
        <v>26.4</v>
      </c>
      <c r="R97" s="6">
        <v>13.4</v>
      </c>
      <c r="S97" s="6">
        <v>13.4</v>
      </c>
      <c r="T97" s="5">
        <v>2.0000000000000001E-4</v>
      </c>
      <c r="U97" s="1">
        <v>9.4999999999999998E-3</v>
      </c>
      <c r="V97" s="1">
        <v>6.5347999999999997</v>
      </c>
    </row>
    <row r="98" spans="1:22" x14ac:dyDescent="0.25">
      <c r="A98" s="1">
        <v>0.99590000000000001</v>
      </c>
      <c r="B98" s="9" t="s">
        <v>3232</v>
      </c>
      <c r="C98" s="2">
        <v>3738</v>
      </c>
      <c r="D98" s="3" t="s">
        <v>115</v>
      </c>
      <c r="E98" s="9" t="s">
        <v>2611</v>
      </c>
      <c r="F98" s="9" t="s">
        <v>2612</v>
      </c>
      <c r="G98" s="1">
        <v>1575.7466999999999</v>
      </c>
      <c r="H98" s="2">
        <v>94</v>
      </c>
      <c r="I98" s="2">
        <v>2</v>
      </c>
      <c r="J98" s="1">
        <v>1575.771</v>
      </c>
      <c r="K98" s="1">
        <v>788.88059999999996</v>
      </c>
      <c r="L98" s="9" t="s">
        <v>2613</v>
      </c>
      <c r="M98" s="2">
        <v>6.25</v>
      </c>
      <c r="N98" s="4">
        <v>5448.7</v>
      </c>
      <c r="O98" s="1">
        <v>15.401570275653881</v>
      </c>
      <c r="P98" s="6">
        <v>46.5</v>
      </c>
      <c r="Q98" s="6">
        <v>28.5</v>
      </c>
      <c r="R98" s="6">
        <v>11.9</v>
      </c>
      <c r="S98" s="6">
        <v>11.3</v>
      </c>
      <c r="T98" s="5">
        <v>4.3000000000000002E-5</v>
      </c>
      <c r="U98" s="1">
        <v>2.4299999999999999E-2</v>
      </c>
      <c r="V98" s="1">
        <v>6.5795000000000003</v>
      </c>
    </row>
    <row r="99" spans="1:22" x14ac:dyDescent="0.25">
      <c r="A99" s="1">
        <v>0.99839999999999995</v>
      </c>
      <c r="B99" s="9" t="s">
        <v>3233</v>
      </c>
      <c r="C99" s="2">
        <v>3747</v>
      </c>
      <c r="D99" s="3" t="s">
        <v>370</v>
      </c>
      <c r="E99" s="9" t="s">
        <v>215</v>
      </c>
      <c r="F99" s="9" t="s">
        <v>841</v>
      </c>
      <c r="G99" s="1">
        <v>1374.6427000000001</v>
      </c>
      <c r="H99" s="2">
        <v>274</v>
      </c>
      <c r="I99" s="2">
        <v>2</v>
      </c>
      <c r="J99" s="1">
        <v>1374.6533999999999</v>
      </c>
      <c r="K99" s="1">
        <v>688.32860000000005</v>
      </c>
      <c r="L99" s="9" t="s">
        <v>673</v>
      </c>
      <c r="M99" s="2">
        <v>6.75</v>
      </c>
      <c r="N99" s="4">
        <v>5466.7</v>
      </c>
      <c r="O99" s="1">
        <v>7.7724505417906489</v>
      </c>
      <c r="P99" s="6">
        <v>44.2</v>
      </c>
      <c r="Q99" s="6">
        <v>35.700000000000003</v>
      </c>
      <c r="R99" s="6">
        <v>11.3</v>
      </c>
      <c r="S99" s="6">
        <v>11.1</v>
      </c>
      <c r="T99" s="5">
        <v>1E-4</v>
      </c>
      <c r="U99" s="1">
        <v>1.0699999999999999E-2</v>
      </c>
      <c r="V99" s="1">
        <v>5.7709999999999999</v>
      </c>
    </row>
    <row r="100" spans="1:22" x14ac:dyDescent="0.25">
      <c r="A100" s="1">
        <v>0.99490000000000001</v>
      </c>
      <c r="B100" s="9" t="s">
        <v>3234</v>
      </c>
      <c r="C100" s="2">
        <v>3748</v>
      </c>
      <c r="D100" s="3" t="s">
        <v>316</v>
      </c>
      <c r="E100" s="9" t="s">
        <v>2667</v>
      </c>
      <c r="F100" s="9" t="s">
        <v>102</v>
      </c>
      <c r="G100" s="1">
        <v>1787.7927</v>
      </c>
      <c r="H100" s="2">
        <v>934</v>
      </c>
      <c r="I100" s="2">
        <v>2</v>
      </c>
      <c r="J100" s="1">
        <v>1787.8039000000001</v>
      </c>
      <c r="K100" s="1">
        <v>894.90359999999998</v>
      </c>
      <c r="L100" s="9" t="s">
        <v>103</v>
      </c>
      <c r="M100" s="2">
        <v>4.12</v>
      </c>
      <c r="N100" s="4">
        <v>5470.95</v>
      </c>
      <c r="O100" s="1">
        <v>6.2576572493394824</v>
      </c>
      <c r="P100" s="6">
        <v>40.200000000000003</v>
      </c>
      <c r="Q100" s="6">
        <v>27.6</v>
      </c>
      <c r="R100" s="6">
        <v>13.8</v>
      </c>
      <c r="S100" s="6">
        <v>9.8000000000000007</v>
      </c>
      <c r="T100" s="5">
        <v>3.6000000000000002E-4</v>
      </c>
      <c r="U100" s="1">
        <v>1.12E-2</v>
      </c>
      <c r="V100" s="1">
        <v>5.1311</v>
      </c>
    </row>
    <row r="101" spans="1:22" x14ac:dyDescent="0.25">
      <c r="A101" s="1">
        <v>0.999</v>
      </c>
      <c r="B101" s="9" t="s">
        <v>3235</v>
      </c>
      <c r="C101" s="2">
        <v>3769</v>
      </c>
      <c r="D101" s="3" t="s">
        <v>141</v>
      </c>
      <c r="E101" s="9" t="s">
        <v>215</v>
      </c>
      <c r="F101" s="9" t="s">
        <v>841</v>
      </c>
      <c r="G101" s="1">
        <v>1374.6424</v>
      </c>
      <c r="H101" s="2">
        <v>275</v>
      </c>
      <c r="I101" s="2">
        <v>2</v>
      </c>
      <c r="J101" s="1">
        <v>1374.6482000000001</v>
      </c>
      <c r="K101" s="1">
        <v>688.32849999999996</v>
      </c>
      <c r="L101" s="9" t="s">
        <v>673</v>
      </c>
      <c r="M101" s="2">
        <v>6.75</v>
      </c>
      <c r="N101" s="4">
        <v>5503.81</v>
      </c>
      <c r="O101" s="1">
        <v>4.2131046440761928</v>
      </c>
      <c r="P101" s="6">
        <v>48.3</v>
      </c>
      <c r="Q101" s="6">
        <v>28.8</v>
      </c>
      <c r="R101" s="6">
        <v>10.9</v>
      </c>
      <c r="S101" s="6">
        <v>11.4</v>
      </c>
      <c r="T101" s="5">
        <v>1.1E-4</v>
      </c>
      <c r="U101" s="1">
        <v>5.7999999999999996E-3</v>
      </c>
      <c r="V101" s="1">
        <v>6.7449000000000003</v>
      </c>
    </row>
    <row r="102" spans="1:22" x14ac:dyDescent="0.25">
      <c r="A102" s="1">
        <v>0.99429999999999996</v>
      </c>
      <c r="B102" s="9" t="s">
        <v>3236</v>
      </c>
      <c r="C102" s="2">
        <v>3772</v>
      </c>
      <c r="D102" s="3" t="s">
        <v>423</v>
      </c>
      <c r="E102" s="9" t="s">
        <v>2076</v>
      </c>
      <c r="F102" s="9" t="s">
        <v>897</v>
      </c>
      <c r="G102" s="1">
        <v>1431.7391</v>
      </c>
      <c r="H102" s="2">
        <v>276</v>
      </c>
      <c r="I102" s="2">
        <v>2</v>
      </c>
      <c r="J102" s="1">
        <v>1431.7469000000001</v>
      </c>
      <c r="K102" s="1">
        <v>716.8768</v>
      </c>
      <c r="L102" s="9" t="s">
        <v>898</v>
      </c>
      <c r="M102" s="2">
        <v>6.25</v>
      </c>
      <c r="N102" s="4">
        <v>5511.2</v>
      </c>
      <c r="O102" s="1">
        <v>5.4402653287147809</v>
      </c>
      <c r="P102" s="6">
        <v>33.299999999999997</v>
      </c>
      <c r="Q102" s="6">
        <v>23.1</v>
      </c>
      <c r="R102" s="6">
        <v>8.5</v>
      </c>
      <c r="S102" s="6">
        <v>9.4</v>
      </c>
      <c r="T102" s="5">
        <v>3.5999999999999999E-3</v>
      </c>
      <c r="U102" s="1">
        <v>7.7999999999999996E-3</v>
      </c>
      <c r="V102" s="1">
        <v>4.2561999999999998</v>
      </c>
    </row>
    <row r="103" spans="1:22" x14ac:dyDescent="0.25">
      <c r="A103" s="1">
        <v>0.99909999999999999</v>
      </c>
      <c r="B103" s="9" t="s">
        <v>3237</v>
      </c>
      <c r="C103" s="2">
        <v>3789</v>
      </c>
      <c r="D103" s="3" t="s">
        <v>1544</v>
      </c>
      <c r="E103" s="9" t="s">
        <v>2076</v>
      </c>
      <c r="F103" s="9" t="s">
        <v>897</v>
      </c>
      <c r="G103" s="1">
        <v>1431.7387000000001</v>
      </c>
      <c r="H103" s="2">
        <v>478</v>
      </c>
      <c r="I103" s="2">
        <v>2</v>
      </c>
      <c r="J103" s="1">
        <v>1431.7538</v>
      </c>
      <c r="K103" s="1">
        <v>716.87660000000005</v>
      </c>
      <c r="L103" s="9" t="s">
        <v>898</v>
      </c>
      <c r="M103" s="2">
        <v>6.25</v>
      </c>
      <c r="N103" s="4">
        <v>5541.9</v>
      </c>
      <c r="O103" s="1">
        <v>10.531798638705741</v>
      </c>
      <c r="P103" s="6">
        <v>50.7</v>
      </c>
      <c r="Q103" s="6">
        <v>31.3</v>
      </c>
      <c r="R103" s="6">
        <v>8.1</v>
      </c>
      <c r="S103" s="6">
        <v>9.3000000000000007</v>
      </c>
      <c r="T103" s="5">
        <v>2.5000000000000002E-6</v>
      </c>
      <c r="U103" s="1">
        <v>1.5100000000000001E-2</v>
      </c>
      <c r="V103" s="1">
        <v>7.8221999999999996</v>
      </c>
    </row>
    <row r="104" spans="1:22" x14ac:dyDescent="0.25">
      <c r="A104" s="1">
        <v>0.97360000000000002</v>
      </c>
      <c r="B104" s="9" t="s">
        <v>3238</v>
      </c>
      <c r="C104" s="2">
        <v>3799</v>
      </c>
      <c r="D104" s="3" t="s">
        <v>260</v>
      </c>
      <c r="E104" s="9" t="s">
        <v>225</v>
      </c>
      <c r="F104" s="9" t="s">
        <v>80</v>
      </c>
      <c r="G104" s="1">
        <v>1119.5713000000001</v>
      </c>
      <c r="H104" s="2">
        <v>481</v>
      </c>
      <c r="I104" s="2">
        <v>2</v>
      </c>
      <c r="J104" s="1">
        <v>1119.5755999999999</v>
      </c>
      <c r="K104" s="1">
        <v>560.79290000000003</v>
      </c>
      <c r="L104" s="9" t="s">
        <v>81</v>
      </c>
      <c r="M104" s="2">
        <v>6.4</v>
      </c>
      <c r="N104" s="4">
        <v>5556.71</v>
      </c>
      <c r="O104" s="1">
        <v>3.8338573830018174</v>
      </c>
      <c r="P104" s="6">
        <v>30.8</v>
      </c>
      <c r="Q104" s="6">
        <v>21.9</v>
      </c>
      <c r="R104" s="6">
        <v>9.8000000000000007</v>
      </c>
      <c r="S104" s="6">
        <v>10</v>
      </c>
      <c r="T104" s="5">
        <v>3.2000000000000001E-2</v>
      </c>
      <c r="U104" s="1">
        <v>4.3E-3</v>
      </c>
      <c r="V104" s="1">
        <v>3.7768999999999999</v>
      </c>
    </row>
    <row r="105" spans="1:22" x14ac:dyDescent="0.25">
      <c r="A105" s="1">
        <v>0.996</v>
      </c>
      <c r="B105" s="9" t="s">
        <v>3239</v>
      </c>
      <c r="C105" s="2">
        <v>3819</v>
      </c>
      <c r="D105" s="3" t="s">
        <v>680</v>
      </c>
      <c r="E105" s="9" t="s">
        <v>2602</v>
      </c>
      <c r="F105" s="9" t="s">
        <v>2488</v>
      </c>
      <c r="G105" s="1">
        <v>1996.1391000000001</v>
      </c>
      <c r="H105" s="2">
        <v>95</v>
      </c>
      <c r="I105" s="2">
        <v>3</v>
      </c>
      <c r="J105" s="1">
        <v>1996.1478999999999</v>
      </c>
      <c r="K105" s="1">
        <v>666.38699999999994</v>
      </c>
      <c r="L105" s="9" t="s">
        <v>2489</v>
      </c>
      <c r="M105" s="2">
        <v>8.6</v>
      </c>
      <c r="N105" s="4">
        <v>5594.81</v>
      </c>
      <c r="O105" s="1">
        <v>4.4018465746380615</v>
      </c>
      <c r="P105" s="6">
        <v>36.4</v>
      </c>
      <c r="Q105" s="6">
        <v>25.3</v>
      </c>
      <c r="R105" s="6">
        <v>8.5</v>
      </c>
      <c r="S105" s="6">
        <v>10.6</v>
      </c>
      <c r="T105" s="5">
        <v>1.1000000000000001E-3</v>
      </c>
      <c r="U105" s="1">
        <v>8.8000000000000005E-3</v>
      </c>
      <c r="V105" s="1">
        <v>5.1308999999999996</v>
      </c>
    </row>
    <row r="106" spans="1:22" x14ac:dyDescent="0.25">
      <c r="A106" s="1">
        <v>0.98150000000000004</v>
      </c>
      <c r="B106" s="9" t="s">
        <v>3240</v>
      </c>
      <c r="C106" s="2">
        <v>3854</v>
      </c>
      <c r="D106" s="3" t="s">
        <v>3241</v>
      </c>
      <c r="E106" s="9" t="s">
        <v>232</v>
      </c>
      <c r="F106" s="9" t="s">
        <v>156</v>
      </c>
      <c r="G106" s="1">
        <v>2621.5187000000001</v>
      </c>
      <c r="H106" s="2">
        <v>485</v>
      </c>
      <c r="I106" s="2">
        <v>4</v>
      </c>
      <c r="J106" s="1">
        <v>2621.5392999999999</v>
      </c>
      <c r="K106" s="1">
        <v>656.38699999999994</v>
      </c>
      <c r="L106" s="9" t="s">
        <v>157</v>
      </c>
      <c r="M106" s="2">
        <v>9.5299999999999994</v>
      </c>
      <c r="N106" s="4">
        <v>5661.41</v>
      </c>
      <c r="O106" s="1">
        <v>7.8459811056587059</v>
      </c>
      <c r="P106" s="6">
        <v>40.200000000000003</v>
      </c>
      <c r="Q106" s="6">
        <v>26.6</v>
      </c>
      <c r="R106" s="6">
        <v>13.4</v>
      </c>
      <c r="S106" s="6">
        <v>7.2</v>
      </c>
      <c r="T106" s="5">
        <v>1.1999999999999999E-3</v>
      </c>
      <c r="U106" s="1">
        <v>2.06E-2</v>
      </c>
      <c r="V106" s="1">
        <v>4.2434000000000003</v>
      </c>
    </row>
    <row r="107" spans="1:22" x14ac:dyDescent="0.25">
      <c r="A107" s="1">
        <v>0.99670000000000003</v>
      </c>
      <c r="B107" s="9" t="s">
        <v>3242</v>
      </c>
      <c r="C107" s="2">
        <v>3858</v>
      </c>
      <c r="D107" s="3" t="s">
        <v>770</v>
      </c>
      <c r="E107" s="9" t="s">
        <v>863</v>
      </c>
      <c r="F107" s="9" t="s">
        <v>864</v>
      </c>
      <c r="G107" s="1">
        <v>1779.9188999999999</v>
      </c>
      <c r="H107" s="2">
        <v>486</v>
      </c>
      <c r="I107" s="2">
        <v>3</v>
      </c>
      <c r="J107" s="1">
        <v>1779.9277</v>
      </c>
      <c r="K107" s="1">
        <v>594.31359999999995</v>
      </c>
      <c r="L107" s="9" t="s">
        <v>865</v>
      </c>
      <c r="M107" s="2">
        <v>8.59</v>
      </c>
      <c r="N107" s="4">
        <v>5668.81</v>
      </c>
      <c r="O107" s="1">
        <v>4.9356658392695936</v>
      </c>
      <c r="P107" s="6">
        <v>33.799999999999997</v>
      </c>
      <c r="Q107" s="6">
        <v>21.1</v>
      </c>
      <c r="R107" s="6">
        <v>8.9</v>
      </c>
      <c r="S107" s="6">
        <v>11.2</v>
      </c>
      <c r="T107" s="5">
        <v>3.0999999999999999E-3</v>
      </c>
      <c r="U107" s="1">
        <v>8.8000000000000005E-3</v>
      </c>
      <c r="V107" s="1">
        <v>5.2960000000000003</v>
      </c>
    </row>
    <row r="108" spans="1:22" x14ac:dyDescent="0.25">
      <c r="A108" s="1">
        <v>0.99760000000000004</v>
      </c>
      <c r="B108" s="9" t="s">
        <v>3243</v>
      </c>
      <c r="C108" s="2">
        <v>3950</v>
      </c>
      <c r="D108" s="3" t="s">
        <v>3244</v>
      </c>
      <c r="E108" s="9" t="s">
        <v>232</v>
      </c>
      <c r="F108" s="9" t="s">
        <v>156</v>
      </c>
      <c r="G108" s="1">
        <v>2621.5187000000001</v>
      </c>
      <c r="H108" s="2">
        <v>491</v>
      </c>
      <c r="I108" s="2">
        <v>4</v>
      </c>
      <c r="J108" s="1">
        <v>2622.5454</v>
      </c>
      <c r="K108" s="1">
        <v>656.38699999999994</v>
      </c>
      <c r="L108" s="9" t="s">
        <v>157</v>
      </c>
      <c r="M108" s="2">
        <v>9.5299999999999994</v>
      </c>
      <c r="N108" s="4">
        <v>5821.81</v>
      </c>
      <c r="O108" s="1">
        <v>8.8914771316311683</v>
      </c>
      <c r="P108" s="6">
        <v>47</v>
      </c>
      <c r="Q108" s="6">
        <v>25.4</v>
      </c>
      <c r="R108" s="6">
        <v>13.3</v>
      </c>
      <c r="S108" s="6">
        <v>7.6</v>
      </c>
      <c r="T108" s="5">
        <v>2.9E-5</v>
      </c>
      <c r="U108" s="1">
        <v>1.0266999999999999</v>
      </c>
      <c r="V108" s="1">
        <v>6.2176</v>
      </c>
    </row>
    <row r="109" spans="1:22" x14ac:dyDescent="0.25">
      <c r="A109" s="1">
        <v>1</v>
      </c>
      <c r="B109" s="9" t="s">
        <v>3245</v>
      </c>
      <c r="C109" s="2">
        <v>3954</v>
      </c>
      <c r="D109" s="3" t="s">
        <v>3246</v>
      </c>
      <c r="E109" s="9" t="s">
        <v>3247</v>
      </c>
      <c r="F109" s="9" t="s">
        <v>1146</v>
      </c>
      <c r="G109" s="1">
        <v>2211.1259</v>
      </c>
      <c r="H109" s="2">
        <v>492</v>
      </c>
      <c r="I109" s="2">
        <v>3</v>
      </c>
      <c r="J109" s="1">
        <v>2211.1260000000002</v>
      </c>
      <c r="K109" s="1">
        <v>738.04920000000004</v>
      </c>
      <c r="L109" s="9" t="s">
        <v>714</v>
      </c>
      <c r="M109" s="2">
        <v>6.75</v>
      </c>
      <c r="N109" s="4">
        <v>5829.21</v>
      </c>
      <c r="O109" s="1">
        <v>4.5164107397356885E-2</v>
      </c>
      <c r="P109" s="6">
        <v>56.7</v>
      </c>
      <c r="Q109" s="6">
        <v>56.7</v>
      </c>
      <c r="R109" s="6">
        <v>10.7</v>
      </c>
      <c r="S109" s="6">
        <v>9.9</v>
      </c>
      <c r="T109" s="5">
        <v>1.2E-8</v>
      </c>
      <c r="U109" s="1">
        <v>1E-4</v>
      </c>
      <c r="V109" s="1">
        <v>8.5683000000000007</v>
      </c>
    </row>
    <row r="110" spans="1:22" x14ac:dyDescent="0.25">
      <c r="A110" s="1">
        <v>0.98850000000000005</v>
      </c>
      <c r="B110" s="9" t="s">
        <v>3248</v>
      </c>
      <c r="C110" s="2">
        <v>4003</v>
      </c>
      <c r="D110" s="3" t="s">
        <v>1893</v>
      </c>
      <c r="E110" s="9" t="s">
        <v>2109</v>
      </c>
      <c r="F110" s="9" t="s">
        <v>647</v>
      </c>
      <c r="G110" s="1">
        <v>960.52149999999995</v>
      </c>
      <c r="H110" s="2">
        <v>288</v>
      </c>
      <c r="I110" s="2">
        <v>2</v>
      </c>
      <c r="J110" s="1">
        <v>960.51930000000004</v>
      </c>
      <c r="K110" s="1">
        <v>481.26799999999997</v>
      </c>
      <c r="L110" s="9" t="s">
        <v>118</v>
      </c>
      <c r="M110" s="2">
        <v>11</v>
      </c>
      <c r="N110" s="4">
        <v>5913.21</v>
      </c>
      <c r="O110" s="1">
        <v>-2.28562879726057</v>
      </c>
      <c r="P110" s="6">
        <v>26.3</v>
      </c>
      <c r="Q110" s="6">
        <v>21</v>
      </c>
      <c r="R110" s="6">
        <v>11.1</v>
      </c>
      <c r="S110" s="6">
        <v>11.3</v>
      </c>
      <c r="T110" s="5">
        <v>3.4000000000000002E-2</v>
      </c>
      <c r="U110" s="1">
        <v>-2.2000000000000001E-3</v>
      </c>
      <c r="V110" s="1">
        <v>3.6636000000000002</v>
      </c>
    </row>
    <row r="111" spans="1:22" x14ac:dyDescent="0.25">
      <c r="A111" s="1">
        <v>0.98480000000000001</v>
      </c>
      <c r="B111" s="9" t="s">
        <v>3249</v>
      </c>
      <c r="C111" s="2">
        <v>4024</v>
      </c>
      <c r="D111" s="3" t="s">
        <v>3250</v>
      </c>
      <c r="E111" s="9" t="s">
        <v>2109</v>
      </c>
      <c r="F111" s="9" t="s">
        <v>647</v>
      </c>
      <c r="G111" s="1">
        <v>960.52149999999995</v>
      </c>
      <c r="H111" s="2">
        <v>289</v>
      </c>
      <c r="I111" s="2">
        <v>2</v>
      </c>
      <c r="J111" s="1">
        <v>960.52409999999998</v>
      </c>
      <c r="K111" s="1">
        <v>481.26799999999997</v>
      </c>
      <c r="L111" s="9" t="s">
        <v>118</v>
      </c>
      <c r="M111" s="2">
        <v>11</v>
      </c>
      <c r="N111" s="4">
        <v>5948.42</v>
      </c>
      <c r="O111" s="1">
        <v>2.7011976694897646</v>
      </c>
      <c r="P111" s="6">
        <v>22</v>
      </c>
      <c r="Q111" s="6">
        <v>17.2</v>
      </c>
      <c r="R111" s="6">
        <v>9.4</v>
      </c>
      <c r="S111" s="6">
        <v>10.1</v>
      </c>
      <c r="T111" s="5">
        <v>5.8000000000000003E-2</v>
      </c>
      <c r="U111" s="1">
        <v>2.5999999999999999E-3</v>
      </c>
      <c r="V111" s="1">
        <v>3.4413</v>
      </c>
    </row>
    <row r="112" spans="1:22" x14ac:dyDescent="0.25">
      <c r="A112" s="1">
        <v>0.99839999999999995</v>
      </c>
      <c r="B112" s="9" t="s">
        <v>3251</v>
      </c>
      <c r="C112" s="2">
        <v>4031</v>
      </c>
      <c r="D112" s="3" t="s">
        <v>1236</v>
      </c>
      <c r="E112" s="9" t="s">
        <v>263</v>
      </c>
      <c r="F112" s="9" t="s">
        <v>97</v>
      </c>
      <c r="G112" s="1">
        <v>1952.8787</v>
      </c>
      <c r="H112" s="2">
        <v>290</v>
      </c>
      <c r="I112" s="2">
        <v>2</v>
      </c>
      <c r="J112" s="1">
        <v>1952.8993</v>
      </c>
      <c r="K112" s="1">
        <v>977.44659999999999</v>
      </c>
      <c r="L112" s="9" t="s">
        <v>98</v>
      </c>
      <c r="M112" s="2">
        <v>4.8600000000000003</v>
      </c>
      <c r="N112" s="4">
        <v>5961.12</v>
      </c>
      <c r="O112" s="1">
        <v>10.537660062452517</v>
      </c>
      <c r="P112" s="6">
        <v>35.9</v>
      </c>
      <c r="Q112" s="6">
        <v>21.1</v>
      </c>
      <c r="R112" s="6">
        <v>10.4</v>
      </c>
      <c r="S112" s="6">
        <v>12.2</v>
      </c>
      <c r="T112" s="5">
        <v>3.0000000000000001E-5</v>
      </c>
      <c r="U112" s="1">
        <v>2.06E-2</v>
      </c>
      <c r="V112" s="1">
        <v>5.8822000000000001</v>
      </c>
    </row>
    <row r="113" spans="1:22" x14ac:dyDescent="0.25">
      <c r="A113" s="1">
        <v>0.98750000000000004</v>
      </c>
      <c r="B113" s="9" t="s">
        <v>3252</v>
      </c>
      <c r="C113" s="2">
        <v>4046</v>
      </c>
      <c r="D113" s="3" t="s">
        <v>702</v>
      </c>
      <c r="E113" s="9" t="s">
        <v>869</v>
      </c>
      <c r="F113" s="9" t="s">
        <v>870</v>
      </c>
      <c r="G113" s="1">
        <v>1146.5703000000001</v>
      </c>
      <c r="H113" s="2">
        <v>291</v>
      </c>
      <c r="I113" s="2">
        <v>2</v>
      </c>
      <c r="J113" s="1">
        <v>1146.5742</v>
      </c>
      <c r="K113" s="1">
        <v>574.29240000000004</v>
      </c>
      <c r="L113" s="9" t="s">
        <v>871</v>
      </c>
      <c r="M113" s="2">
        <v>5.94</v>
      </c>
      <c r="N113" s="4">
        <v>5986.52</v>
      </c>
      <c r="O113" s="1">
        <v>3.3954828585577657</v>
      </c>
      <c r="P113" s="6">
        <v>35.799999999999997</v>
      </c>
      <c r="Q113" s="6">
        <v>29.4</v>
      </c>
      <c r="R113" s="6">
        <v>10.9</v>
      </c>
      <c r="S113" s="6">
        <v>10.4</v>
      </c>
      <c r="T113" s="5">
        <v>7.9000000000000008E-3</v>
      </c>
      <c r="U113" s="1">
        <v>3.8999999999999998E-3</v>
      </c>
      <c r="V113" s="1">
        <v>3.5977999999999999</v>
      </c>
    </row>
    <row r="114" spans="1:22" x14ac:dyDescent="0.25">
      <c r="A114" s="1">
        <v>0.98770000000000002</v>
      </c>
      <c r="B114" s="9" t="s">
        <v>3253</v>
      </c>
      <c r="C114" s="2">
        <v>4066</v>
      </c>
      <c r="D114" s="3" t="s">
        <v>3254</v>
      </c>
      <c r="E114" s="9" t="s">
        <v>3255</v>
      </c>
      <c r="F114" s="9" t="s">
        <v>672</v>
      </c>
      <c r="G114" s="1">
        <v>2489.3407000000002</v>
      </c>
      <c r="H114" s="2">
        <v>499</v>
      </c>
      <c r="I114" s="2">
        <v>3</v>
      </c>
      <c r="J114" s="1">
        <v>2489.3541</v>
      </c>
      <c r="K114" s="1">
        <v>830.78750000000002</v>
      </c>
      <c r="L114" s="9" t="s">
        <v>673</v>
      </c>
      <c r="M114" s="2">
        <v>8.5</v>
      </c>
      <c r="N114" s="4">
        <v>6023.52</v>
      </c>
      <c r="O114" s="1">
        <v>5.3764249783087328</v>
      </c>
      <c r="P114" s="6">
        <v>37.799999999999997</v>
      </c>
      <c r="Q114" s="6">
        <v>25.6</v>
      </c>
      <c r="R114" s="6">
        <v>11.7</v>
      </c>
      <c r="S114" s="6">
        <v>12.2</v>
      </c>
      <c r="T114" s="5">
        <v>1.2999999999999999E-3</v>
      </c>
      <c r="U114" s="1">
        <v>1.34E-2</v>
      </c>
      <c r="V114" s="1">
        <v>4.4097999999999997</v>
      </c>
    </row>
    <row r="115" spans="1:22" x14ac:dyDescent="0.25">
      <c r="A115" s="1">
        <v>0.97760000000000002</v>
      </c>
      <c r="B115" s="9" t="s">
        <v>3256</v>
      </c>
      <c r="C115" s="2">
        <v>4078</v>
      </c>
      <c r="D115" s="3" t="s">
        <v>479</v>
      </c>
      <c r="E115" s="9" t="s">
        <v>3257</v>
      </c>
      <c r="F115" s="9" t="s">
        <v>3116</v>
      </c>
      <c r="G115" s="1">
        <v>1428.7037</v>
      </c>
      <c r="H115" s="2">
        <v>943</v>
      </c>
      <c r="I115" s="2">
        <v>2</v>
      </c>
      <c r="J115" s="1">
        <v>1428.7329</v>
      </c>
      <c r="K115" s="1">
        <v>715.35910000000001</v>
      </c>
      <c r="L115" s="9" t="s">
        <v>3117</v>
      </c>
      <c r="M115" s="2">
        <v>5.08</v>
      </c>
      <c r="N115" s="4">
        <v>6049.97</v>
      </c>
      <c r="O115" s="1">
        <v>20.409330083310607</v>
      </c>
      <c r="P115" s="6">
        <v>31.5</v>
      </c>
      <c r="Q115" s="6">
        <v>25.6</v>
      </c>
      <c r="R115" s="6">
        <v>14.3</v>
      </c>
      <c r="S115" s="6">
        <v>11.5</v>
      </c>
      <c r="T115" s="5">
        <v>9.2999999999999999E-2</v>
      </c>
      <c r="U115" s="1">
        <v>2.92E-2</v>
      </c>
      <c r="V115" s="1">
        <v>2.2852000000000001</v>
      </c>
    </row>
    <row r="116" spans="1:22" x14ac:dyDescent="0.25">
      <c r="A116" s="1">
        <v>0.99839999999999995</v>
      </c>
      <c r="B116" s="9" t="s">
        <v>3258</v>
      </c>
      <c r="C116" s="2">
        <v>4097</v>
      </c>
      <c r="D116" s="3" t="s">
        <v>280</v>
      </c>
      <c r="E116" s="9" t="s">
        <v>3257</v>
      </c>
      <c r="F116" s="9" t="s">
        <v>3116</v>
      </c>
      <c r="G116" s="1">
        <v>1428.7037</v>
      </c>
      <c r="H116" s="2">
        <v>500</v>
      </c>
      <c r="I116" s="2">
        <v>2</v>
      </c>
      <c r="J116" s="1">
        <v>1428.7136</v>
      </c>
      <c r="K116" s="1">
        <v>715.35910000000001</v>
      </c>
      <c r="L116" s="9" t="s">
        <v>3117</v>
      </c>
      <c r="M116" s="2">
        <v>5.08</v>
      </c>
      <c r="N116" s="4">
        <v>6080.72</v>
      </c>
      <c r="O116" s="1">
        <v>6.9196016378347611</v>
      </c>
      <c r="P116" s="6">
        <v>46.6</v>
      </c>
      <c r="Q116" s="6">
        <v>25.8</v>
      </c>
      <c r="R116" s="6">
        <v>14.2</v>
      </c>
      <c r="S116" s="6">
        <v>12.9</v>
      </c>
      <c r="T116" s="5">
        <v>1.5999999999999999E-5</v>
      </c>
      <c r="U116" s="1">
        <v>9.9000000000000008E-3</v>
      </c>
      <c r="V116" s="1">
        <v>7.2811000000000003</v>
      </c>
    </row>
    <row r="117" spans="1:22" x14ac:dyDescent="0.25">
      <c r="A117" s="1">
        <v>0.98089999999999999</v>
      </c>
      <c r="B117" s="9" t="s">
        <v>3259</v>
      </c>
      <c r="C117" s="2">
        <v>4101</v>
      </c>
      <c r="D117" s="3" t="s">
        <v>105</v>
      </c>
      <c r="E117" s="9" t="s">
        <v>3260</v>
      </c>
      <c r="F117" s="9" t="s">
        <v>3261</v>
      </c>
      <c r="G117" s="1">
        <v>1525.7698</v>
      </c>
      <c r="H117" s="2">
        <v>946</v>
      </c>
      <c r="I117" s="2">
        <v>2</v>
      </c>
      <c r="J117" s="1">
        <v>1525.7743</v>
      </c>
      <c r="K117" s="1">
        <v>763.8922</v>
      </c>
      <c r="L117" s="9" t="s">
        <v>3262</v>
      </c>
      <c r="M117" s="2">
        <v>5.52</v>
      </c>
      <c r="N117" s="4">
        <v>6090.27</v>
      </c>
      <c r="O117" s="1">
        <v>2.9454417783032731</v>
      </c>
      <c r="P117" s="6">
        <v>43.5</v>
      </c>
      <c r="Q117" s="6">
        <v>39.4</v>
      </c>
      <c r="R117" s="6">
        <v>9.5</v>
      </c>
      <c r="S117" s="6">
        <v>8.5</v>
      </c>
      <c r="T117" s="5">
        <v>8.4000000000000003E-4</v>
      </c>
      <c r="U117" s="1">
        <v>4.4999999999999997E-3</v>
      </c>
      <c r="V117" s="1">
        <v>3.8315000000000001</v>
      </c>
    </row>
    <row r="118" spans="1:22" x14ac:dyDescent="0.25">
      <c r="A118" s="1">
        <v>0.99790000000000001</v>
      </c>
      <c r="B118" s="9" t="s">
        <v>3263</v>
      </c>
      <c r="C118" s="2">
        <v>4109</v>
      </c>
      <c r="D118" s="3" t="s">
        <v>1903</v>
      </c>
      <c r="E118" s="9" t="s">
        <v>256</v>
      </c>
      <c r="F118" s="9" t="s">
        <v>3264</v>
      </c>
      <c r="G118" s="1">
        <v>1624.9947</v>
      </c>
      <c r="H118" s="2">
        <v>100</v>
      </c>
      <c r="I118" s="2">
        <v>3</v>
      </c>
      <c r="J118" s="1">
        <v>1625.0132000000001</v>
      </c>
      <c r="K118" s="1">
        <v>542.67219999999998</v>
      </c>
      <c r="L118" s="9" t="s">
        <v>461</v>
      </c>
      <c r="M118" s="2">
        <v>9.6999999999999993</v>
      </c>
      <c r="N118" s="4">
        <v>6100.82</v>
      </c>
      <c r="O118" s="1">
        <v>11.363520494815594</v>
      </c>
      <c r="P118" s="6">
        <v>46.9</v>
      </c>
      <c r="Q118" s="6">
        <v>40.1</v>
      </c>
      <c r="R118" s="6">
        <v>9.6999999999999993</v>
      </c>
      <c r="S118" s="6">
        <v>11.9</v>
      </c>
      <c r="T118" s="5">
        <v>4.8000000000000001E-4</v>
      </c>
      <c r="U118" s="1">
        <v>1.8499999999999999E-2</v>
      </c>
      <c r="V118" s="1">
        <v>4.8948999999999998</v>
      </c>
    </row>
    <row r="119" spans="1:22" x14ac:dyDescent="0.25">
      <c r="A119" s="1">
        <v>0.96460000000000001</v>
      </c>
      <c r="B119" s="9" t="s">
        <v>3265</v>
      </c>
      <c r="C119" s="2">
        <v>4114</v>
      </c>
      <c r="D119" s="3" t="s">
        <v>311</v>
      </c>
      <c r="E119" s="9" t="s">
        <v>3266</v>
      </c>
      <c r="F119" s="9" t="s">
        <v>3267</v>
      </c>
      <c r="G119" s="1">
        <v>1317.6597999999999</v>
      </c>
      <c r="H119" s="2">
        <v>501</v>
      </c>
      <c r="I119" s="2">
        <v>2</v>
      </c>
      <c r="J119" s="1">
        <v>1317.6641</v>
      </c>
      <c r="K119" s="1">
        <v>659.83720000000005</v>
      </c>
      <c r="L119" s="9" t="s">
        <v>3268</v>
      </c>
      <c r="M119" s="2">
        <v>6.22</v>
      </c>
      <c r="N119" s="4">
        <v>6111.42</v>
      </c>
      <c r="O119" s="1">
        <v>3.2583794911835828</v>
      </c>
      <c r="P119" s="6">
        <v>37.799999999999997</v>
      </c>
      <c r="Q119" s="6">
        <v>26.6</v>
      </c>
      <c r="R119" s="6">
        <v>9.6</v>
      </c>
      <c r="S119" s="6">
        <v>8.6</v>
      </c>
      <c r="T119" s="5">
        <v>2.1000000000000001E-2</v>
      </c>
      <c r="U119" s="1">
        <v>4.3E-3</v>
      </c>
      <c r="V119" s="1">
        <v>3.5529000000000002</v>
      </c>
    </row>
    <row r="120" spans="1:22" x14ac:dyDescent="0.25">
      <c r="A120" s="1">
        <v>0.98419999999999996</v>
      </c>
      <c r="B120" s="9" t="s">
        <v>3269</v>
      </c>
      <c r="C120" s="2">
        <v>4117</v>
      </c>
      <c r="D120" s="3" t="s">
        <v>260</v>
      </c>
      <c r="E120" s="9" t="s">
        <v>251</v>
      </c>
      <c r="F120" s="9" t="s">
        <v>252</v>
      </c>
      <c r="G120" s="1">
        <v>843.46069999999997</v>
      </c>
      <c r="H120" s="2">
        <v>947</v>
      </c>
      <c r="I120" s="2">
        <v>2</v>
      </c>
      <c r="J120" s="1">
        <v>843.40459999999996</v>
      </c>
      <c r="K120" s="1">
        <v>422.73759999999999</v>
      </c>
      <c r="L120" s="9" t="s">
        <v>253</v>
      </c>
      <c r="M120" s="2">
        <v>6.74</v>
      </c>
      <c r="N120" s="4">
        <v>6117.87</v>
      </c>
      <c r="O120" s="1">
        <v>-66.353217693434416</v>
      </c>
      <c r="P120" s="6">
        <v>34</v>
      </c>
      <c r="Q120" s="6">
        <v>25</v>
      </c>
      <c r="R120" s="6">
        <v>12</v>
      </c>
      <c r="S120" s="6">
        <v>12.8</v>
      </c>
      <c r="T120" s="5">
        <v>1.7000000000000001E-2</v>
      </c>
      <c r="U120" s="1">
        <v>-5.6099999999999997E-2</v>
      </c>
      <c r="V120" s="1">
        <v>3.9849000000000001</v>
      </c>
    </row>
    <row r="121" spans="1:22" x14ac:dyDescent="0.25">
      <c r="A121" s="1">
        <v>0.99719999999999998</v>
      </c>
      <c r="B121" s="9" t="s">
        <v>3270</v>
      </c>
      <c r="C121" s="2">
        <v>4136</v>
      </c>
      <c r="D121" s="3" t="s">
        <v>105</v>
      </c>
      <c r="E121" s="9" t="s">
        <v>1355</v>
      </c>
      <c r="F121" s="9" t="s">
        <v>1083</v>
      </c>
      <c r="G121" s="1">
        <v>1670.8086000000001</v>
      </c>
      <c r="H121" s="2">
        <v>503</v>
      </c>
      <c r="I121" s="2">
        <v>2</v>
      </c>
      <c r="J121" s="1">
        <v>1670.8079</v>
      </c>
      <c r="K121" s="1">
        <v>836.41160000000002</v>
      </c>
      <c r="L121" s="9" t="s">
        <v>1084</v>
      </c>
      <c r="M121" s="2">
        <v>5.51</v>
      </c>
      <c r="N121" s="4">
        <v>6143.62</v>
      </c>
      <c r="O121" s="1">
        <v>-0.41845426342724085</v>
      </c>
      <c r="P121" s="6">
        <v>45.3</v>
      </c>
      <c r="Q121" s="6">
        <v>25.7</v>
      </c>
      <c r="R121" s="6">
        <v>11</v>
      </c>
      <c r="S121" s="6">
        <v>9.6999999999999993</v>
      </c>
      <c r="T121" s="5">
        <v>4.1E-5</v>
      </c>
      <c r="U121" s="1">
        <v>-6.9999999999999999E-4</v>
      </c>
      <c r="V121" s="1">
        <v>6.5698999999999996</v>
      </c>
    </row>
    <row r="122" spans="1:22" x14ac:dyDescent="0.25">
      <c r="A122" s="1">
        <v>0.99470000000000003</v>
      </c>
      <c r="B122" s="9" t="s">
        <v>3271</v>
      </c>
      <c r="C122" s="2">
        <v>4141</v>
      </c>
      <c r="D122" s="3" t="s">
        <v>270</v>
      </c>
      <c r="E122" s="9" t="s">
        <v>271</v>
      </c>
      <c r="F122" s="9" t="s">
        <v>272</v>
      </c>
      <c r="G122" s="1">
        <v>1682.8072999999999</v>
      </c>
      <c r="H122" s="2">
        <v>949</v>
      </c>
      <c r="I122" s="2">
        <v>2</v>
      </c>
      <c r="J122" s="1">
        <v>1682.8137999999999</v>
      </c>
      <c r="K122" s="1">
        <v>842.41089999999997</v>
      </c>
      <c r="L122" s="9" t="s">
        <v>273</v>
      </c>
      <c r="M122" s="2">
        <v>4.46</v>
      </c>
      <c r="N122" s="4">
        <v>6154.27</v>
      </c>
      <c r="O122" s="1">
        <v>3.8579747721687836</v>
      </c>
      <c r="P122" s="6">
        <v>42.7</v>
      </c>
      <c r="Q122" s="6">
        <v>27.2</v>
      </c>
      <c r="R122" s="6">
        <v>10.9</v>
      </c>
      <c r="S122" s="6">
        <v>12.1</v>
      </c>
      <c r="T122" s="5">
        <v>6.4000000000000005E-4</v>
      </c>
      <c r="U122" s="1">
        <v>6.4999999999999997E-3</v>
      </c>
      <c r="V122" s="1">
        <v>5.0970000000000004</v>
      </c>
    </row>
    <row r="123" spans="1:22" x14ac:dyDescent="0.25">
      <c r="A123" s="1">
        <v>0.99639999999999995</v>
      </c>
      <c r="B123" s="9" t="s">
        <v>3272</v>
      </c>
      <c r="C123" s="2">
        <v>4148</v>
      </c>
      <c r="D123" s="3" t="s">
        <v>115</v>
      </c>
      <c r="E123" s="9" t="s">
        <v>281</v>
      </c>
      <c r="F123" s="9" t="s">
        <v>282</v>
      </c>
      <c r="G123" s="1">
        <v>1468.7344000000001</v>
      </c>
      <c r="H123" s="2">
        <v>102</v>
      </c>
      <c r="I123" s="2">
        <v>2</v>
      </c>
      <c r="J123" s="1">
        <v>1468.7302999999999</v>
      </c>
      <c r="K123" s="1">
        <v>735.37450000000001</v>
      </c>
      <c r="L123" s="9" t="s">
        <v>283</v>
      </c>
      <c r="M123" s="2">
        <v>6.09</v>
      </c>
      <c r="N123" s="4">
        <v>6160.62</v>
      </c>
      <c r="O123" s="1">
        <v>-2.7876952491553624</v>
      </c>
      <c r="P123" s="6">
        <v>46.4</v>
      </c>
      <c r="Q123" s="6">
        <v>26.7</v>
      </c>
      <c r="R123" s="6">
        <v>9.5</v>
      </c>
      <c r="S123" s="6">
        <v>12.9</v>
      </c>
      <c r="T123" s="5">
        <v>2.9999999999999997E-4</v>
      </c>
      <c r="U123" s="1">
        <v>-4.1000000000000003E-3</v>
      </c>
      <c r="V123" s="1">
        <v>5.8837000000000002</v>
      </c>
    </row>
    <row r="124" spans="1:22" x14ac:dyDescent="0.25">
      <c r="A124" s="1">
        <v>0.99409999999999998</v>
      </c>
      <c r="B124" s="9" t="s">
        <v>3273</v>
      </c>
      <c r="C124" s="2">
        <v>4154</v>
      </c>
      <c r="D124" s="3" t="s">
        <v>270</v>
      </c>
      <c r="E124" s="9" t="s">
        <v>1355</v>
      </c>
      <c r="F124" s="9" t="s">
        <v>1083</v>
      </c>
      <c r="G124" s="1">
        <v>1670.8086000000001</v>
      </c>
      <c r="H124" s="2">
        <v>505</v>
      </c>
      <c r="I124" s="2">
        <v>2</v>
      </c>
      <c r="J124" s="1">
        <v>1670.8121000000001</v>
      </c>
      <c r="K124" s="1">
        <v>836.41160000000002</v>
      </c>
      <c r="L124" s="9" t="s">
        <v>1084</v>
      </c>
      <c r="M124" s="2">
        <v>5.51</v>
      </c>
      <c r="N124" s="4">
        <v>6175.42</v>
      </c>
      <c r="O124" s="1">
        <v>2.0922713171362042</v>
      </c>
      <c r="P124" s="6">
        <v>41.9</v>
      </c>
      <c r="Q124" s="6">
        <v>30.2</v>
      </c>
      <c r="R124" s="6">
        <v>10.6</v>
      </c>
      <c r="S124" s="6">
        <v>9.3000000000000007</v>
      </c>
      <c r="T124" s="5">
        <v>8.3999999999999995E-5</v>
      </c>
      <c r="U124" s="1">
        <v>3.5000000000000001E-3</v>
      </c>
      <c r="V124" s="1">
        <v>5.6071</v>
      </c>
    </row>
    <row r="125" spans="1:22" x14ac:dyDescent="0.25">
      <c r="A125" s="1">
        <v>0.99419999999999997</v>
      </c>
      <c r="B125" s="9" t="s">
        <v>3274</v>
      </c>
      <c r="C125" s="2">
        <v>4161</v>
      </c>
      <c r="D125" s="3" t="s">
        <v>316</v>
      </c>
      <c r="E125" s="9" t="s">
        <v>271</v>
      </c>
      <c r="F125" s="9" t="s">
        <v>272</v>
      </c>
      <c r="G125" s="1">
        <v>1682.8077000000001</v>
      </c>
      <c r="H125" s="2">
        <v>820</v>
      </c>
      <c r="I125" s="2">
        <v>2</v>
      </c>
      <c r="J125" s="1">
        <v>1682.8294000000001</v>
      </c>
      <c r="K125" s="1">
        <v>842.41110000000003</v>
      </c>
      <c r="L125" s="9" t="s">
        <v>273</v>
      </c>
      <c r="M125" s="2">
        <v>4.46</v>
      </c>
      <c r="N125" s="4">
        <v>6185.02</v>
      </c>
      <c r="O125" s="1">
        <v>12.879697335422099</v>
      </c>
      <c r="P125" s="6">
        <v>38.700000000000003</v>
      </c>
      <c r="Q125" s="6">
        <v>23</v>
      </c>
      <c r="R125" s="6">
        <v>8.8000000000000007</v>
      </c>
      <c r="S125" s="6">
        <v>11.6</v>
      </c>
      <c r="T125" s="5">
        <v>2.0000000000000001E-4</v>
      </c>
      <c r="U125" s="1">
        <v>2.1700000000000001E-2</v>
      </c>
      <c r="V125" s="1">
        <v>5.7769000000000004</v>
      </c>
    </row>
    <row r="126" spans="1:22" x14ac:dyDescent="0.25">
      <c r="A126" s="1">
        <v>0.99919999999999998</v>
      </c>
      <c r="B126" s="9" t="s">
        <v>3275</v>
      </c>
      <c r="C126" s="2">
        <v>4163</v>
      </c>
      <c r="D126" s="3" t="s">
        <v>1372</v>
      </c>
      <c r="E126" s="9" t="s">
        <v>3276</v>
      </c>
      <c r="F126" s="9" t="s">
        <v>860</v>
      </c>
      <c r="G126" s="1">
        <v>2322.1927000000001</v>
      </c>
      <c r="H126" s="2">
        <v>104</v>
      </c>
      <c r="I126" s="2">
        <v>3</v>
      </c>
      <c r="J126" s="1">
        <v>2322.2166999999999</v>
      </c>
      <c r="K126" s="1">
        <v>775.07150000000001</v>
      </c>
      <c r="L126" s="9" t="s">
        <v>673</v>
      </c>
      <c r="M126" s="2">
        <v>6.27</v>
      </c>
      <c r="N126" s="4">
        <v>6190.32</v>
      </c>
      <c r="O126" s="1">
        <v>10.321628391703216</v>
      </c>
      <c r="P126" s="6">
        <v>44.6</v>
      </c>
      <c r="Q126" s="6">
        <v>28.8</v>
      </c>
      <c r="R126" s="6">
        <v>11.8</v>
      </c>
      <c r="S126" s="6">
        <v>12</v>
      </c>
      <c r="T126" s="5">
        <v>6.2000000000000003E-5</v>
      </c>
      <c r="U126" s="1">
        <v>2.4E-2</v>
      </c>
      <c r="V126" s="1">
        <v>6.2708000000000004</v>
      </c>
    </row>
    <row r="127" spans="1:22" x14ac:dyDescent="0.25">
      <c r="A127" s="1">
        <v>0.99139999999999995</v>
      </c>
      <c r="B127" s="9" t="s">
        <v>3277</v>
      </c>
      <c r="C127" s="2">
        <v>4169</v>
      </c>
      <c r="D127" s="3" t="s">
        <v>423</v>
      </c>
      <c r="E127" s="9" t="s">
        <v>281</v>
      </c>
      <c r="F127" s="9" t="s">
        <v>282</v>
      </c>
      <c r="G127" s="1">
        <v>1468.7344000000001</v>
      </c>
      <c r="H127" s="2">
        <v>951</v>
      </c>
      <c r="I127" s="2">
        <v>2</v>
      </c>
      <c r="J127" s="1">
        <v>1468.7402</v>
      </c>
      <c r="K127" s="1">
        <v>735.37450000000001</v>
      </c>
      <c r="L127" s="9" t="s">
        <v>283</v>
      </c>
      <c r="M127" s="2">
        <v>6.09</v>
      </c>
      <c r="N127" s="4">
        <v>6204.07</v>
      </c>
      <c r="O127" s="1">
        <v>3.943568889049049</v>
      </c>
      <c r="P127" s="6">
        <v>36.299999999999997</v>
      </c>
      <c r="Q127" s="6">
        <v>24.6</v>
      </c>
      <c r="R127" s="6">
        <v>9.6</v>
      </c>
      <c r="S127" s="6">
        <v>12.9</v>
      </c>
      <c r="T127" s="5">
        <v>2.2000000000000001E-3</v>
      </c>
      <c r="U127" s="1">
        <v>5.7999999999999996E-3</v>
      </c>
      <c r="V127" s="1">
        <v>4.5457999999999998</v>
      </c>
    </row>
    <row r="128" spans="1:22" x14ac:dyDescent="0.25">
      <c r="A128" s="1">
        <v>0.99990000000000001</v>
      </c>
      <c r="B128" s="9" t="s">
        <v>3278</v>
      </c>
      <c r="C128" s="2">
        <v>4181</v>
      </c>
      <c r="D128" s="3" t="s">
        <v>1372</v>
      </c>
      <c r="E128" s="9" t="s">
        <v>3276</v>
      </c>
      <c r="F128" s="9" t="s">
        <v>860</v>
      </c>
      <c r="G128" s="1">
        <v>2322.1927000000001</v>
      </c>
      <c r="H128" s="2">
        <v>506</v>
      </c>
      <c r="I128" s="2">
        <v>3</v>
      </c>
      <c r="J128" s="1">
        <v>2322.2161000000001</v>
      </c>
      <c r="K128" s="1">
        <v>775.07150000000001</v>
      </c>
      <c r="L128" s="9" t="s">
        <v>673</v>
      </c>
      <c r="M128" s="2">
        <v>6.27</v>
      </c>
      <c r="N128" s="4">
        <v>6222.12</v>
      </c>
      <c r="O128" s="1">
        <v>10.063587681910638</v>
      </c>
      <c r="P128" s="6">
        <v>48.1</v>
      </c>
      <c r="Q128" s="6">
        <v>28.6</v>
      </c>
      <c r="R128" s="6">
        <v>11.8</v>
      </c>
      <c r="S128" s="6">
        <v>11.9</v>
      </c>
      <c r="T128" s="5">
        <v>3.4999999999999999E-6</v>
      </c>
      <c r="U128" s="1">
        <v>2.3400000000000001E-2</v>
      </c>
      <c r="V128" s="1">
        <v>7.8243</v>
      </c>
    </row>
    <row r="129" spans="1:22" x14ac:dyDescent="0.25">
      <c r="A129" s="1">
        <v>0.96079999999999999</v>
      </c>
      <c r="B129" s="9" t="s">
        <v>3279</v>
      </c>
      <c r="C129" s="2">
        <v>4258</v>
      </c>
      <c r="D129" s="3" t="s">
        <v>621</v>
      </c>
      <c r="E129" s="9" t="s">
        <v>3280</v>
      </c>
      <c r="F129" s="9" t="s">
        <v>2488</v>
      </c>
      <c r="G129" s="1">
        <v>1170.6547</v>
      </c>
      <c r="H129" s="2">
        <v>956</v>
      </c>
      <c r="I129" s="2">
        <v>2</v>
      </c>
      <c r="J129" s="1">
        <v>1170.6646000000001</v>
      </c>
      <c r="K129" s="1">
        <v>586.33460000000002</v>
      </c>
      <c r="L129" s="9" t="s">
        <v>2489</v>
      </c>
      <c r="M129" s="2">
        <v>12</v>
      </c>
      <c r="N129" s="4">
        <v>6351.97</v>
      </c>
      <c r="O129" s="1">
        <v>8.442278521513142</v>
      </c>
      <c r="P129" s="6">
        <v>34.6</v>
      </c>
      <c r="Q129" s="6">
        <v>26.6</v>
      </c>
      <c r="R129" s="6">
        <v>10.5</v>
      </c>
      <c r="S129" s="6">
        <v>10.6</v>
      </c>
      <c r="T129" s="5">
        <v>3.4000000000000002E-2</v>
      </c>
      <c r="U129" s="1">
        <v>9.9000000000000008E-3</v>
      </c>
      <c r="V129" s="1">
        <v>3.2806999999999999</v>
      </c>
    </row>
    <row r="130" spans="1:22" x14ac:dyDescent="0.25">
      <c r="A130" s="1">
        <v>0.99809999999999999</v>
      </c>
      <c r="B130" s="9" t="s">
        <v>3281</v>
      </c>
      <c r="C130" s="2">
        <v>4263</v>
      </c>
      <c r="D130" s="3" t="s">
        <v>333</v>
      </c>
      <c r="E130" s="9" t="s">
        <v>289</v>
      </c>
      <c r="F130" s="9" t="s">
        <v>290</v>
      </c>
      <c r="G130" s="1">
        <v>1831.9753000000001</v>
      </c>
      <c r="H130" s="2">
        <v>509</v>
      </c>
      <c r="I130" s="2">
        <v>3</v>
      </c>
      <c r="J130" s="1">
        <v>1831.9715000000001</v>
      </c>
      <c r="K130" s="1">
        <v>611.66570000000002</v>
      </c>
      <c r="L130" s="9" t="s">
        <v>291</v>
      </c>
      <c r="M130" s="2">
        <v>6.17</v>
      </c>
      <c r="N130" s="4">
        <v>6357.32</v>
      </c>
      <c r="O130" s="1">
        <v>-2.0708479593782463</v>
      </c>
      <c r="P130" s="6">
        <v>38.700000000000003</v>
      </c>
      <c r="Q130" s="6">
        <v>24.8</v>
      </c>
      <c r="R130" s="6">
        <v>11.8</v>
      </c>
      <c r="S130" s="6">
        <v>10.5</v>
      </c>
      <c r="T130" s="5">
        <v>1.1999999999999999E-3</v>
      </c>
      <c r="U130" s="1">
        <v>-3.8E-3</v>
      </c>
      <c r="V130" s="1">
        <v>5.7148000000000003</v>
      </c>
    </row>
    <row r="131" spans="1:22" x14ac:dyDescent="0.25">
      <c r="A131" s="1">
        <v>0.99960000000000004</v>
      </c>
      <c r="B131" s="9" t="s">
        <v>3282</v>
      </c>
      <c r="C131" s="2">
        <v>4281</v>
      </c>
      <c r="D131" s="3" t="s">
        <v>163</v>
      </c>
      <c r="E131" s="9" t="s">
        <v>289</v>
      </c>
      <c r="F131" s="9" t="s">
        <v>290</v>
      </c>
      <c r="G131" s="1">
        <v>1831.9753000000001</v>
      </c>
      <c r="H131" s="2">
        <v>42</v>
      </c>
      <c r="I131" s="2">
        <v>3</v>
      </c>
      <c r="J131" s="1">
        <v>1831.9815000000001</v>
      </c>
      <c r="K131" s="1">
        <v>611.66570000000002</v>
      </c>
      <c r="L131" s="9" t="s">
        <v>291</v>
      </c>
      <c r="M131" s="2">
        <v>6.17</v>
      </c>
      <c r="N131" s="4">
        <v>6388.12</v>
      </c>
      <c r="O131" s="1">
        <v>3.3787519337224019</v>
      </c>
      <c r="P131" s="6">
        <v>36.299999999999997</v>
      </c>
      <c r="Q131" s="6">
        <v>22.8</v>
      </c>
      <c r="R131" s="6">
        <v>11.5</v>
      </c>
      <c r="S131" s="6">
        <v>10.4</v>
      </c>
      <c r="T131" s="5">
        <v>4.0000000000000003E-5</v>
      </c>
      <c r="U131" s="1">
        <v>6.1999999999999998E-3</v>
      </c>
      <c r="V131" s="1">
        <v>7.6007999999999996</v>
      </c>
    </row>
    <row r="132" spans="1:22" x14ac:dyDescent="0.25">
      <c r="A132" s="1">
        <v>0.99770000000000003</v>
      </c>
      <c r="B132" s="9" t="s">
        <v>3283</v>
      </c>
      <c r="C132" s="2">
        <v>4287</v>
      </c>
      <c r="D132" s="3" t="s">
        <v>3284</v>
      </c>
      <c r="E132" s="9" t="s">
        <v>2693</v>
      </c>
      <c r="F132" s="9" t="s">
        <v>1014</v>
      </c>
      <c r="G132" s="1">
        <v>2940.4976999999999</v>
      </c>
      <c r="H132" s="2">
        <v>825</v>
      </c>
      <c r="I132" s="2">
        <v>4</v>
      </c>
      <c r="J132" s="1">
        <v>2940.5488999999998</v>
      </c>
      <c r="K132" s="1">
        <v>736.13170000000002</v>
      </c>
      <c r="L132" s="9" t="s">
        <v>1015</v>
      </c>
      <c r="M132" s="2">
        <v>5.3</v>
      </c>
      <c r="N132" s="4">
        <v>6398.72</v>
      </c>
      <c r="O132" s="1">
        <v>17.388192900808374</v>
      </c>
      <c r="P132" s="6">
        <v>43.2</v>
      </c>
      <c r="Q132" s="6">
        <v>27.9</v>
      </c>
      <c r="R132" s="6">
        <v>11.3</v>
      </c>
      <c r="S132" s="6">
        <v>11.1</v>
      </c>
      <c r="T132" s="5">
        <v>1E-3</v>
      </c>
      <c r="U132" s="1">
        <v>5.1200000000000002E-2</v>
      </c>
      <c r="V132" s="1">
        <v>4.2220000000000004</v>
      </c>
    </row>
    <row r="133" spans="1:22" x14ac:dyDescent="0.25">
      <c r="A133" s="1">
        <v>0.96109999999999995</v>
      </c>
      <c r="B133" s="9" t="s">
        <v>3285</v>
      </c>
      <c r="C133" s="2">
        <v>4298</v>
      </c>
      <c r="D133" s="3" t="s">
        <v>980</v>
      </c>
      <c r="E133" s="9" t="s">
        <v>2141</v>
      </c>
      <c r="F133" s="9" t="s">
        <v>290</v>
      </c>
      <c r="G133" s="1">
        <v>1930.0192999999999</v>
      </c>
      <c r="H133" s="2">
        <v>690</v>
      </c>
      <c r="I133" s="2">
        <v>3</v>
      </c>
      <c r="J133" s="1">
        <v>1930.0243</v>
      </c>
      <c r="K133" s="1">
        <v>644.34699999999998</v>
      </c>
      <c r="L133" s="9" t="s">
        <v>291</v>
      </c>
      <c r="M133" s="2">
        <v>6.31</v>
      </c>
      <c r="N133" s="4">
        <v>6420.97</v>
      </c>
      <c r="O133" s="1">
        <v>2.5865980080091422</v>
      </c>
      <c r="P133" s="6">
        <v>30.8</v>
      </c>
      <c r="Q133" s="6">
        <v>21.3</v>
      </c>
      <c r="R133" s="6">
        <v>6.3</v>
      </c>
      <c r="S133" s="6">
        <v>7.7</v>
      </c>
      <c r="T133" s="5">
        <v>5.7000000000000002E-3</v>
      </c>
      <c r="U133" s="1">
        <v>5.0000000000000001E-3</v>
      </c>
      <c r="V133" s="1">
        <v>4.3258999999999999</v>
      </c>
    </row>
    <row r="134" spans="1:22" x14ac:dyDescent="0.25">
      <c r="A134" s="1">
        <v>0.97209999999999996</v>
      </c>
      <c r="B134" s="9" t="s">
        <v>3286</v>
      </c>
      <c r="C134" s="2">
        <v>4304</v>
      </c>
      <c r="D134" s="3" t="s">
        <v>3287</v>
      </c>
      <c r="E134" s="9" t="s">
        <v>2693</v>
      </c>
      <c r="F134" s="9" t="s">
        <v>1014</v>
      </c>
      <c r="G134" s="1">
        <v>2940.4976999999999</v>
      </c>
      <c r="H134" s="2">
        <v>826</v>
      </c>
      <c r="I134" s="2">
        <v>4</v>
      </c>
      <c r="J134" s="1">
        <v>2940.5544</v>
      </c>
      <c r="K134" s="1">
        <v>736.13170000000002</v>
      </c>
      <c r="L134" s="9" t="s">
        <v>1015</v>
      </c>
      <c r="M134" s="2">
        <v>5.3</v>
      </c>
      <c r="N134" s="4">
        <v>6429.42</v>
      </c>
      <c r="O134" s="1">
        <v>19.256065185074899</v>
      </c>
      <c r="P134" s="6">
        <v>39.299999999999997</v>
      </c>
      <c r="Q134" s="6">
        <v>29.1</v>
      </c>
      <c r="R134" s="6">
        <v>11.5</v>
      </c>
      <c r="S134" s="6">
        <v>12.5</v>
      </c>
      <c r="T134" s="5">
        <v>1.2E-2</v>
      </c>
      <c r="U134" s="1">
        <v>5.67E-2</v>
      </c>
      <c r="V134" s="1">
        <v>2.9013</v>
      </c>
    </row>
    <row r="135" spans="1:22" x14ac:dyDescent="0.25">
      <c r="A135" s="1">
        <v>0.9859</v>
      </c>
      <c r="B135" s="9" t="s">
        <v>3288</v>
      </c>
      <c r="C135" s="2">
        <v>4307</v>
      </c>
      <c r="D135" s="3" t="s">
        <v>316</v>
      </c>
      <c r="E135" s="9" t="s">
        <v>2721</v>
      </c>
      <c r="F135" s="9" t="s">
        <v>2722</v>
      </c>
      <c r="G135" s="1">
        <v>1465.7599</v>
      </c>
      <c r="H135" s="2">
        <v>958</v>
      </c>
      <c r="I135" s="2">
        <v>2</v>
      </c>
      <c r="J135" s="1">
        <v>1465.7601999999999</v>
      </c>
      <c r="K135" s="1">
        <v>733.88720000000001</v>
      </c>
      <c r="L135" s="9" t="s">
        <v>2723</v>
      </c>
      <c r="M135" s="2">
        <v>6.74</v>
      </c>
      <c r="N135" s="4">
        <v>6435.87</v>
      </c>
      <c r="O135" s="1">
        <v>0.2043910835343633</v>
      </c>
      <c r="P135" s="6">
        <v>40</v>
      </c>
      <c r="Q135" s="6">
        <v>33.6</v>
      </c>
      <c r="R135" s="6">
        <v>10.4</v>
      </c>
      <c r="S135" s="6">
        <v>12.8</v>
      </c>
      <c r="T135" s="5">
        <v>8.9999999999999998E-4</v>
      </c>
      <c r="U135" s="1">
        <v>2.9999999999999997E-4</v>
      </c>
      <c r="V135" s="1">
        <v>4.0831</v>
      </c>
    </row>
    <row r="136" spans="1:22" x14ac:dyDescent="0.25">
      <c r="A136" s="1">
        <v>0.98170000000000002</v>
      </c>
      <c r="B136" s="9" t="s">
        <v>3289</v>
      </c>
      <c r="C136" s="2">
        <v>4320</v>
      </c>
      <c r="D136" s="3" t="s">
        <v>302</v>
      </c>
      <c r="E136" s="9" t="s">
        <v>303</v>
      </c>
      <c r="F136" s="9" t="s">
        <v>304</v>
      </c>
      <c r="G136" s="1">
        <v>1302.6853000000001</v>
      </c>
      <c r="H136" s="2">
        <v>639</v>
      </c>
      <c r="I136" s="2">
        <v>2</v>
      </c>
      <c r="J136" s="1">
        <v>1302.6791000000001</v>
      </c>
      <c r="K136" s="1">
        <v>652.34990000000005</v>
      </c>
      <c r="L136" s="9" t="s">
        <v>118</v>
      </c>
      <c r="M136" s="2">
        <v>6.22</v>
      </c>
      <c r="N136" s="4">
        <v>6458.17</v>
      </c>
      <c r="O136" s="1">
        <v>-4.7520510082089373</v>
      </c>
      <c r="P136" s="6">
        <v>32.799999999999997</v>
      </c>
      <c r="Q136" s="6">
        <v>25.2</v>
      </c>
      <c r="R136" s="6">
        <v>9.5</v>
      </c>
      <c r="S136" s="6">
        <v>10.4</v>
      </c>
      <c r="T136" s="5">
        <v>7.3000000000000001E-3</v>
      </c>
      <c r="U136" s="1">
        <v>-6.1999999999999998E-3</v>
      </c>
      <c r="V136" s="1">
        <v>3.8912</v>
      </c>
    </row>
    <row r="137" spans="1:22" x14ac:dyDescent="0.25">
      <c r="A137" s="1">
        <v>0.98329999999999995</v>
      </c>
      <c r="B137" s="9" t="s">
        <v>3290</v>
      </c>
      <c r="C137" s="2">
        <v>4338</v>
      </c>
      <c r="D137" s="3" t="s">
        <v>891</v>
      </c>
      <c r="E137" s="9" t="s">
        <v>307</v>
      </c>
      <c r="F137" s="9" t="s">
        <v>308</v>
      </c>
      <c r="G137" s="1">
        <v>1068.4916000000001</v>
      </c>
      <c r="H137" s="2">
        <v>640</v>
      </c>
      <c r="I137" s="2">
        <v>2</v>
      </c>
      <c r="J137" s="1">
        <v>1068.4892</v>
      </c>
      <c r="K137" s="1">
        <v>535.25310000000002</v>
      </c>
      <c r="L137" s="9" t="s">
        <v>309</v>
      </c>
      <c r="M137" s="2">
        <v>4.71</v>
      </c>
      <c r="N137" s="4">
        <v>6487.97</v>
      </c>
      <c r="O137" s="1">
        <v>-2.241930032726573</v>
      </c>
      <c r="P137" s="6">
        <v>28.3</v>
      </c>
      <c r="Q137" s="6">
        <v>19.899999999999999</v>
      </c>
      <c r="R137" s="6">
        <v>6.2</v>
      </c>
      <c r="S137" s="6">
        <v>7.3</v>
      </c>
      <c r="T137" s="5">
        <v>5.8000000000000003E-2</v>
      </c>
      <c r="U137" s="1">
        <v>-2.3999999999999998E-3</v>
      </c>
      <c r="V137" s="1">
        <v>3.6897000000000002</v>
      </c>
    </row>
    <row r="138" spans="1:22" x14ac:dyDescent="0.25">
      <c r="A138" s="1">
        <v>1</v>
      </c>
      <c r="B138" s="9" t="s">
        <v>3291</v>
      </c>
      <c r="C138" s="2">
        <v>4343</v>
      </c>
      <c r="D138" s="3" t="s">
        <v>3292</v>
      </c>
      <c r="E138" s="9" t="s">
        <v>2147</v>
      </c>
      <c r="F138" s="9" t="s">
        <v>97</v>
      </c>
      <c r="G138" s="1">
        <v>3045.5477000000001</v>
      </c>
      <c r="H138" s="2">
        <v>828</v>
      </c>
      <c r="I138" s="2">
        <v>4</v>
      </c>
      <c r="J138" s="1">
        <v>3045.5873999999999</v>
      </c>
      <c r="K138" s="1">
        <v>762.39419999999996</v>
      </c>
      <c r="L138" s="9" t="s">
        <v>98</v>
      </c>
      <c r="M138" s="2">
        <v>5.63</v>
      </c>
      <c r="N138" s="4">
        <v>6492.23</v>
      </c>
      <c r="O138" s="1">
        <v>13.018199771194482</v>
      </c>
      <c r="P138" s="6">
        <v>57.2</v>
      </c>
      <c r="Q138" s="6">
        <v>27.7</v>
      </c>
      <c r="R138" s="6">
        <v>11.5</v>
      </c>
      <c r="S138" s="6">
        <v>8.3000000000000007</v>
      </c>
      <c r="T138" s="5">
        <v>5.4000000000000004E-9</v>
      </c>
      <c r="U138" s="1">
        <v>3.9699999999999999E-2</v>
      </c>
      <c r="V138" s="1">
        <v>9.6897000000000002</v>
      </c>
    </row>
    <row r="139" spans="1:22" x14ac:dyDescent="0.25">
      <c r="A139" s="1">
        <v>0.97529999999999994</v>
      </c>
      <c r="B139" s="9" t="s">
        <v>3293</v>
      </c>
      <c r="C139" s="2">
        <v>4349</v>
      </c>
      <c r="D139" s="3" t="s">
        <v>46</v>
      </c>
      <c r="E139" s="9" t="s">
        <v>3294</v>
      </c>
      <c r="F139" s="9" t="s">
        <v>1820</v>
      </c>
      <c r="G139" s="1">
        <v>1548.8457000000001</v>
      </c>
      <c r="H139" s="2">
        <v>105</v>
      </c>
      <c r="I139" s="2">
        <v>3</v>
      </c>
      <c r="J139" s="1">
        <v>1548.8594000000001</v>
      </c>
      <c r="K139" s="1">
        <v>517.28920000000005</v>
      </c>
      <c r="L139" s="9" t="s">
        <v>1821</v>
      </c>
      <c r="M139" s="2">
        <v>6.92</v>
      </c>
      <c r="N139" s="4">
        <v>6502.93</v>
      </c>
      <c r="O139" s="1">
        <v>8.8280727041404816</v>
      </c>
      <c r="P139" s="6">
        <v>29.3</v>
      </c>
      <c r="Q139" s="6">
        <v>22.2</v>
      </c>
      <c r="R139" s="6">
        <v>9.5</v>
      </c>
      <c r="S139" s="6">
        <v>10.8</v>
      </c>
      <c r="T139" s="5">
        <v>3.6999999999999998E-2</v>
      </c>
      <c r="U139" s="1">
        <v>1.37E-2</v>
      </c>
      <c r="V139" s="1">
        <v>3.3729</v>
      </c>
    </row>
    <row r="140" spans="1:22" x14ac:dyDescent="0.25">
      <c r="A140" s="1">
        <v>1</v>
      </c>
      <c r="B140" s="9" t="s">
        <v>3295</v>
      </c>
      <c r="C140" s="2">
        <v>4358</v>
      </c>
      <c r="D140" s="3" t="s">
        <v>3296</v>
      </c>
      <c r="E140" s="9" t="s">
        <v>3297</v>
      </c>
      <c r="F140" s="9" t="s">
        <v>1957</v>
      </c>
      <c r="G140" s="1">
        <v>2347.1806999999999</v>
      </c>
      <c r="H140" s="2">
        <v>1013</v>
      </c>
      <c r="I140" s="2">
        <v>3</v>
      </c>
      <c r="J140" s="1">
        <v>2347.1945000000001</v>
      </c>
      <c r="K140" s="1">
        <v>783.4008</v>
      </c>
      <c r="L140" s="9" t="s">
        <v>1958</v>
      </c>
      <c r="M140" s="2">
        <v>5.29</v>
      </c>
      <c r="N140" s="4">
        <v>6516.98</v>
      </c>
      <c r="O140" s="1">
        <v>5.8718346981519547</v>
      </c>
      <c r="P140" s="6">
        <v>62.9</v>
      </c>
      <c r="Q140" s="6">
        <v>29.1</v>
      </c>
      <c r="R140" s="6">
        <v>11.1</v>
      </c>
      <c r="S140" s="6">
        <v>14.1</v>
      </c>
      <c r="T140" s="5">
        <v>2.8999999999999999E-9</v>
      </c>
      <c r="U140" s="1">
        <v>1.38E-2</v>
      </c>
      <c r="V140" s="1">
        <v>11.1249</v>
      </c>
    </row>
    <row r="141" spans="1:22" x14ac:dyDescent="0.25">
      <c r="A141" s="1">
        <v>0.96940000000000004</v>
      </c>
      <c r="B141" s="9" t="s">
        <v>3298</v>
      </c>
      <c r="C141" s="2">
        <v>4389</v>
      </c>
      <c r="D141" s="3" t="s">
        <v>146</v>
      </c>
      <c r="E141" s="9" t="s">
        <v>3299</v>
      </c>
      <c r="F141" s="9" t="s">
        <v>3300</v>
      </c>
      <c r="G141" s="1">
        <v>1226.6693</v>
      </c>
      <c r="H141" s="2">
        <v>513</v>
      </c>
      <c r="I141" s="2">
        <v>2</v>
      </c>
      <c r="J141" s="1">
        <v>1226.6759999999999</v>
      </c>
      <c r="K141" s="1">
        <v>614.34190000000001</v>
      </c>
      <c r="L141" s="9" t="s">
        <v>1901</v>
      </c>
      <c r="M141" s="2">
        <v>8.7200000000000006</v>
      </c>
      <c r="N141" s="4">
        <v>6563.83</v>
      </c>
      <c r="O141" s="1">
        <v>5.4529896137639318</v>
      </c>
      <c r="P141" s="6">
        <v>41</v>
      </c>
      <c r="Q141" s="6">
        <v>32.9</v>
      </c>
      <c r="R141" s="6">
        <v>11.9</v>
      </c>
      <c r="S141" s="6">
        <v>12.1</v>
      </c>
      <c r="T141" s="5">
        <v>8.3000000000000001E-3</v>
      </c>
      <c r="U141" s="1">
        <v>6.7000000000000002E-3</v>
      </c>
      <c r="V141" s="1">
        <v>3.6646000000000001</v>
      </c>
    </row>
    <row r="142" spans="1:22" x14ac:dyDescent="0.25">
      <c r="A142" s="1">
        <v>0.9819</v>
      </c>
      <c r="B142" s="9" t="s">
        <v>3301</v>
      </c>
      <c r="C142" s="2">
        <v>4416</v>
      </c>
      <c r="D142" s="3" t="s">
        <v>2045</v>
      </c>
      <c r="E142" s="9" t="s">
        <v>3302</v>
      </c>
      <c r="F142" s="9" t="s">
        <v>860</v>
      </c>
      <c r="G142" s="1">
        <v>1502.7802999999999</v>
      </c>
      <c r="H142" s="2">
        <v>829</v>
      </c>
      <c r="I142" s="2">
        <v>2</v>
      </c>
      <c r="J142" s="1">
        <v>1502.7763</v>
      </c>
      <c r="K142" s="1">
        <v>752.39739999999995</v>
      </c>
      <c r="L142" s="9" t="s">
        <v>673</v>
      </c>
      <c r="M142" s="2">
        <v>5.96</v>
      </c>
      <c r="N142" s="4">
        <v>6607.63</v>
      </c>
      <c r="O142" s="1">
        <v>-2.6581697384919196</v>
      </c>
      <c r="P142" s="6">
        <v>53.2</v>
      </c>
      <c r="Q142" s="6">
        <v>36.4</v>
      </c>
      <c r="R142" s="6">
        <v>11.7</v>
      </c>
      <c r="S142" s="6">
        <v>11.7</v>
      </c>
      <c r="T142" s="5">
        <v>4.5999999999999999E-3</v>
      </c>
      <c r="U142" s="1">
        <v>-4.0000000000000001E-3</v>
      </c>
      <c r="V142" s="1">
        <v>4.3442999999999996</v>
      </c>
    </row>
    <row r="143" spans="1:22" x14ac:dyDescent="0.25">
      <c r="A143" s="1">
        <v>0.97789999999999999</v>
      </c>
      <c r="B143" s="9" t="s">
        <v>3303</v>
      </c>
      <c r="C143" s="2">
        <v>4441</v>
      </c>
      <c r="D143" s="3" t="s">
        <v>2045</v>
      </c>
      <c r="E143" s="9" t="s">
        <v>3302</v>
      </c>
      <c r="F143" s="9" t="s">
        <v>860</v>
      </c>
      <c r="G143" s="1">
        <v>1502.7807</v>
      </c>
      <c r="H143" s="2">
        <v>830</v>
      </c>
      <c r="I143" s="2">
        <v>2</v>
      </c>
      <c r="J143" s="1">
        <v>1502.7927999999999</v>
      </c>
      <c r="K143" s="1">
        <v>752.39760000000001</v>
      </c>
      <c r="L143" s="9" t="s">
        <v>673</v>
      </c>
      <c r="M143" s="2">
        <v>5.96</v>
      </c>
      <c r="N143" s="4">
        <v>6642.13</v>
      </c>
      <c r="O143" s="1">
        <v>8.0409613215140503</v>
      </c>
      <c r="P143" s="6">
        <v>51.6</v>
      </c>
      <c r="Q143" s="6">
        <v>36.200000000000003</v>
      </c>
      <c r="R143" s="6">
        <v>11.7</v>
      </c>
      <c r="S143" s="6">
        <v>11.6</v>
      </c>
      <c r="T143" s="5">
        <v>6.0000000000000001E-3</v>
      </c>
      <c r="U143" s="1">
        <v>1.21E-2</v>
      </c>
      <c r="V143" s="1">
        <v>4.1414999999999997</v>
      </c>
    </row>
    <row r="144" spans="1:22" x14ac:dyDescent="0.25">
      <c r="A144" s="1">
        <v>0.98529999999999995</v>
      </c>
      <c r="B144" s="9" t="s">
        <v>3304</v>
      </c>
      <c r="C144" s="2">
        <v>4442</v>
      </c>
      <c r="D144" s="3" t="s">
        <v>154</v>
      </c>
      <c r="E144" s="9" t="s">
        <v>344</v>
      </c>
      <c r="F144" s="9" t="s">
        <v>282</v>
      </c>
      <c r="G144" s="1">
        <v>1064.5324000000001</v>
      </c>
      <c r="H144" s="2">
        <v>831</v>
      </c>
      <c r="I144" s="2">
        <v>2</v>
      </c>
      <c r="J144" s="1">
        <v>1064.5423000000001</v>
      </c>
      <c r="K144" s="1">
        <v>533.27350000000001</v>
      </c>
      <c r="L144" s="9" t="s">
        <v>283</v>
      </c>
      <c r="M144" s="2">
        <v>5.08</v>
      </c>
      <c r="N144" s="4">
        <v>6642.13</v>
      </c>
      <c r="O144" s="1">
        <v>9.2822913570616201</v>
      </c>
      <c r="P144" s="6">
        <v>35.9</v>
      </c>
      <c r="Q144" s="6">
        <v>26.1</v>
      </c>
      <c r="R144" s="6">
        <v>11</v>
      </c>
      <c r="S144" s="6">
        <v>12</v>
      </c>
      <c r="T144" s="5">
        <v>6.3E-3</v>
      </c>
      <c r="U144" s="1">
        <v>9.9000000000000008E-3</v>
      </c>
      <c r="V144" s="1">
        <v>4.5583999999999998</v>
      </c>
    </row>
    <row r="145" spans="1:22" x14ac:dyDescent="0.25">
      <c r="A145" s="1">
        <v>0.96289999999999998</v>
      </c>
      <c r="B145" s="9" t="s">
        <v>3305</v>
      </c>
      <c r="C145" s="2">
        <v>4486</v>
      </c>
      <c r="D145" s="3" t="s">
        <v>2118</v>
      </c>
      <c r="E145" s="9" t="s">
        <v>3306</v>
      </c>
      <c r="F145" s="9" t="s">
        <v>3307</v>
      </c>
      <c r="G145" s="1">
        <v>969.42970000000003</v>
      </c>
      <c r="H145" s="2">
        <v>1057</v>
      </c>
      <c r="I145" s="2">
        <v>2</v>
      </c>
      <c r="J145" s="1">
        <v>969.58190000000002</v>
      </c>
      <c r="K145" s="1">
        <v>485.72210000000001</v>
      </c>
      <c r="L145" s="9" t="s">
        <v>3308</v>
      </c>
      <c r="M145" s="2">
        <v>5.19</v>
      </c>
      <c r="N145" s="4">
        <v>6710.54</v>
      </c>
      <c r="O145" s="1">
        <v>156.67394998086357</v>
      </c>
      <c r="P145" s="6">
        <v>39.700000000000003</v>
      </c>
      <c r="Q145" s="6">
        <v>29.7</v>
      </c>
      <c r="R145" s="6">
        <v>11.6</v>
      </c>
      <c r="S145" s="6">
        <v>11.8</v>
      </c>
      <c r="T145" s="5">
        <v>4.1000000000000002E-2</v>
      </c>
      <c r="U145" s="1">
        <v>0.1522</v>
      </c>
      <c r="V145" s="1">
        <v>3.6318000000000001</v>
      </c>
    </row>
    <row r="146" spans="1:22" x14ac:dyDescent="0.25">
      <c r="A146" s="1">
        <v>0.99870000000000003</v>
      </c>
      <c r="B146" s="9" t="s">
        <v>3309</v>
      </c>
      <c r="C146" s="2">
        <v>4496</v>
      </c>
      <c r="D146" s="3" t="s">
        <v>702</v>
      </c>
      <c r="E146" s="9" t="s">
        <v>3310</v>
      </c>
      <c r="F146" s="9" t="s">
        <v>2488</v>
      </c>
      <c r="G146" s="1">
        <v>1424.6242</v>
      </c>
      <c r="H146" s="2">
        <v>312</v>
      </c>
      <c r="I146" s="2">
        <v>2</v>
      </c>
      <c r="J146" s="1">
        <v>1424.6324</v>
      </c>
      <c r="K146" s="1">
        <v>713.31939999999997</v>
      </c>
      <c r="L146" s="9" t="s">
        <v>2489</v>
      </c>
      <c r="M146" s="2">
        <v>4.32</v>
      </c>
      <c r="N146" s="4">
        <v>6728.54</v>
      </c>
      <c r="O146" s="1">
        <v>5.7477758210417393</v>
      </c>
      <c r="P146" s="6">
        <v>34.5</v>
      </c>
      <c r="Q146" s="6">
        <v>21.2</v>
      </c>
      <c r="R146" s="6">
        <v>9.9</v>
      </c>
      <c r="S146" s="6">
        <v>10.9</v>
      </c>
      <c r="T146" s="5">
        <v>5.3000000000000001E-5</v>
      </c>
      <c r="U146" s="1">
        <v>8.2000000000000007E-3</v>
      </c>
      <c r="V146" s="1">
        <v>7.0092999999999996</v>
      </c>
    </row>
    <row r="147" spans="1:22" x14ac:dyDescent="0.25">
      <c r="A147" s="1">
        <v>0.98880000000000001</v>
      </c>
      <c r="B147" s="9" t="s">
        <v>3311</v>
      </c>
      <c r="C147" s="2">
        <v>4541</v>
      </c>
      <c r="D147" s="3" t="s">
        <v>154</v>
      </c>
      <c r="E147" s="9" t="s">
        <v>933</v>
      </c>
      <c r="F147" s="9" t="s">
        <v>934</v>
      </c>
      <c r="G147" s="1">
        <v>1195.6637000000001</v>
      </c>
      <c r="H147" s="2">
        <v>45</v>
      </c>
      <c r="I147" s="2">
        <v>2</v>
      </c>
      <c r="J147" s="1">
        <v>1195.6918000000001</v>
      </c>
      <c r="K147" s="1">
        <v>598.83910000000003</v>
      </c>
      <c r="L147" s="9" t="s">
        <v>935</v>
      </c>
      <c r="M147" s="2">
        <v>6.76</v>
      </c>
      <c r="N147" s="4">
        <v>6802.14</v>
      </c>
      <c r="O147" s="1">
        <v>23.462061845995024</v>
      </c>
      <c r="P147" s="6">
        <v>35.5</v>
      </c>
      <c r="Q147" s="6">
        <v>23.8</v>
      </c>
      <c r="R147" s="6">
        <v>11.2</v>
      </c>
      <c r="S147" s="6">
        <v>11.1</v>
      </c>
      <c r="T147" s="5">
        <v>3.4000000000000002E-2</v>
      </c>
      <c r="U147" s="1">
        <v>2.81E-2</v>
      </c>
      <c r="V147" s="1">
        <v>3.9611999999999998</v>
      </c>
    </row>
    <row r="148" spans="1:22" x14ac:dyDescent="0.25">
      <c r="A148" s="1">
        <v>0.98909999999999998</v>
      </c>
      <c r="B148" s="9" t="s">
        <v>3312</v>
      </c>
      <c r="C148" s="2">
        <v>4588</v>
      </c>
      <c r="D148" s="3" t="s">
        <v>326</v>
      </c>
      <c r="E148" s="9" t="s">
        <v>943</v>
      </c>
      <c r="F148" s="9" t="s">
        <v>944</v>
      </c>
      <c r="G148" s="1">
        <v>1223.6695999999999</v>
      </c>
      <c r="H148" s="2">
        <v>109</v>
      </c>
      <c r="I148" s="2">
        <v>2</v>
      </c>
      <c r="J148" s="1">
        <v>1223.6749</v>
      </c>
      <c r="K148" s="1">
        <v>612.84209999999996</v>
      </c>
      <c r="L148" s="9" t="s">
        <v>945</v>
      </c>
      <c r="M148" s="2">
        <v>6.76</v>
      </c>
      <c r="N148" s="4">
        <v>6870.84</v>
      </c>
      <c r="O148" s="1">
        <v>4.3241154613888311</v>
      </c>
      <c r="P148" s="6">
        <v>41.1</v>
      </c>
      <c r="Q148" s="6">
        <v>28</v>
      </c>
      <c r="R148" s="6">
        <v>9.6</v>
      </c>
      <c r="S148" s="6">
        <v>10.3</v>
      </c>
      <c r="T148" s="5">
        <v>4.7999999999999996E-3</v>
      </c>
      <c r="U148" s="1">
        <v>5.3E-3</v>
      </c>
      <c r="V148" s="1">
        <v>4.7141000000000002</v>
      </c>
    </row>
    <row r="149" spans="1:22" x14ac:dyDescent="0.25">
      <c r="A149" s="1">
        <v>1</v>
      </c>
      <c r="B149" s="9" t="s">
        <v>3313</v>
      </c>
      <c r="C149" s="2">
        <v>4592</v>
      </c>
      <c r="D149" s="3" t="s">
        <v>1797</v>
      </c>
      <c r="E149" s="9" t="s">
        <v>1406</v>
      </c>
      <c r="F149" s="9" t="s">
        <v>2718</v>
      </c>
      <c r="G149" s="1">
        <v>2287.2833999999998</v>
      </c>
      <c r="H149" s="2">
        <v>524</v>
      </c>
      <c r="I149" s="2">
        <v>3</v>
      </c>
      <c r="J149" s="1">
        <v>2287.2869999999998</v>
      </c>
      <c r="K149" s="1">
        <v>763.43510000000003</v>
      </c>
      <c r="L149" s="9" t="s">
        <v>1408</v>
      </c>
      <c r="M149" s="2">
        <v>10.84</v>
      </c>
      <c r="N149" s="4">
        <v>6877.24</v>
      </c>
      <c r="O149" s="1">
        <v>1.5718428455804558</v>
      </c>
      <c r="P149" s="6">
        <v>55.7</v>
      </c>
      <c r="Q149" s="6">
        <v>26.6</v>
      </c>
      <c r="R149" s="6">
        <v>12.4</v>
      </c>
      <c r="S149" s="6">
        <v>12.1</v>
      </c>
      <c r="T149" s="5">
        <v>2.2999999999999999E-7</v>
      </c>
      <c r="U149" s="1">
        <v>3.5999999999999999E-3</v>
      </c>
      <c r="V149" s="1">
        <v>8.9452999999999996</v>
      </c>
    </row>
    <row r="150" spans="1:22" x14ac:dyDescent="0.25">
      <c r="A150" s="1">
        <v>0.99680000000000002</v>
      </c>
      <c r="B150" s="9" t="s">
        <v>3314</v>
      </c>
      <c r="C150" s="2">
        <v>4609</v>
      </c>
      <c r="D150" s="3" t="s">
        <v>201</v>
      </c>
      <c r="E150" s="9" t="s">
        <v>943</v>
      </c>
      <c r="F150" s="9" t="s">
        <v>944</v>
      </c>
      <c r="G150" s="1">
        <v>1223.6695999999999</v>
      </c>
      <c r="H150" s="2">
        <v>154</v>
      </c>
      <c r="I150" s="2">
        <v>2</v>
      </c>
      <c r="J150" s="1">
        <v>1223.6760999999999</v>
      </c>
      <c r="K150" s="1">
        <v>612.84209999999996</v>
      </c>
      <c r="L150" s="9" t="s">
        <v>945</v>
      </c>
      <c r="M150" s="2">
        <v>6.76</v>
      </c>
      <c r="N150" s="4">
        <v>6903.09</v>
      </c>
      <c r="O150" s="1">
        <v>5.3031604715146035</v>
      </c>
      <c r="P150" s="6">
        <v>44</v>
      </c>
      <c r="Q150" s="6">
        <v>30.4</v>
      </c>
      <c r="R150" s="6">
        <v>8.5</v>
      </c>
      <c r="S150" s="6">
        <v>10.3</v>
      </c>
      <c r="T150" s="5">
        <v>1E-3</v>
      </c>
      <c r="U150" s="1">
        <v>6.4999999999999997E-3</v>
      </c>
      <c r="V150" s="1">
        <v>5.4589999999999996</v>
      </c>
    </row>
    <row r="151" spans="1:22" x14ac:dyDescent="0.25">
      <c r="A151" s="1">
        <v>0.99060000000000004</v>
      </c>
      <c r="B151" s="9" t="s">
        <v>3315</v>
      </c>
      <c r="C151" s="2">
        <v>4630</v>
      </c>
      <c r="D151" s="3" t="s">
        <v>326</v>
      </c>
      <c r="E151" s="9" t="s">
        <v>943</v>
      </c>
      <c r="F151" s="9" t="s">
        <v>944</v>
      </c>
      <c r="G151" s="1">
        <v>1223.6695999999999</v>
      </c>
      <c r="H151" s="2">
        <v>526</v>
      </c>
      <c r="I151" s="2">
        <v>2</v>
      </c>
      <c r="J151" s="1">
        <v>1223.6756</v>
      </c>
      <c r="K151" s="1">
        <v>612.84209999999996</v>
      </c>
      <c r="L151" s="9" t="s">
        <v>945</v>
      </c>
      <c r="M151" s="2">
        <v>6.76</v>
      </c>
      <c r="N151" s="4">
        <v>6933.04</v>
      </c>
      <c r="O151" s="1">
        <v>4.8952250506288655</v>
      </c>
      <c r="P151" s="6">
        <v>40.5</v>
      </c>
      <c r="Q151" s="6">
        <v>25.3</v>
      </c>
      <c r="R151" s="6">
        <v>9.1</v>
      </c>
      <c r="S151" s="6">
        <v>10.199999999999999</v>
      </c>
      <c r="T151" s="5">
        <v>0.01</v>
      </c>
      <c r="U151" s="1">
        <v>6.0000000000000001E-3</v>
      </c>
      <c r="V151" s="1">
        <v>4.6289999999999996</v>
      </c>
    </row>
    <row r="152" spans="1:22" x14ac:dyDescent="0.25">
      <c r="A152" s="1">
        <v>0.99819999999999998</v>
      </c>
      <c r="B152" s="9" t="s">
        <v>3316</v>
      </c>
      <c r="C152" s="2">
        <v>4638</v>
      </c>
      <c r="D152" s="3" t="s">
        <v>188</v>
      </c>
      <c r="E152" s="9" t="s">
        <v>368</v>
      </c>
      <c r="F152" s="9" t="s">
        <v>2191</v>
      </c>
      <c r="G152" s="1">
        <v>1496.8637000000001</v>
      </c>
      <c r="H152" s="2">
        <v>527</v>
      </c>
      <c r="I152" s="2">
        <v>2</v>
      </c>
      <c r="J152" s="1">
        <v>1496.8453999999999</v>
      </c>
      <c r="K152" s="1">
        <v>749.43910000000005</v>
      </c>
      <c r="L152" s="9" t="s">
        <v>2161</v>
      </c>
      <c r="M152" s="2">
        <v>8.59</v>
      </c>
      <c r="N152" s="4">
        <v>6943.74</v>
      </c>
      <c r="O152" s="1">
        <v>-12.209130801955755</v>
      </c>
      <c r="P152" s="6">
        <v>59.8</v>
      </c>
      <c r="Q152" s="6">
        <v>37.9</v>
      </c>
      <c r="R152" s="6">
        <v>12.2</v>
      </c>
      <c r="S152" s="6">
        <v>12.6</v>
      </c>
      <c r="T152" s="5">
        <v>7.8999999999999996E-5</v>
      </c>
      <c r="U152" s="1">
        <v>-1.83E-2</v>
      </c>
      <c r="V152" s="1">
        <v>6.4545000000000003</v>
      </c>
    </row>
    <row r="153" spans="1:22" x14ac:dyDescent="0.25">
      <c r="A153" s="1">
        <v>0.99729999999999996</v>
      </c>
      <c r="B153" s="9" t="s">
        <v>3317</v>
      </c>
      <c r="C153" s="2">
        <v>4647</v>
      </c>
      <c r="D153" s="3" t="s">
        <v>2991</v>
      </c>
      <c r="E153" s="9" t="s">
        <v>3318</v>
      </c>
      <c r="F153" s="9" t="s">
        <v>3319</v>
      </c>
      <c r="G153" s="1">
        <v>2377.2197000000001</v>
      </c>
      <c r="H153" s="2">
        <v>178</v>
      </c>
      <c r="I153" s="2">
        <v>3</v>
      </c>
      <c r="J153" s="1">
        <v>2377.2678999999998</v>
      </c>
      <c r="K153" s="1">
        <v>793.41380000000004</v>
      </c>
      <c r="L153" s="9" t="s">
        <v>3320</v>
      </c>
      <c r="M153" s="2">
        <v>3.56</v>
      </c>
      <c r="N153" s="4">
        <v>6959.89</v>
      </c>
      <c r="O153" s="1">
        <v>20.250046907006993</v>
      </c>
      <c r="P153" s="6">
        <v>40.6</v>
      </c>
      <c r="Q153" s="6">
        <v>23.7</v>
      </c>
      <c r="R153" s="6">
        <v>6.6</v>
      </c>
      <c r="S153" s="6">
        <v>10.6</v>
      </c>
      <c r="T153" s="5">
        <v>6.8999999999999997E-5</v>
      </c>
      <c r="U153" s="1">
        <v>4.82E-2</v>
      </c>
      <c r="V153" s="1">
        <v>5.8109999999999999</v>
      </c>
    </row>
    <row r="154" spans="1:22" x14ac:dyDescent="0.25">
      <c r="A154" s="1">
        <v>0.99670000000000003</v>
      </c>
      <c r="B154" s="9" t="s">
        <v>3321</v>
      </c>
      <c r="C154" s="2">
        <v>4662</v>
      </c>
      <c r="D154" s="3" t="s">
        <v>188</v>
      </c>
      <c r="E154" s="9" t="s">
        <v>368</v>
      </c>
      <c r="F154" s="9" t="s">
        <v>2191</v>
      </c>
      <c r="G154" s="1">
        <v>1496.8637000000001</v>
      </c>
      <c r="H154" s="2">
        <v>528</v>
      </c>
      <c r="I154" s="2">
        <v>2</v>
      </c>
      <c r="J154" s="1">
        <v>1496.8534</v>
      </c>
      <c r="K154" s="1">
        <v>749.43910000000005</v>
      </c>
      <c r="L154" s="9" t="s">
        <v>2161</v>
      </c>
      <c r="M154" s="2">
        <v>8.59</v>
      </c>
      <c r="N154" s="4">
        <v>6980.04</v>
      </c>
      <c r="O154" s="1">
        <v>-6.8718058612100696</v>
      </c>
      <c r="P154" s="6">
        <v>59.9</v>
      </c>
      <c r="Q154" s="6">
        <v>38.200000000000003</v>
      </c>
      <c r="R154" s="6">
        <v>12.3</v>
      </c>
      <c r="S154" s="6">
        <v>12.8</v>
      </c>
      <c r="T154" s="5">
        <v>4.0000000000000002E-4</v>
      </c>
      <c r="U154" s="1">
        <v>-1.03E-2</v>
      </c>
      <c r="V154" s="1">
        <v>5.6870000000000003</v>
      </c>
    </row>
    <row r="155" spans="1:22" x14ac:dyDescent="0.25">
      <c r="A155" s="1">
        <v>0.95789999999999997</v>
      </c>
      <c r="B155" s="9" t="s">
        <v>3322</v>
      </c>
      <c r="C155" s="2">
        <v>4665</v>
      </c>
      <c r="D155" s="3" t="s">
        <v>250</v>
      </c>
      <c r="E155" s="9" t="s">
        <v>3323</v>
      </c>
      <c r="F155" s="9" t="s">
        <v>3324</v>
      </c>
      <c r="G155" s="1">
        <v>1154.5757000000001</v>
      </c>
      <c r="H155" s="2">
        <v>840</v>
      </c>
      <c r="I155" s="2">
        <v>2</v>
      </c>
      <c r="J155" s="1">
        <v>1154.5939000000001</v>
      </c>
      <c r="K155" s="1">
        <v>578.29510000000005</v>
      </c>
      <c r="L155" s="9" t="s">
        <v>3325</v>
      </c>
      <c r="M155" s="2">
        <v>4.8099999999999996</v>
      </c>
      <c r="N155" s="4">
        <v>6987.44</v>
      </c>
      <c r="O155" s="1">
        <v>15.735910610344096</v>
      </c>
      <c r="P155" s="6">
        <v>25.4</v>
      </c>
      <c r="Q155" s="6">
        <v>18.3</v>
      </c>
      <c r="R155" s="6">
        <v>5.7</v>
      </c>
      <c r="S155" s="6">
        <v>8</v>
      </c>
      <c r="T155" s="5">
        <v>4.3999999999999997E-2</v>
      </c>
      <c r="U155" s="1">
        <v>1.8200000000000001E-2</v>
      </c>
      <c r="V155" s="1">
        <v>3.5567000000000002</v>
      </c>
    </row>
    <row r="156" spans="1:22" x14ac:dyDescent="0.25">
      <c r="A156" s="1">
        <v>0.99870000000000003</v>
      </c>
      <c r="B156" s="9" t="s">
        <v>3326</v>
      </c>
      <c r="C156" s="2">
        <v>4680</v>
      </c>
      <c r="D156" s="3" t="s">
        <v>3327</v>
      </c>
      <c r="E156" s="9" t="s">
        <v>3328</v>
      </c>
      <c r="F156" s="9" t="s">
        <v>3329</v>
      </c>
      <c r="G156" s="1">
        <v>2325.3593000000001</v>
      </c>
      <c r="H156" s="2">
        <v>530</v>
      </c>
      <c r="I156" s="2">
        <v>4</v>
      </c>
      <c r="J156" s="1">
        <v>2325.366</v>
      </c>
      <c r="K156" s="1">
        <v>582.34709999999995</v>
      </c>
      <c r="L156" s="9" t="s">
        <v>2782</v>
      </c>
      <c r="M156" s="2">
        <v>8.43</v>
      </c>
      <c r="N156" s="4">
        <v>7013.04</v>
      </c>
      <c r="O156" s="1">
        <v>2.8762914763377379</v>
      </c>
      <c r="P156" s="6">
        <v>41.8</v>
      </c>
      <c r="Q156" s="6">
        <v>41.8</v>
      </c>
      <c r="R156" s="6">
        <v>10</v>
      </c>
      <c r="S156" s="6">
        <v>13.2</v>
      </c>
      <c r="T156" s="5">
        <v>4.0999999999999997E-6</v>
      </c>
      <c r="U156" s="1">
        <v>6.7000000000000002E-3</v>
      </c>
      <c r="V156" s="1">
        <v>5.8916000000000004</v>
      </c>
    </row>
    <row r="157" spans="1:22" x14ac:dyDescent="0.25">
      <c r="A157" s="1">
        <v>0.999</v>
      </c>
      <c r="B157" s="9" t="s">
        <v>3330</v>
      </c>
      <c r="C157" s="2">
        <v>4693</v>
      </c>
      <c r="D157" s="3" t="s">
        <v>2201</v>
      </c>
      <c r="E157" s="9" t="s">
        <v>2197</v>
      </c>
      <c r="F157" s="9" t="s">
        <v>1122</v>
      </c>
      <c r="G157" s="1">
        <v>2345.2597000000001</v>
      </c>
      <c r="H157" s="2">
        <v>531</v>
      </c>
      <c r="I157" s="2">
        <v>3</v>
      </c>
      <c r="J157" s="1">
        <v>2345.2732000000001</v>
      </c>
      <c r="K157" s="1">
        <v>782.76049999999998</v>
      </c>
      <c r="L157" s="9" t="s">
        <v>456</v>
      </c>
      <c r="M157" s="2">
        <v>8.2200000000000006</v>
      </c>
      <c r="N157" s="4">
        <v>7032.34</v>
      </c>
      <c r="O157" s="1">
        <v>5.7488848760252971</v>
      </c>
      <c r="P157" s="6">
        <v>40.4</v>
      </c>
      <c r="Q157" s="6">
        <v>28</v>
      </c>
      <c r="R157" s="6">
        <v>12.2</v>
      </c>
      <c r="S157" s="6">
        <v>13.1</v>
      </c>
      <c r="T157" s="5">
        <v>4.2000000000000002E-4</v>
      </c>
      <c r="U157" s="1">
        <v>1.35E-2</v>
      </c>
      <c r="V157" s="1">
        <v>5.1757999999999997</v>
      </c>
    </row>
    <row r="158" spans="1:22" x14ac:dyDescent="0.25">
      <c r="A158" s="1">
        <v>0.99309999999999998</v>
      </c>
      <c r="B158" s="9" t="s">
        <v>3331</v>
      </c>
      <c r="C158" s="2">
        <v>4716</v>
      </c>
      <c r="D158" s="3" t="s">
        <v>1872</v>
      </c>
      <c r="E158" s="9" t="s">
        <v>2197</v>
      </c>
      <c r="F158" s="9" t="s">
        <v>1122</v>
      </c>
      <c r="G158" s="1">
        <v>2345.2597000000001</v>
      </c>
      <c r="H158" s="2">
        <v>111</v>
      </c>
      <c r="I158" s="2">
        <v>3</v>
      </c>
      <c r="J158" s="1">
        <v>2345.2804999999998</v>
      </c>
      <c r="K158" s="1">
        <v>782.76049999999998</v>
      </c>
      <c r="L158" s="9" t="s">
        <v>456</v>
      </c>
      <c r="M158" s="2">
        <v>8.2200000000000006</v>
      </c>
      <c r="N158" s="4">
        <v>7062.64</v>
      </c>
      <c r="O158" s="1">
        <v>8.8575411423204571</v>
      </c>
      <c r="P158" s="6">
        <v>36.1</v>
      </c>
      <c r="Q158" s="6">
        <v>26.5</v>
      </c>
      <c r="R158" s="6">
        <v>11.6</v>
      </c>
      <c r="S158" s="6">
        <v>13</v>
      </c>
      <c r="T158" s="5">
        <v>4.3E-3</v>
      </c>
      <c r="U158" s="1">
        <v>2.0799999999999999E-2</v>
      </c>
      <c r="V158" s="1">
        <v>3.9203999999999999</v>
      </c>
    </row>
    <row r="159" spans="1:22" x14ac:dyDescent="0.25">
      <c r="A159" s="1">
        <v>0.96709999999999996</v>
      </c>
      <c r="B159" s="9" t="s">
        <v>3332</v>
      </c>
      <c r="C159" s="2">
        <v>4726</v>
      </c>
      <c r="D159" s="3" t="s">
        <v>1977</v>
      </c>
      <c r="E159" s="9" t="s">
        <v>3333</v>
      </c>
      <c r="F159" s="9" t="s">
        <v>3334</v>
      </c>
      <c r="G159" s="1">
        <v>2146.2283000000002</v>
      </c>
      <c r="H159" s="2">
        <v>532</v>
      </c>
      <c r="I159" s="2">
        <v>3</v>
      </c>
      <c r="J159" s="1">
        <v>2146.2377000000001</v>
      </c>
      <c r="K159" s="1">
        <v>716.41669999999999</v>
      </c>
      <c r="L159" s="9" t="s">
        <v>3335</v>
      </c>
      <c r="M159" s="2">
        <v>9.6999999999999993</v>
      </c>
      <c r="N159" s="4">
        <v>7076.64</v>
      </c>
      <c r="O159" s="1">
        <v>4.3736185007040369</v>
      </c>
      <c r="P159" s="6">
        <v>34.6</v>
      </c>
      <c r="Q159" s="6">
        <v>23.9</v>
      </c>
      <c r="R159" s="6">
        <v>9.1</v>
      </c>
      <c r="S159" s="6">
        <v>11.3</v>
      </c>
      <c r="T159" s="5">
        <v>2.5999999999999999E-2</v>
      </c>
      <c r="U159" s="1">
        <v>9.4000000000000004E-3</v>
      </c>
      <c r="V159" s="1">
        <v>3.2934999999999999</v>
      </c>
    </row>
    <row r="160" spans="1:22" x14ac:dyDescent="0.25">
      <c r="A160" s="1">
        <v>0.99239999999999995</v>
      </c>
      <c r="B160" s="9" t="s">
        <v>3336</v>
      </c>
      <c r="C160" s="2">
        <v>4752</v>
      </c>
      <c r="D160" s="3" t="s">
        <v>1887</v>
      </c>
      <c r="E160" s="9" t="s">
        <v>3337</v>
      </c>
      <c r="F160" s="9" t="s">
        <v>398</v>
      </c>
      <c r="G160" s="1">
        <v>1170.6794</v>
      </c>
      <c r="H160" s="2">
        <v>534</v>
      </c>
      <c r="I160" s="2">
        <v>2</v>
      </c>
      <c r="J160" s="1">
        <v>1170.6703</v>
      </c>
      <c r="K160" s="1">
        <v>586.34699999999998</v>
      </c>
      <c r="L160" s="9" t="s">
        <v>399</v>
      </c>
      <c r="M160" s="2">
        <v>8.75</v>
      </c>
      <c r="N160" s="4">
        <v>7110.24</v>
      </c>
      <c r="O160" s="1">
        <v>-7.7599100873714715</v>
      </c>
      <c r="P160" s="6">
        <v>59.4</v>
      </c>
      <c r="Q160" s="6">
        <v>43.6</v>
      </c>
      <c r="R160" s="6">
        <v>11.3</v>
      </c>
      <c r="S160" s="6">
        <v>12.5</v>
      </c>
      <c r="T160" s="5">
        <v>2.3E-3</v>
      </c>
      <c r="U160" s="1">
        <v>-9.1000000000000004E-3</v>
      </c>
      <c r="V160" s="1">
        <v>4.8194999999999997</v>
      </c>
    </row>
    <row r="161" spans="1:22" x14ac:dyDescent="0.25">
      <c r="A161" s="1">
        <v>0.98860000000000003</v>
      </c>
      <c r="B161" s="9" t="s">
        <v>3338</v>
      </c>
      <c r="C161" s="2">
        <v>4769</v>
      </c>
      <c r="D161" s="3" t="s">
        <v>316</v>
      </c>
      <c r="E161" s="9" t="s">
        <v>1422</v>
      </c>
      <c r="F161" s="9" t="s">
        <v>340</v>
      </c>
      <c r="G161" s="1">
        <v>1774.9539</v>
      </c>
      <c r="H161" s="2">
        <v>112</v>
      </c>
      <c r="I161" s="2">
        <v>2</v>
      </c>
      <c r="J161" s="1">
        <v>1774.961</v>
      </c>
      <c r="K161" s="1">
        <v>888.48419999999999</v>
      </c>
      <c r="L161" s="9" t="s">
        <v>341</v>
      </c>
      <c r="M161" s="2">
        <v>6.24</v>
      </c>
      <c r="N161" s="4">
        <v>7132.94</v>
      </c>
      <c r="O161" s="1">
        <v>3.9955690827141335</v>
      </c>
      <c r="P161" s="6">
        <v>37.5</v>
      </c>
      <c r="Q161" s="6">
        <v>22.8</v>
      </c>
      <c r="R161" s="6">
        <v>10.1</v>
      </c>
      <c r="S161" s="6">
        <v>10</v>
      </c>
      <c r="T161" s="5">
        <v>2.3E-3</v>
      </c>
      <c r="U161" s="1">
        <v>7.1000000000000004E-3</v>
      </c>
      <c r="V161" s="1">
        <v>4.6740000000000004</v>
      </c>
    </row>
    <row r="162" spans="1:22" x14ac:dyDescent="0.25">
      <c r="A162" s="1">
        <v>1</v>
      </c>
      <c r="B162" s="9" t="s">
        <v>3339</v>
      </c>
      <c r="C162" s="2">
        <v>4772</v>
      </c>
      <c r="D162" s="3" t="s">
        <v>1021</v>
      </c>
      <c r="E162" s="9" t="s">
        <v>3340</v>
      </c>
      <c r="F162" s="9" t="s">
        <v>2137</v>
      </c>
      <c r="G162" s="1">
        <v>2141.2026999999998</v>
      </c>
      <c r="H162" s="2">
        <v>536</v>
      </c>
      <c r="I162" s="2">
        <v>3</v>
      </c>
      <c r="J162" s="1">
        <v>2141.2262999999998</v>
      </c>
      <c r="K162" s="1">
        <v>714.74149999999997</v>
      </c>
      <c r="L162" s="9" t="s">
        <v>2138</v>
      </c>
      <c r="M162" s="2">
        <v>9.99</v>
      </c>
      <c r="N162" s="4">
        <v>7137.24</v>
      </c>
      <c r="O162" s="1">
        <v>11.00631020679038</v>
      </c>
      <c r="P162" s="6">
        <v>49.1</v>
      </c>
      <c r="Q162" s="6">
        <v>24.9</v>
      </c>
      <c r="R162" s="6">
        <v>10.1</v>
      </c>
      <c r="S162" s="6">
        <v>10.3</v>
      </c>
      <c r="T162" s="5">
        <v>2.8000000000000002E-7</v>
      </c>
      <c r="U162" s="1">
        <v>2.3599999999999999E-2</v>
      </c>
      <c r="V162" s="1">
        <v>9.6362000000000005</v>
      </c>
    </row>
    <row r="163" spans="1:22" x14ac:dyDescent="0.25">
      <c r="A163" s="1">
        <v>0.97</v>
      </c>
      <c r="B163" s="9" t="s">
        <v>3341</v>
      </c>
      <c r="C163" s="2">
        <v>4774</v>
      </c>
      <c r="D163" s="3" t="s">
        <v>3342</v>
      </c>
      <c r="E163" s="9" t="s">
        <v>3337</v>
      </c>
      <c r="F163" s="9" t="s">
        <v>398</v>
      </c>
      <c r="G163" s="1">
        <v>1170.6794</v>
      </c>
      <c r="H163" s="2">
        <v>156</v>
      </c>
      <c r="I163" s="2">
        <v>2</v>
      </c>
      <c r="J163" s="1">
        <v>1170.6768</v>
      </c>
      <c r="K163" s="1">
        <v>586.34699999999998</v>
      </c>
      <c r="L163" s="9" t="s">
        <v>399</v>
      </c>
      <c r="M163" s="2">
        <v>8.75</v>
      </c>
      <c r="N163" s="4">
        <v>7142.6</v>
      </c>
      <c r="O163" s="1">
        <v>-2.2171171678204207</v>
      </c>
      <c r="P163" s="6">
        <v>64</v>
      </c>
      <c r="Q163" s="6">
        <v>49.3</v>
      </c>
      <c r="R163" s="6">
        <v>11.7</v>
      </c>
      <c r="S163" s="6">
        <v>12.6</v>
      </c>
      <c r="T163" s="5">
        <v>1.7000000000000001E-2</v>
      </c>
      <c r="U163" s="1">
        <v>-2.5999999999999999E-3</v>
      </c>
      <c r="V163" s="1">
        <v>3.6236999999999999</v>
      </c>
    </row>
    <row r="164" spans="1:22" x14ac:dyDescent="0.25">
      <c r="A164" s="1">
        <v>0.95860000000000001</v>
      </c>
      <c r="B164" s="9" t="s">
        <v>3343</v>
      </c>
      <c r="C164" s="2">
        <v>4793</v>
      </c>
      <c r="D164" s="3" t="s">
        <v>1259</v>
      </c>
      <c r="E164" s="9" t="s">
        <v>3344</v>
      </c>
      <c r="F164" s="9" t="s">
        <v>860</v>
      </c>
      <c r="G164" s="1">
        <v>1980.0027</v>
      </c>
      <c r="H164" s="2">
        <v>965</v>
      </c>
      <c r="I164" s="2">
        <v>2</v>
      </c>
      <c r="J164" s="1">
        <v>1979.9856</v>
      </c>
      <c r="K164" s="1">
        <v>991.0086</v>
      </c>
      <c r="L164" s="9" t="s">
        <v>673</v>
      </c>
      <c r="M164" s="2">
        <v>5.96</v>
      </c>
      <c r="N164" s="4">
        <v>7170.49</v>
      </c>
      <c r="O164" s="1">
        <v>-8.6275739685811015</v>
      </c>
      <c r="P164" s="6">
        <v>35.5</v>
      </c>
      <c r="Q164" s="6">
        <v>25.7</v>
      </c>
      <c r="R164" s="6">
        <v>11.9</v>
      </c>
      <c r="S164" s="6">
        <v>9.6999999999999993</v>
      </c>
      <c r="T164" s="5">
        <v>1.2999999999999999E-2</v>
      </c>
      <c r="U164" s="1">
        <v>-1.7100000000000001E-2</v>
      </c>
      <c r="V164" s="1">
        <v>3.2412999999999998</v>
      </c>
    </row>
    <row r="165" spans="1:22" x14ac:dyDescent="0.25">
      <c r="A165" s="1">
        <v>0.99890000000000001</v>
      </c>
      <c r="B165" s="9" t="s">
        <v>3345</v>
      </c>
      <c r="C165" s="2">
        <v>4803</v>
      </c>
      <c r="D165" s="3" t="s">
        <v>1363</v>
      </c>
      <c r="E165" s="9" t="s">
        <v>2748</v>
      </c>
      <c r="F165" s="9" t="s">
        <v>2749</v>
      </c>
      <c r="G165" s="1">
        <v>1610.8814</v>
      </c>
      <c r="H165" s="2">
        <v>645</v>
      </c>
      <c r="I165" s="2">
        <v>2</v>
      </c>
      <c r="J165" s="1">
        <v>1610.8848</v>
      </c>
      <c r="K165" s="1">
        <v>806.44799999999998</v>
      </c>
      <c r="L165" s="9" t="s">
        <v>2750</v>
      </c>
      <c r="M165" s="2">
        <v>8.75</v>
      </c>
      <c r="N165" s="4">
        <v>7188.49</v>
      </c>
      <c r="O165" s="1">
        <v>2.1080094438823087</v>
      </c>
      <c r="P165" s="6">
        <v>55</v>
      </c>
      <c r="Q165" s="6">
        <v>28.9</v>
      </c>
      <c r="R165" s="6">
        <v>12.3</v>
      </c>
      <c r="S165" s="6">
        <v>13.1</v>
      </c>
      <c r="T165" s="5">
        <v>4.6E-5</v>
      </c>
      <c r="U165" s="1">
        <v>3.3999999999999998E-3</v>
      </c>
      <c r="V165" s="1">
        <v>6.6997999999999998</v>
      </c>
    </row>
    <row r="166" spans="1:22" x14ac:dyDescent="0.25">
      <c r="A166" s="1">
        <v>0.99250000000000005</v>
      </c>
      <c r="B166" s="9" t="s">
        <v>3346</v>
      </c>
      <c r="C166" s="2">
        <v>4806</v>
      </c>
      <c r="D166" s="3" t="s">
        <v>493</v>
      </c>
      <c r="E166" s="9" t="s">
        <v>407</v>
      </c>
      <c r="F166" s="9" t="s">
        <v>290</v>
      </c>
      <c r="G166" s="1">
        <v>1645.8596</v>
      </c>
      <c r="H166" s="2">
        <v>317</v>
      </c>
      <c r="I166" s="2">
        <v>2</v>
      </c>
      <c r="J166" s="1">
        <v>1645.8598</v>
      </c>
      <c r="K166" s="1">
        <v>823.93709999999999</v>
      </c>
      <c r="L166" s="9" t="s">
        <v>291</v>
      </c>
      <c r="M166" s="2">
        <v>4.8499999999999996</v>
      </c>
      <c r="N166" s="4">
        <v>7189.54</v>
      </c>
      <c r="O166" s="1">
        <v>0.12136848795860754</v>
      </c>
      <c r="P166" s="6">
        <v>50</v>
      </c>
      <c r="Q166" s="6">
        <v>39.6</v>
      </c>
      <c r="R166" s="6">
        <v>10.7</v>
      </c>
      <c r="S166" s="6">
        <v>11.5</v>
      </c>
      <c r="T166" s="5">
        <v>1E-3</v>
      </c>
      <c r="U166" s="1">
        <v>2.0000000000000001E-4</v>
      </c>
      <c r="V166" s="1">
        <v>4.3883999999999999</v>
      </c>
    </row>
    <row r="167" spans="1:22" x14ac:dyDescent="0.25">
      <c r="A167" s="1">
        <v>0.99580000000000002</v>
      </c>
      <c r="B167" s="9" t="s">
        <v>3347</v>
      </c>
      <c r="C167" s="2">
        <v>4829</v>
      </c>
      <c r="D167" s="3" t="s">
        <v>1544</v>
      </c>
      <c r="E167" s="9" t="s">
        <v>407</v>
      </c>
      <c r="F167" s="9" t="s">
        <v>290</v>
      </c>
      <c r="G167" s="1">
        <v>1645.8597</v>
      </c>
      <c r="H167" s="2">
        <v>646</v>
      </c>
      <c r="I167" s="2">
        <v>2</v>
      </c>
      <c r="J167" s="1">
        <v>1645.8776</v>
      </c>
      <c r="K167" s="1">
        <v>823.93709999999999</v>
      </c>
      <c r="L167" s="9" t="s">
        <v>291</v>
      </c>
      <c r="M167" s="2">
        <v>4.8499999999999996</v>
      </c>
      <c r="N167" s="4">
        <v>7224.1</v>
      </c>
      <c r="O167" s="1">
        <v>10.862479672295372</v>
      </c>
      <c r="P167" s="6">
        <v>52.9</v>
      </c>
      <c r="Q167" s="6">
        <v>35.299999999999997</v>
      </c>
      <c r="R167" s="6">
        <v>10.6</v>
      </c>
      <c r="S167" s="6">
        <v>10.8</v>
      </c>
      <c r="T167" s="5">
        <v>1.7000000000000001E-4</v>
      </c>
      <c r="U167" s="1">
        <v>1.7899999999999999E-2</v>
      </c>
      <c r="V167" s="1">
        <v>5.7281000000000004</v>
      </c>
    </row>
    <row r="168" spans="1:22" x14ac:dyDescent="0.25">
      <c r="A168" s="1">
        <v>0.99</v>
      </c>
      <c r="B168" s="9" t="s">
        <v>3348</v>
      </c>
      <c r="C168" s="2">
        <v>4830</v>
      </c>
      <c r="D168" s="3" t="s">
        <v>93</v>
      </c>
      <c r="E168" s="9" t="s">
        <v>394</v>
      </c>
      <c r="F168" s="9" t="s">
        <v>2191</v>
      </c>
      <c r="G168" s="1">
        <v>1382.8207</v>
      </c>
      <c r="H168" s="2">
        <v>318</v>
      </c>
      <c r="I168" s="2">
        <v>2</v>
      </c>
      <c r="J168" s="1">
        <v>1382.818</v>
      </c>
      <c r="K168" s="1">
        <v>692.41759999999999</v>
      </c>
      <c r="L168" s="9" t="s">
        <v>2161</v>
      </c>
      <c r="M168" s="2">
        <v>8.59</v>
      </c>
      <c r="N168" s="4">
        <v>7221.95</v>
      </c>
      <c r="O168" s="1">
        <v>-1.9496904758053522</v>
      </c>
      <c r="P168" s="6">
        <v>51.9</v>
      </c>
      <c r="Q168" s="6">
        <v>37.4</v>
      </c>
      <c r="R168" s="6">
        <v>11.8</v>
      </c>
      <c r="S168" s="6">
        <v>12</v>
      </c>
      <c r="T168" s="5">
        <v>1.4999999999999999E-2</v>
      </c>
      <c r="U168" s="1">
        <v>-2.7000000000000001E-3</v>
      </c>
      <c r="V168" s="1">
        <v>3.7738</v>
      </c>
    </row>
    <row r="169" spans="1:22" x14ac:dyDescent="0.25">
      <c r="A169" s="1">
        <v>0.98480000000000001</v>
      </c>
      <c r="B169" s="9" t="s">
        <v>3349</v>
      </c>
      <c r="C169" s="2">
        <v>4849</v>
      </c>
      <c r="D169" s="3" t="s">
        <v>214</v>
      </c>
      <c r="E169" s="9" t="s">
        <v>394</v>
      </c>
      <c r="F169" s="9" t="s">
        <v>2191</v>
      </c>
      <c r="G169" s="1">
        <v>1382.8207</v>
      </c>
      <c r="H169" s="2">
        <v>542</v>
      </c>
      <c r="I169" s="2">
        <v>2</v>
      </c>
      <c r="J169" s="1">
        <v>1382.8244</v>
      </c>
      <c r="K169" s="1">
        <v>692.41759999999999</v>
      </c>
      <c r="L169" s="9" t="s">
        <v>2161</v>
      </c>
      <c r="M169" s="2">
        <v>8.59</v>
      </c>
      <c r="N169" s="4">
        <v>7252.85</v>
      </c>
      <c r="O169" s="1">
        <v>2.6717980594369641</v>
      </c>
      <c r="P169" s="6">
        <v>56.2</v>
      </c>
      <c r="Q169" s="6">
        <v>35.700000000000003</v>
      </c>
      <c r="R169" s="6">
        <v>11.8</v>
      </c>
      <c r="S169" s="6">
        <v>12.1</v>
      </c>
      <c r="T169" s="5">
        <v>1.4E-2</v>
      </c>
      <c r="U169" s="1">
        <v>3.7000000000000002E-3</v>
      </c>
      <c r="V169" s="1">
        <v>4.2190000000000003</v>
      </c>
    </row>
    <row r="170" spans="1:22" x14ac:dyDescent="0.25">
      <c r="A170" s="1">
        <v>0.9849</v>
      </c>
      <c r="B170" s="9" t="s">
        <v>3350</v>
      </c>
      <c r="C170" s="2">
        <v>4874</v>
      </c>
      <c r="D170" s="3" t="s">
        <v>285</v>
      </c>
      <c r="E170" s="9" t="s">
        <v>2239</v>
      </c>
      <c r="F170" s="9" t="s">
        <v>2811</v>
      </c>
      <c r="G170" s="1">
        <v>1505.7734</v>
      </c>
      <c r="H170" s="2">
        <v>648</v>
      </c>
      <c r="I170" s="2">
        <v>2</v>
      </c>
      <c r="J170" s="1">
        <v>1505.7799</v>
      </c>
      <c r="K170" s="1">
        <v>753.89400000000001</v>
      </c>
      <c r="L170" s="9" t="s">
        <v>1520</v>
      </c>
      <c r="M170" s="2">
        <v>8.2200000000000006</v>
      </c>
      <c r="N170" s="4">
        <v>7299.6</v>
      </c>
      <c r="O170" s="1">
        <v>4.3109508763831519</v>
      </c>
      <c r="P170" s="6">
        <v>47.1</v>
      </c>
      <c r="Q170" s="6">
        <v>32.799999999999997</v>
      </c>
      <c r="R170" s="6">
        <v>10.4</v>
      </c>
      <c r="S170" s="6">
        <v>9.5</v>
      </c>
      <c r="T170" s="5">
        <v>8.0000000000000002E-3</v>
      </c>
      <c r="U170" s="1">
        <v>6.4999999999999997E-3</v>
      </c>
      <c r="V170" s="1">
        <v>4.0324</v>
      </c>
    </row>
    <row r="171" spans="1:22" x14ac:dyDescent="0.25">
      <c r="A171" s="1">
        <v>0.99980000000000002</v>
      </c>
      <c r="B171" s="9" t="s">
        <v>3351</v>
      </c>
      <c r="C171" s="2">
        <v>4878</v>
      </c>
      <c r="D171" s="3" t="s">
        <v>2201</v>
      </c>
      <c r="E171" s="9" t="s">
        <v>3352</v>
      </c>
      <c r="F171" s="9" t="s">
        <v>2137</v>
      </c>
      <c r="G171" s="1">
        <v>2270.2456999999999</v>
      </c>
      <c r="H171" s="2">
        <v>544</v>
      </c>
      <c r="I171" s="2">
        <v>3</v>
      </c>
      <c r="J171" s="1">
        <v>2270.2602999999999</v>
      </c>
      <c r="K171" s="1">
        <v>757.75580000000002</v>
      </c>
      <c r="L171" s="9" t="s">
        <v>2138</v>
      </c>
      <c r="M171" s="2">
        <v>8.59</v>
      </c>
      <c r="N171" s="4">
        <v>7303.85</v>
      </c>
      <c r="O171" s="1">
        <v>6.4224736605997164</v>
      </c>
      <c r="P171" s="6">
        <v>39.799999999999997</v>
      </c>
      <c r="Q171" s="6">
        <v>20.8</v>
      </c>
      <c r="R171" s="6">
        <v>10</v>
      </c>
      <c r="S171" s="6">
        <v>10.4</v>
      </c>
      <c r="T171" s="5">
        <v>5.1E-5</v>
      </c>
      <c r="U171" s="1">
        <v>1.46E-2</v>
      </c>
      <c r="V171" s="1">
        <v>6.9253</v>
      </c>
    </row>
    <row r="172" spans="1:22" x14ac:dyDescent="0.25">
      <c r="A172" s="1">
        <v>0.98550000000000004</v>
      </c>
      <c r="B172" s="9" t="s">
        <v>3353</v>
      </c>
      <c r="C172" s="2">
        <v>4899</v>
      </c>
      <c r="D172" s="3" t="s">
        <v>2303</v>
      </c>
      <c r="E172" s="9" t="s">
        <v>3352</v>
      </c>
      <c r="F172" s="9" t="s">
        <v>2137</v>
      </c>
      <c r="G172" s="1">
        <v>2270.2456000000002</v>
      </c>
      <c r="H172" s="2">
        <v>545</v>
      </c>
      <c r="I172" s="2">
        <v>3</v>
      </c>
      <c r="J172" s="1">
        <v>2270.2534999999998</v>
      </c>
      <c r="K172" s="1">
        <v>757.75580000000002</v>
      </c>
      <c r="L172" s="9" t="s">
        <v>2138</v>
      </c>
      <c r="M172" s="2">
        <v>8.59</v>
      </c>
      <c r="N172" s="4">
        <v>7334.95</v>
      </c>
      <c r="O172" s="1">
        <v>3.4751741040231345</v>
      </c>
      <c r="P172" s="6">
        <v>33.9</v>
      </c>
      <c r="Q172" s="6">
        <v>24.2</v>
      </c>
      <c r="R172" s="6">
        <v>9.5</v>
      </c>
      <c r="S172" s="6">
        <v>10</v>
      </c>
      <c r="T172" s="5">
        <v>6.7000000000000002E-3</v>
      </c>
      <c r="U172" s="1">
        <v>7.9000000000000008E-3</v>
      </c>
      <c r="V172" s="1">
        <v>3.8096000000000001</v>
      </c>
    </row>
    <row r="173" spans="1:22" x14ac:dyDescent="0.25">
      <c r="A173" s="1">
        <v>1</v>
      </c>
      <c r="B173" s="9" t="s">
        <v>3354</v>
      </c>
      <c r="C173" s="2">
        <v>4914</v>
      </c>
      <c r="D173" s="3" t="s">
        <v>3355</v>
      </c>
      <c r="E173" s="9" t="s">
        <v>3356</v>
      </c>
      <c r="F173" s="9" t="s">
        <v>3357</v>
      </c>
      <c r="G173" s="1">
        <v>3194.9847</v>
      </c>
      <c r="H173" s="2">
        <v>546</v>
      </c>
      <c r="I173" s="2">
        <v>4</v>
      </c>
      <c r="J173" s="1">
        <v>3195.0630000000001</v>
      </c>
      <c r="K173" s="1">
        <v>799.75350000000003</v>
      </c>
      <c r="L173" s="9" t="s">
        <v>2161</v>
      </c>
      <c r="M173" s="2">
        <v>10.29</v>
      </c>
      <c r="N173" s="4">
        <v>7355.35</v>
      </c>
      <c r="O173" s="1">
        <v>24.476291757397746</v>
      </c>
      <c r="P173" s="6">
        <v>55.2</v>
      </c>
      <c r="Q173" s="6">
        <v>55.2</v>
      </c>
      <c r="R173" s="6">
        <v>12.1</v>
      </c>
      <c r="S173" s="6">
        <v>13</v>
      </c>
      <c r="T173" s="5">
        <v>1.4E-8</v>
      </c>
      <c r="U173" s="1">
        <v>7.8299999999999995E-2</v>
      </c>
      <c r="V173" s="1">
        <v>6.9162999999999997</v>
      </c>
    </row>
    <row r="174" spans="1:22" x14ac:dyDescent="0.25">
      <c r="A174" s="1">
        <v>0.97640000000000005</v>
      </c>
      <c r="B174" s="9" t="s">
        <v>3358</v>
      </c>
      <c r="C174" s="2">
        <v>4920</v>
      </c>
      <c r="D174" s="3" t="s">
        <v>370</v>
      </c>
      <c r="E174" s="9" t="s">
        <v>414</v>
      </c>
      <c r="F174" s="9" t="s">
        <v>415</v>
      </c>
      <c r="G174" s="1">
        <v>1348.7424000000001</v>
      </c>
      <c r="H174" s="2">
        <v>321</v>
      </c>
      <c r="I174" s="2">
        <v>2</v>
      </c>
      <c r="J174" s="1">
        <v>1348.7429999999999</v>
      </c>
      <c r="K174" s="1">
        <v>675.37850000000003</v>
      </c>
      <c r="L174" s="9" t="s">
        <v>416</v>
      </c>
      <c r="M174" s="2">
        <v>8.59</v>
      </c>
      <c r="N174" s="4">
        <v>7365.05</v>
      </c>
      <c r="O174" s="1">
        <v>0.44419536600587667</v>
      </c>
      <c r="P174" s="6">
        <v>49.5</v>
      </c>
      <c r="Q174" s="6">
        <v>33.200000000000003</v>
      </c>
      <c r="R174" s="6">
        <v>11.8</v>
      </c>
      <c r="S174" s="6">
        <v>12.9</v>
      </c>
      <c r="T174" s="5">
        <v>9.6000000000000002E-2</v>
      </c>
      <c r="U174" s="1">
        <v>5.9999999999999995E-4</v>
      </c>
      <c r="V174" s="1">
        <v>3.1191</v>
      </c>
    </row>
    <row r="175" spans="1:22" x14ac:dyDescent="0.25">
      <c r="A175" s="1">
        <v>1</v>
      </c>
      <c r="B175" s="9" t="s">
        <v>3359</v>
      </c>
      <c r="C175" s="2">
        <v>4934</v>
      </c>
      <c r="D175" s="3" t="s">
        <v>3360</v>
      </c>
      <c r="E175" s="9" t="s">
        <v>3356</v>
      </c>
      <c r="F175" s="9" t="s">
        <v>3357</v>
      </c>
      <c r="G175" s="1">
        <v>3194.9847</v>
      </c>
      <c r="H175" s="2">
        <v>549</v>
      </c>
      <c r="I175" s="2">
        <v>4</v>
      </c>
      <c r="J175" s="1">
        <v>3195.0527999999999</v>
      </c>
      <c r="K175" s="1">
        <v>799.75350000000003</v>
      </c>
      <c r="L175" s="9" t="s">
        <v>2161</v>
      </c>
      <c r="M175" s="2">
        <v>10.29</v>
      </c>
      <c r="N175" s="4">
        <v>7388.45</v>
      </c>
      <c r="O175" s="1">
        <v>21.287809306242483</v>
      </c>
      <c r="P175" s="6">
        <v>59.6</v>
      </c>
      <c r="Q175" s="6">
        <v>59.6</v>
      </c>
      <c r="R175" s="6">
        <v>12.7</v>
      </c>
      <c r="S175" s="6">
        <v>13.3</v>
      </c>
      <c r="T175" s="5">
        <v>6.3999999999999996E-10</v>
      </c>
      <c r="U175" s="1">
        <v>6.8099999999999994E-2</v>
      </c>
      <c r="V175" s="1">
        <v>8.0622000000000007</v>
      </c>
    </row>
    <row r="176" spans="1:22" x14ac:dyDescent="0.25">
      <c r="A176" s="1">
        <v>1</v>
      </c>
      <c r="B176" s="9" t="s">
        <v>3361</v>
      </c>
      <c r="C176" s="2">
        <v>4958</v>
      </c>
      <c r="D176" s="3" t="s">
        <v>3362</v>
      </c>
      <c r="E176" s="9" t="s">
        <v>3356</v>
      </c>
      <c r="F176" s="9" t="s">
        <v>3357</v>
      </c>
      <c r="G176" s="1">
        <v>3194.9847</v>
      </c>
      <c r="H176" s="2">
        <v>551</v>
      </c>
      <c r="I176" s="2">
        <v>4</v>
      </c>
      <c r="J176" s="1">
        <v>3195.0327000000002</v>
      </c>
      <c r="K176" s="1">
        <v>799.75350000000003</v>
      </c>
      <c r="L176" s="9" t="s">
        <v>2161</v>
      </c>
      <c r="M176" s="2">
        <v>10.29</v>
      </c>
      <c r="N176" s="4">
        <v>7418.85</v>
      </c>
      <c r="O176" s="1">
        <v>15.004623299554174</v>
      </c>
      <c r="P176" s="6">
        <v>61.1</v>
      </c>
      <c r="Q176" s="6">
        <v>61.1</v>
      </c>
      <c r="R176" s="6">
        <v>12.4</v>
      </c>
      <c r="S176" s="6">
        <v>13.2</v>
      </c>
      <c r="T176" s="5">
        <v>5.0999999999999998E-11</v>
      </c>
      <c r="U176" s="1">
        <v>4.8000000000000001E-2</v>
      </c>
      <c r="V176" s="1">
        <v>9.0016999999999996</v>
      </c>
    </row>
    <row r="177" spans="1:22" x14ac:dyDescent="0.25">
      <c r="A177" s="1">
        <v>0.95760000000000001</v>
      </c>
      <c r="B177" s="9" t="s">
        <v>3363</v>
      </c>
      <c r="C177" s="2">
        <v>4971</v>
      </c>
      <c r="D177" s="3" t="s">
        <v>520</v>
      </c>
      <c r="E177" s="9" t="s">
        <v>2252</v>
      </c>
      <c r="F177" s="9" t="s">
        <v>2253</v>
      </c>
      <c r="G177" s="1">
        <v>1491.8007</v>
      </c>
      <c r="H177" s="2">
        <v>649</v>
      </c>
      <c r="I177" s="2">
        <v>2</v>
      </c>
      <c r="J177" s="1">
        <v>1491.8189</v>
      </c>
      <c r="K177" s="1">
        <v>746.9076</v>
      </c>
      <c r="L177" s="9" t="s">
        <v>1263</v>
      </c>
      <c r="M177" s="2">
        <v>6.24</v>
      </c>
      <c r="N177" s="4">
        <v>7440.3</v>
      </c>
      <c r="O177" s="1">
        <v>12.183568623481673</v>
      </c>
      <c r="P177" s="6">
        <v>31.1</v>
      </c>
      <c r="Q177" s="6">
        <v>23.2</v>
      </c>
      <c r="R177" s="6">
        <v>7.9</v>
      </c>
      <c r="S177" s="6">
        <v>8.6999999999999993</v>
      </c>
      <c r="T177" s="5">
        <v>7.4000000000000003E-3</v>
      </c>
      <c r="U177" s="1">
        <v>1.8200000000000001E-2</v>
      </c>
      <c r="V177" s="1">
        <v>3.7044000000000001</v>
      </c>
    </row>
    <row r="178" spans="1:22" x14ac:dyDescent="0.25">
      <c r="A178" s="1">
        <v>0.99919999999999998</v>
      </c>
      <c r="B178" s="9" t="s">
        <v>3364</v>
      </c>
      <c r="C178" s="2">
        <v>4976</v>
      </c>
      <c r="D178" s="3" t="s">
        <v>3365</v>
      </c>
      <c r="E178" s="9" t="s">
        <v>3356</v>
      </c>
      <c r="F178" s="9" t="s">
        <v>3357</v>
      </c>
      <c r="G178" s="1">
        <v>3194.9847</v>
      </c>
      <c r="H178" s="2">
        <v>707</v>
      </c>
      <c r="I178" s="2">
        <v>4</v>
      </c>
      <c r="J178" s="1">
        <v>3196.0073000000002</v>
      </c>
      <c r="K178" s="1">
        <v>799.75350000000003</v>
      </c>
      <c r="L178" s="9" t="s">
        <v>2161</v>
      </c>
      <c r="M178" s="2">
        <v>10.29</v>
      </c>
      <c r="N178" s="4">
        <v>7447.8</v>
      </c>
      <c r="O178" s="1">
        <v>6.015916154164989</v>
      </c>
      <c r="P178" s="6">
        <v>46.6</v>
      </c>
      <c r="Q178" s="6">
        <v>46.6</v>
      </c>
      <c r="R178" s="6">
        <v>11</v>
      </c>
      <c r="S178" s="6">
        <v>11.5</v>
      </c>
      <c r="T178" s="5">
        <v>1.6E-7</v>
      </c>
      <c r="U178" s="1">
        <v>1.0226</v>
      </c>
      <c r="V178" s="1">
        <v>6.0115999999999996</v>
      </c>
    </row>
    <row r="179" spans="1:22" x14ac:dyDescent="0.25">
      <c r="A179" s="1">
        <v>0.99380000000000002</v>
      </c>
      <c r="B179" s="9" t="s">
        <v>3366</v>
      </c>
      <c r="C179" s="2">
        <v>4977</v>
      </c>
      <c r="D179" s="3" t="s">
        <v>3367</v>
      </c>
      <c r="E179" s="9" t="s">
        <v>3356</v>
      </c>
      <c r="F179" s="9" t="s">
        <v>3357</v>
      </c>
      <c r="G179" s="1">
        <v>3194.9845999999998</v>
      </c>
      <c r="H179" s="2">
        <v>708</v>
      </c>
      <c r="I179" s="2">
        <v>4</v>
      </c>
      <c r="J179" s="1">
        <v>3194.9944999999998</v>
      </c>
      <c r="K179" s="1">
        <v>799.75340000000006</v>
      </c>
      <c r="L179" s="9" t="s">
        <v>2161</v>
      </c>
      <c r="M179" s="2">
        <v>10.29</v>
      </c>
      <c r="N179" s="4">
        <v>7449.9</v>
      </c>
      <c r="O179" s="1">
        <v>3.0947039424902729</v>
      </c>
      <c r="P179" s="6">
        <v>35.6</v>
      </c>
      <c r="Q179" s="6">
        <v>35.6</v>
      </c>
      <c r="R179" s="6">
        <v>10.1</v>
      </c>
      <c r="S179" s="6">
        <v>11.5</v>
      </c>
      <c r="T179" s="5">
        <v>9.6000000000000002E-5</v>
      </c>
      <c r="U179" s="1">
        <v>9.9000000000000008E-3</v>
      </c>
      <c r="V179" s="1">
        <v>3.6358000000000001</v>
      </c>
    </row>
    <row r="180" spans="1:22" x14ac:dyDescent="0.25">
      <c r="A180" s="1">
        <v>0.98839999999999995</v>
      </c>
      <c r="B180" s="9" t="s">
        <v>3368</v>
      </c>
      <c r="C180" s="2">
        <v>5002</v>
      </c>
      <c r="D180" s="3" t="s">
        <v>702</v>
      </c>
      <c r="E180" s="9" t="s">
        <v>448</v>
      </c>
      <c r="F180" s="9" t="s">
        <v>122</v>
      </c>
      <c r="G180" s="1">
        <v>1295.7887000000001</v>
      </c>
      <c r="H180" s="2">
        <v>553</v>
      </c>
      <c r="I180" s="2">
        <v>2</v>
      </c>
      <c r="J180" s="1">
        <v>1295.7981</v>
      </c>
      <c r="K180" s="1">
        <v>648.90160000000003</v>
      </c>
      <c r="L180" s="9" t="s">
        <v>123</v>
      </c>
      <c r="M180" s="2">
        <v>8.59</v>
      </c>
      <c r="N180" s="4">
        <v>7484.05</v>
      </c>
      <c r="O180" s="1">
        <v>7.2430088013344402</v>
      </c>
      <c r="P180" s="6">
        <v>34.299999999999997</v>
      </c>
      <c r="Q180" s="6">
        <v>23.8</v>
      </c>
      <c r="R180" s="6">
        <v>10.9</v>
      </c>
      <c r="S180" s="6">
        <v>9.1999999999999993</v>
      </c>
      <c r="T180" s="5">
        <v>4.8999999999999998E-3</v>
      </c>
      <c r="U180" s="1">
        <v>9.4000000000000004E-3</v>
      </c>
      <c r="V180" s="1">
        <v>4.4424999999999999</v>
      </c>
    </row>
    <row r="181" spans="1:22" x14ac:dyDescent="0.25">
      <c r="A181" s="1">
        <v>0.99670000000000003</v>
      </c>
      <c r="B181" s="9" t="s">
        <v>3369</v>
      </c>
      <c r="C181" s="2">
        <v>5014</v>
      </c>
      <c r="D181" s="3" t="s">
        <v>1544</v>
      </c>
      <c r="E181" s="9" t="s">
        <v>454</v>
      </c>
      <c r="F181" s="9" t="s">
        <v>455</v>
      </c>
      <c r="G181" s="1">
        <v>1340.7121999999999</v>
      </c>
      <c r="H181" s="2">
        <v>554</v>
      </c>
      <c r="I181" s="2">
        <v>2</v>
      </c>
      <c r="J181" s="1">
        <v>1340.7135000000001</v>
      </c>
      <c r="K181" s="1">
        <v>671.36339999999996</v>
      </c>
      <c r="L181" s="9" t="s">
        <v>456</v>
      </c>
      <c r="M181" s="2">
        <v>6.22</v>
      </c>
      <c r="N181" s="4">
        <v>7507.35</v>
      </c>
      <c r="O181" s="1">
        <v>0.96817908155255406</v>
      </c>
      <c r="P181" s="6">
        <v>53.9</v>
      </c>
      <c r="Q181" s="6">
        <v>31.3</v>
      </c>
      <c r="R181" s="6">
        <v>9.4</v>
      </c>
      <c r="S181" s="6">
        <v>12.6</v>
      </c>
      <c r="T181" s="5">
        <v>4.6999999999999999E-4</v>
      </c>
      <c r="U181" s="1">
        <v>1.2999999999999999E-3</v>
      </c>
      <c r="V181" s="1">
        <v>5.6611000000000002</v>
      </c>
    </row>
    <row r="182" spans="1:22" x14ac:dyDescent="0.25">
      <c r="A182" s="1">
        <v>0.99639999999999995</v>
      </c>
      <c r="B182" s="9" t="s">
        <v>3370</v>
      </c>
      <c r="C182" s="2">
        <v>5033</v>
      </c>
      <c r="D182" s="3" t="s">
        <v>1544</v>
      </c>
      <c r="E182" s="9" t="s">
        <v>454</v>
      </c>
      <c r="F182" s="9" t="s">
        <v>455</v>
      </c>
      <c r="G182" s="1">
        <v>1340.7121999999999</v>
      </c>
      <c r="H182" s="2">
        <v>555</v>
      </c>
      <c r="I182" s="2">
        <v>2</v>
      </c>
      <c r="J182" s="1">
        <v>1340.7167999999999</v>
      </c>
      <c r="K182" s="1">
        <v>671.36339999999996</v>
      </c>
      <c r="L182" s="9" t="s">
        <v>456</v>
      </c>
      <c r="M182" s="2">
        <v>6.22</v>
      </c>
      <c r="N182" s="4">
        <v>7537.36</v>
      </c>
      <c r="O182" s="1">
        <v>3.4258644424167302</v>
      </c>
      <c r="P182" s="6">
        <v>54.2</v>
      </c>
      <c r="Q182" s="6">
        <v>31.6</v>
      </c>
      <c r="R182" s="6">
        <v>9.6999999999999993</v>
      </c>
      <c r="S182" s="6">
        <v>12.9</v>
      </c>
      <c r="T182" s="5">
        <v>5.5000000000000003E-4</v>
      </c>
      <c r="U182" s="1">
        <v>4.5999999999999999E-3</v>
      </c>
      <c r="V182" s="1">
        <v>5.5810000000000004</v>
      </c>
    </row>
    <row r="183" spans="1:22" x14ac:dyDescent="0.25">
      <c r="A183" s="1">
        <v>0.98880000000000001</v>
      </c>
      <c r="B183" s="9" t="s">
        <v>3371</v>
      </c>
      <c r="C183" s="2">
        <v>5046</v>
      </c>
      <c r="D183" s="3" t="s">
        <v>154</v>
      </c>
      <c r="E183" s="9" t="s">
        <v>3372</v>
      </c>
      <c r="F183" s="9" t="s">
        <v>2488</v>
      </c>
      <c r="G183" s="1">
        <v>1297.674</v>
      </c>
      <c r="H183" s="2">
        <v>653</v>
      </c>
      <c r="I183" s="2">
        <v>2</v>
      </c>
      <c r="J183" s="1">
        <v>1297.6822999999999</v>
      </c>
      <c r="K183" s="1">
        <v>649.84429999999998</v>
      </c>
      <c r="L183" s="9" t="s">
        <v>2489</v>
      </c>
      <c r="M183" s="2">
        <v>6.25</v>
      </c>
      <c r="N183" s="4">
        <v>7560.81</v>
      </c>
      <c r="O183" s="1">
        <v>6.3861451119906727</v>
      </c>
      <c r="P183" s="6">
        <v>40</v>
      </c>
      <c r="Q183" s="6">
        <v>30.5</v>
      </c>
      <c r="R183" s="6">
        <v>6.7</v>
      </c>
      <c r="S183" s="6">
        <v>12.5</v>
      </c>
      <c r="T183" s="5">
        <v>3.0999999999999999E-3</v>
      </c>
      <c r="U183" s="1">
        <v>8.3000000000000001E-3</v>
      </c>
      <c r="V183" s="1">
        <v>4.7473999999999998</v>
      </c>
    </row>
    <row r="184" spans="1:22" x14ac:dyDescent="0.25">
      <c r="A184" s="1">
        <v>0.99409999999999998</v>
      </c>
      <c r="B184" s="9" t="s">
        <v>3373</v>
      </c>
      <c r="C184" s="2">
        <v>5052</v>
      </c>
      <c r="D184" s="3" t="s">
        <v>493</v>
      </c>
      <c r="E184" s="9" t="s">
        <v>454</v>
      </c>
      <c r="F184" s="9" t="s">
        <v>455</v>
      </c>
      <c r="G184" s="1">
        <v>1340.7121999999999</v>
      </c>
      <c r="H184" s="2">
        <v>556</v>
      </c>
      <c r="I184" s="2">
        <v>2</v>
      </c>
      <c r="J184" s="1">
        <v>1340.713</v>
      </c>
      <c r="K184" s="1">
        <v>671.36339999999996</v>
      </c>
      <c r="L184" s="9" t="s">
        <v>456</v>
      </c>
      <c r="M184" s="2">
        <v>6.22</v>
      </c>
      <c r="N184" s="4">
        <v>7568.26</v>
      </c>
      <c r="O184" s="1">
        <v>0.59580251172464871</v>
      </c>
      <c r="P184" s="6">
        <v>50.7</v>
      </c>
      <c r="Q184" s="6">
        <v>30</v>
      </c>
      <c r="R184" s="6">
        <v>9.8000000000000007</v>
      </c>
      <c r="S184" s="6">
        <v>12.7</v>
      </c>
      <c r="T184" s="5">
        <v>1.6000000000000001E-3</v>
      </c>
      <c r="U184" s="1">
        <v>8.0000000000000004E-4</v>
      </c>
      <c r="V184" s="1">
        <v>5.0686</v>
      </c>
    </row>
    <row r="185" spans="1:22" x14ac:dyDescent="0.25">
      <c r="A185" s="1">
        <v>0.97470000000000001</v>
      </c>
      <c r="B185" s="9" t="s">
        <v>3374</v>
      </c>
      <c r="C185" s="2">
        <v>5061</v>
      </c>
      <c r="D185" s="3" t="s">
        <v>93</v>
      </c>
      <c r="E185" s="9" t="s">
        <v>1485</v>
      </c>
      <c r="F185" s="9" t="s">
        <v>1486</v>
      </c>
      <c r="G185" s="1">
        <v>1409.7331999999999</v>
      </c>
      <c r="H185" s="2">
        <v>557</v>
      </c>
      <c r="I185" s="2">
        <v>2</v>
      </c>
      <c r="J185" s="1">
        <v>1409.7411999999999</v>
      </c>
      <c r="K185" s="1">
        <v>705.87390000000005</v>
      </c>
      <c r="L185" s="9" t="s">
        <v>673</v>
      </c>
      <c r="M185" s="2">
        <v>8.59</v>
      </c>
      <c r="N185" s="4">
        <v>7580.16</v>
      </c>
      <c r="O185" s="1">
        <v>5.6667345258126129</v>
      </c>
      <c r="P185" s="6">
        <v>51.6</v>
      </c>
      <c r="Q185" s="6">
        <v>44.8</v>
      </c>
      <c r="R185" s="6">
        <v>8.3000000000000007</v>
      </c>
      <c r="S185" s="6">
        <v>11</v>
      </c>
      <c r="T185" s="5">
        <v>3.8E-3</v>
      </c>
      <c r="U185" s="1">
        <v>8.0000000000000002E-3</v>
      </c>
      <c r="V185" s="1">
        <v>3.7241</v>
      </c>
    </row>
    <row r="186" spans="1:22" x14ac:dyDescent="0.25">
      <c r="A186" s="1">
        <v>0.995</v>
      </c>
      <c r="B186" s="9" t="s">
        <v>3375</v>
      </c>
      <c r="C186" s="2">
        <v>5064</v>
      </c>
      <c r="D186" s="3" t="s">
        <v>280</v>
      </c>
      <c r="E186" s="9" t="s">
        <v>463</v>
      </c>
      <c r="F186" s="9" t="s">
        <v>464</v>
      </c>
      <c r="G186" s="1">
        <v>1577.7945</v>
      </c>
      <c r="H186" s="2">
        <v>859</v>
      </c>
      <c r="I186" s="2">
        <v>2</v>
      </c>
      <c r="J186" s="1">
        <v>1577.8032000000001</v>
      </c>
      <c r="K186" s="1">
        <v>789.90449999999998</v>
      </c>
      <c r="L186" s="9" t="s">
        <v>465</v>
      </c>
      <c r="M186" s="2">
        <v>8.75</v>
      </c>
      <c r="N186" s="4">
        <v>7584.46</v>
      </c>
      <c r="O186" s="1">
        <v>5.5069948329196752</v>
      </c>
      <c r="P186" s="6">
        <v>44.1</v>
      </c>
      <c r="Q186" s="6">
        <v>26.4</v>
      </c>
      <c r="R186" s="6">
        <v>11.5</v>
      </c>
      <c r="S186" s="6">
        <v>10.8</v>
      </c>
      <c r="T186" s="5">
        <v>1.6000000000000001E-4</v>
      </c>
      <c r="U186" s="1">
        <v>8.6999999999999994E-3</v>
      </c>
      <c r="V186" s="1">
        <v>6.0597000000000003</v>
      </c>
    </row>
    <row r="187" spans="1:22" x14ac:dyDescent="0.25">
      <c r="A187" s="1">
        <v>0.99119999999999997</v>
      </c>
      <c r="B187" s="9" t="s">
        <v>3376</v>
      </c>
      <c r="C187" s="2">
        <v>5076</v>
      </c>
      <c r="D187" s="3" t="s">
        <v>183</v>
      </c>
      <c r="E187" s="9" t="s">
        <v>2268</v>
      </c>
      <c r="F187" s="9" t="s">
        <v>1478</v>
      </c>
      <c r="G187" s="1">
        <v>1246.6631</v>
      </c>
      <c r="H187" s="2">
        <v>158</v>
      </c>
      <c r="I187" s="2">
        <v>2</v>
      </c>
      <c r="J187" s="1">
        <v>1246.6704</v>
      </c>
      <c r="K187" s="1">
        <v>624.33879999999999</v>
      </c>
      <c r="L187" s="9" t="s">
        <v>1479</v>
      </c>
      <c r="M187" s="2">
        <v>6.19</v>
      </c>
      <c r="N187" s="4">
        <v>7602.81</v>
      </c>
      <c r="O187" s="1">
        <v>5.8461847958191937</v>
      </c>
      <c r="P187" s="6">
        <v>34.6</v>
      </c>
      <c r="Q187" s="6">
        <v>23.8</v>
      </c>
      <c r="R187" s="6">
        <v>12.1</v>
      </c>
      <c r="S187" s="6">
        <v>11.6</v>
      </c>
      <c r="T187" s="5">
        <v>6.3E-3</v>
      </c>
      <c r="U187" s="1">
        <v>7.3000000000000001E-3</v>
      </c>
      <c r="V187" s="1">
        <v>4.5430999999999999</v>
      </c>
    </row>
    <row r="188" spans="1:22" x14ac:dyDescent="0.25">
      <c r="A188" s="1">
        <v>1</v>
      </c>
      <c r="B188" s="9" t="s">
        <v>3377</v>
      </c>
      <c r="C188" s="2">
        <v>5087</v>
      </c>
      <c r="D188" s="3" t="s">
        <v>3378</v>
      </c>
      <c r="E188" s="9" t="s">
        <v>3379</v>
      </c>
      <c r="F188" s="9" t="s">
        <v>3380</v>
      </c>
      <c r="G188" s="1">
        <v>2400.2507000000001</v>
      </c>
      <c r="H188" s="2">
        <v>558</v>
      </c>
      <c r="I188" s="2">
        <v>3</v>
      </c>
      <c r="J188" s="1">
        <v>2400.2292000000002</v>
      </c>
      <c r="K188" s="1">
        <v>801.09079999999994</v>
      </c>
      <c r="L188" s="9" t="s">
        <v>714</v>
      </c>
      <c r="M188" s="2">
        <v>8.76</v>
      </c>
      <c r="N188" s="4">
        <v>7616.76</v>
      </c>
      <c r="O188" s="1">
        <v>-8.9461352778819414</v>
      </c>
      <c r="P188" s="6">
        <v>57.2</v>
      </c>
      <c r="Q188" s="6">
        <v>57.2</v>
      </c>
      <c r="R188" s="6">
        <v>9</v>
      </c>
      <c r="S188" s="6">
        <v>10.7</v>
      </c>
      <c r="T188" s="5">
        <v>1.0999999999999999E-9</v>
      </c>
      <c r="U188" s="1">
        <v>-2.1499999999999998E-2</v>
      </c>
      <c r="V188" s="1">
        <v>8.8025000000000002</v>
      </c>
    </row>
    <row r="189" spans="1:22" x14ac:dyDescent="0.25">
      <c r="A189" s="1">
        <v>0.99380000000000002</v>
      </c>
      <c r="B189" s="9" t="s">
        <v>3381</v>
      </c>
      <c r="C189" s="2">
        <v>5095</v>
      </c>
      <c r="D189" s="3" t="s">
        <v>93</v>
      </c>
      <c r="E189" s="9" t="s">
        <v>467</v>
      </c>
      <c r="F189" s="9" t="s">
        <v>391</v>
      </c>
      <c r="G189" s="1">
        <v>1351.6986999999999</v>
      </c>
      <c r="H189" s="2">
        <v>654</v>
      </c>
      <c r="I189" s="2">
        <v>2</v>
      </c>
      <c r="J189" s="1">
        <v>1351.6890000000001</v>
      </c>
      <c r="K189" s="1">
        <v>676.85659999999996</v>
      </c>
      <c r="L189" s="9" t="s">
        <v>364</v>
      </c>
      <c r="M189" s="2">
        <v>6.74</v>
      </c>
      <c r="N189" s="4">
        <v>7629.71</v>
      </c>
      <c r="O189" s="1">
        <v>-7.1654764096265007</v>
      </c>
      <c r="P189" s="6">
        <v>50.7</v>
      </c>
      <c r="Q189" s="6">
        <v>38</v>
      </c>
      <c r="R189" s="6">
        <v>12.1</v>
      </c>
      <c r="S189" s="6">
        <v>11.6</v>
      </c>
      <c r="T189" s="5">
        <v>1.5E-3</v>
      </c>
      <c r="U189" s="1">
        <v>-9.7000000000000003E-3</v>
      </c>
      <c r="V189" s="1">
        <v>4.7451999999999996</v>
      </c>
    </row>
    <row r="190" spans="1:22" x14ac:dyDescent="0.25">
      <c r="A190" s="1">
        <v>0.97499999999999998</v>
      </c>
      <c r="B190" s="9" t="s">
        <v>3382</v>
      </c>
      <c r="C190" s="2">
        <v>5096</v>
      </c>
      <c r="D190" s="3" t="s">
        <v>178</v>
      </c>
      <c r="E190" s="9" t="s">
        <v>459</v>
      </c>
      <c r="F190" s="9" t="s">
        <v>2819</v>
      </c>
      <c r="G190" s="1">
        <v>1621.8021000000001</v>
      </c>
      <c r="H190" s="2">
        <v>860</v>
      </c>
      <c r="I190" s="2">
        <v>2</v>
      </c>
      <c r="J190" s="1">
        <v>1621.8056999999999</v>
      </c>
      <c r="K190" s="1">
        <v>811.90830000000005</v>
      </c>
      <c r="L190" s="9" t="s">
        <v>461</v>
      </c>
      <c r="M190" s="2">
        <v>4.75</v>
      </c>
      <c r="N190" s="4">
        <v>7627.56</v>
      </c>
      <c r="O190" s="1">
        <v>2.2169991364788362</v>
      </c>
      <c r="P190" s="6">
        <v>39.5</v>
      </c>
      <c r="Q190" s="6">
        <v>28</v>
      </c>
      <c r="R190" s="6">
        <v>12.2</v>
      </c>
      <c r="S190" s="6">
        <v>10.4</v>
      </c>
      <c r="T190" s="5">
        <v>5.1999999999999998E-3</v>
      </c>
      <c r="U190" s="1">
        <v>3.5999999999999999E-3</v>
      </c>
      <c r="V190" s="1">
        <v>4.0256999999999996</v>
      </c>
    </row>
    <row r="191" spans="1:22" x14ac:dyDescent="0.25">
      <c r="A191" s="1">
        <v>0.99709999999999999</v>
      </c>
      <c r="B191" s="9" t="s">
        <v>3383</v>
      </c>
      <c r="C191" s="2">
        <v>5118</v>
      </c>
      <c r="D191" s="3" t="s">
        <v>220</v>
      </c>
      <c r="E191" s="9" t="s">
        <v>467</v>
      </c>
      <c r="F191" s="9" t="s">
        <v>391</v>
      </c>
      <c r="G191" s="1">
        <v>1351.6986999999999</v>
      </c>
      <c r="H191" s="2">
        <v>559</v>
      </c>
      <c r="I191" s="2">
        <v>2</v>
      </c>
      <c r="J191" s="1">
        <v>1351.7123999999999</v>
      </c>
      <c r="K191" s="1">
        <v>676.85659999999996</v>
      </c>
      <c r="L191" s="9" t="s">
        <v>364</v>
      </c>
      <c r="M191" s="2">
        <v>6.74</v>
      </c>
      <c r="N191" s="4">
        <v>7657.86</v>
      </c>
      <c r="O191" s="1">
        <v>10.120312042462171</v>
      </c>
      <c r="P191" s="6">
        <v>58.6</v>
      </c>
      <c r="Q191" s="6">
        <v>44.9</v>
      </c>
      <c r="R191" s="6">
        <v>12.3</v>
      </c>
      <c r="S191" s="6">
        <v>12.1</v>
      </c>
      <c r="T191" s="5">
        <v>1.3999999999999999E-4</v>
      </c>
      <c r="U191" s="1">
        <v>1.37E-2</v>
      </c>
      <c r="V191" s="1">
        <v>5.8087999999999997</v>
      </c>
    </row>
    <row r="192" spans="1:22" x14ac:dyDescent="0.25">
      <c r="A192" s="1">
        <v>0.99790000000000001</v>
      </c>
      <c r="B192" s="9" t="s">
        <v>3384</v>
      </c>
      <c r="C192" s="2">
        <v>5142</v>
      </c>
      <c r="D192" s="3" t="s">
        <v>220</v>
      </c>
      <c r="E192" s="9" t="s">
        <v>467</v>
      </c>
      <c r="F192" s="9" t="s">
        <v>391</v>
      </c>
      <c r="G192" s="1">
        <v>1351.6992</v>
      </c>
      <c r="H192" s="2">
        <v>560</v>
      </c>
      <c r="I192" s="2">
        <v>2</v>
      </c>
      <c r="J192" s="1">
        <v>1351.7073</v>
      </c>
      <c r="K192" s="1">
        <v>676.8569</v>
      </c>
      <c r="L192" s="9" t="s">
        <v>364</v>
      </c>
      <c r="M192" s="2">
        <v>6.74</v>
      </c>
      <c r="N192" s="4">
        <v>7688.26</v>
      </c>
      <c r="O192" s="1">
        <v>5.9835395044358712</v>
      </c>
      <c r="P192" s="6">
        <v>58.6</v>
      </c>
      <c r="Q192" s="6">
        <v>40.9</v>
      </c>
      <c r="R192" s="6">
        <v>12.3</v>
      </c>
      <c r="S192" s="6">
        <v>12.1</v>
      </c>
      <c r="T192" s="5">
        <v>1.1E-4</v>
      </c>
      <c r="U192" s="1">
        <v>8.0999999999999996E-3</v>
      </c>
      <c r="V192" s="1">
        <v>6.2544000000000004</v>
      </c>
    </row>
    <row r="193" spans="1:22" x14ac:dyDescent="0.25">
      <c r="A193" s="1">
        <v>0.99229999999999996</v>
      </c>
      <c r="B193" s="9" t="s">
        <v>3385</v>
      </c>
      <c r="C193" s="2">
        <v>5143</v>
      </c>
      <c r="D193" s="2" t="s">
        <v>1086</v>
      </c>
      <c r="E193" s="9" t="s">
        <v>981</v>
      </c>
      <c r="F193" s="9" t="s">
        <v>982</v>
      </c>
      <c r="G193" s="1">
        <v>1940.0672</v>
      </c>
      <c r="H193" s="2">
        <v>561</v>
      </c>
      <c r="I193" s="2">
        <v>3</v>
      </c>
      <c r="J193" s="1">
        <v>1940.0742</v>
      </c>
      <c r="K193" s="1">
        <v>647.69629999999995</v>
      </c>
      <c r="L193" s="9" t="s">
        <v>983</v>
      </c>
      <c r="M193" s="2">
        <v>8.75</v>
      </c>
      <c r="N193" s="4">
        <v>7688.26</v>
      </c>
      <c r="O193" s="1">
        <v>3.6025114445355544</v>
      </c>
      <c r="P193" s="6">
        <v>28.4</v>
      </c>
      <c r="Q193" s="6">
        <v>20.399999999999999</v>
      </c>
      <c r="R193" s="6">
        <v>8.8000000000000007</v>
      </c>
      <c r="S193" s="6">
        <v>11</v>
      </c>
      <c r="T193" s="5">
        <v>5.4999999999999997E-3</v>
      </c>
      <c r="U193" s="1">
        <v>7.0000000000000001E-3</v>
      </c>
      <c r="V193" s="1">
        <v>4.21</v>
      </c>
    </row>
    <row r="194" spans="1:22" x14ac:dyDescent="0.25">
      <c r="A194" s="1">
        <v>0.997</v>
      </c>
      <c r="B194" s="9" t="s">
        <v>3386</v>
      </c>
      <c r="C194" s="2">
        <v>5164</v>
      </c>
      <c r="D194" s="2" t="s">
        <v>93</v>
      </c>
      <c r="E194" s="9" t="s">
        <v>467</v>
      </c>
      <c r="F194" s="9" t="s">
        <v>391</v>
      </c>
      <c r="G194" s="1">
        <v>1351.6992</v>
      </c>
      <c r="H194" s="2">
        <v>655</v>
      </c>
      <c r="I194" s="2">
        <v>2</v>
      </c>
      <c r="J194" s="1">
        <v>1351.7001</v>
      </c>
      <c r="K194" s="1">
        <v>676.8569</v>
      </c>
      <c r="L194" s="9" t="s">
        <v>364</v>
      </c>
      <c r="M194" s="2">
        <v>6.74</v>
      </c>
      <c r="N194" s="4">
        <v>7720.62</v>
      </c>
      <c r="O194" s="1">
        <v>0.66483772271509678</v>
      </c>
      <c r="P194" s="6">
        <v>50.3</v>
      </c>
      <c r="Q194" s="6">
        <v>36.9</v>
      </c>
      <c r="R194" s="6">
        <v>12</v>
      </c>
      <c r="S194" s="6">
        <v>12.1</v>
      </c>
      <c r="T194" s="5">
        <v>4.2000000000000002E-4</v>
      </c>
      <c r="U194" s="1">
        <v>8.9999999999999998E-4</v>
      </c>
      <c r="V194" s="1">
        <v>5.4360999999999997</v>
      </c>
    </row>
    <row r="195" spans="1:22" x14ac:dyDescent="0.25">
      <c r="A195" s="1">
        <v>0.99809999999999999</v>
      </c>
      <c r="B195" s="9" t="s">
        <v>3387</v>
      </c>
      <c r="C195" s="2">
        <v>5180</v>
      </c>
      <c r="D195" s="2" t="s">
        <v>1544</v>
      </c>
      <c r="E195" s="9" t="s">
        <v>494</v>
      </c>
      <c r="F195" s="9" t="s">
        <v>495</v>
      </c>
      <c r="G195" s="1">
        <v>1368.7322999999999</v>
      </c>
      <c r="H195" s="2">
        <v>564</v>
      </c>
      <c r="I195" s="2">
        <v>2</v>
      </c>
      <c r="J195" s="1">
        <v>1368.7361000000001</v>
      </c>
      <c r="K195" s="1">
        <v>685.37339999999995</v>
      </c>
      <c r="L195" s="9" t="s">
        <v>157</v>
      </c>
      <c r="M195" s="2">
        <v>4.75</v>
      </c>
      <c r="N195" s="4">
        <v>7744.06</v>
      </c>
      <c r="O195" s="1">
        <v>2.7722114689598403</v>
      </c>
      <c r="P195" s="6">
        <v>53.3</v>
      </c>
      <c r="Q195" s="6">
        <v>34.5</v>
      </c>
      <c r="R195" s="6">
        <v>12</v>
      </c>
      <c r="S195" s="6">
        <v>10.7</v>
      </c>
      <c r="T195" s="5">
        <v>5.1E-5</v>
      </c>
      <c r="U195" s="1">
        <v>3.8E-3</v>
      </c>
      <c r="V195" s="1">
        <v>6.3512000000000004</v>
      </c>
    </row>
    <row r="196" spans="1:22" x14ac:dyDescent="0.25">
      <c r="A196" s="1">
        <v>0.99739999999999995</v>
      </c>
      <c r="B196" s="9" t="s">
        <v>3388</v>
      </c>
      <c r="C196" s="2">
        <v>5204</v>
      </c>
      <c r="D196" s="2" t="s">
        <v>1544</v>
      </c>
      <c r="E196" s="9" t="s">
        <v>494</v>
      </c>
      <c r="F196" s="9" t="s">
        <v>495</v>
      </c>
      <c r="G196" s="1">
        <v>1368.7327</v>
      </c>
      <c r="H196" s="2">
        <v>565</v>
      </c>
      <c r="I196" s="2">
        <v>2</v>
      </c>
      <c r="J196" s="1">
        <v>1368.7457999999999</v>
      </c>
      <c r="K196" s="1">
        <v>685.37360000000001</v>
      </c>
      <c r="L196" s="9" t="s">
        <v>157</v>
      </c>
      <c r="M196" s="2">
        <v>4.75</v>
      </c>
      <c r="N196" s="4">
        <v>7781.46</v>
      </c>
      <c r="O196" s="1">
        <v>9.5568314857765166</v>
      </c>
      <c r="P196" s="6">
        <v>53.7</v>
      </c>
      <c r="Q196" s="6">
        <v>35</v>
      </c>
      <c r="R196" s="6">
        <v>12.1</v>
      </c>
      <c r="S196" s="6">
        <v>11.4</v>
      </c>
      <c r="T196" s="5">
        <v>1.2E-4</v>
      </c>
      <c r="U196" s="1">
        <v>1.3100000000000001E-2</v>
      </c>
      <c r="V196" s="1">
        <v>5.9516</v>
      </c>
    </row>
    <row r="197" spans="1:22" x14ac:dyDescent="0.25">
      <c r="A197" s="1">
        <v>1</v>
      </c>
      <c r="B197" s="9" t="s">
        <v>3389</v>
      </c>
      <c r="C197" s="2">
        <v>5210</v>
      </c>
      <c r="D197" s="2" t="s">
        <v>3390</v>
      </c>
      <c r="E197" s="9" t="s">
        <v>3391</v>
      </c>
      <c r="F197" s="9" t="s">
        <v>3392</v>
      </c>
      <c r="G197" s="1">
        <v>1917.0397</v>
      </c>
      <c r="H197" s="2">
        <v>862</v>
      </c>
      <c r="I197" s="2">
        <v>3</v>
      </c>
      <c r="J197" s="1">
        <v>1917.0653</v>
      </c>
      <c r="K197" s="1">
        <v>640.02049999999997</v>
      </c>
      <c r="L197" s="9" t="s">
        <v>3393</v>
      </c>
      <c r="M197" s="2">
        <v>6.76</v>
      </c>
      <c r="N197" s="4">
        <v>7789.96</v>
      </c>
      <c r="O197" s="1">
        <v>13.332906263679577</v>
      </c>
      <c r="P197" s="6">
        <v>63.9</v>
      </c>
      <c r="Q197" s="6">
        <v>34</v>
      </c>
      <c r="R197" s="6">
        <v>10.9</v>
      </c>
      <c r="S197" s="6">
        <v>13.4</v>
      </c>
      <c r="T197" s="5">
        <v>9.2000000000000003E-8</v>
      </c>
      <c r="U197" s="1">
        <v>2.5600000000000001E-2</v>
      </c>
      <c r="V197" s="1">
        <v>10.043200000000001</v>
      </c>
    </row>
    <row r="198" spans="1:22" x14ac:dyDescent="0.25">
      <c r="A198" s="1">
        <v>0.99590000000000001</v>
      </c>
      <c r="B198" s="9" t="s">
        <v>3394</v>
      </c>
      <c r="C198" s="2">
        <v>5223</v>
      </c>
      <c r="D198" s="2" t="s">
        <v>1678</v>
      </c>
      <c r="E198" s="9" t="s">
        <v>494</v>
      </c>
      <c r="F198" s="9" t="s">
        <v>495</v>
      </c>
      <c r="G198" s="1">
        <v>1368.7322999999999</v>
      </c>
      <c r="H198" s="2">
        <v>567</v>
      </c>
      <c r="I198" s="2">
        <v>2</v>
      </c>
      <c r="J198" s="1">
        <v>1368.7382</v>
      </c>
      <c r="K198" s="1">
        <v>685.37339999999995</v>
      </c>
      <c r="L198" s="9" t="s">
        <v>157</v>
      </c>
      <c r="M198" s="2">
        <v>4.75</v>
      </c>
      <c r="N198" s="4">
        <v>7812.37</v>
      </c>
      <c r="O198" s="1">
        <v>4.3042230702271205</v>
      </c>
      <c r="P198" s="6">
        <v>57.5</v>
      </c>
      <c r="Q198" s="6">
        <v>38.4</v>
      </c>
      <c r="R198" s="6">
        <v>12.1</v>
      </c>
      <c r="S198" s="6">
        <v>10.9</v>
      </c>
      <c r="T198" s="5">
        <v>3.3E-4</v>
      </c>
      <c r="U198" s="1">
        <v>5.8999999999999999E-3</v>
      </c>
      <c r="V198" s="1">
        <v>5.4314</v>
      </c>
    </row>
    <row r="199" spans="1:22" x14ac:dyDescent="0.25">
      <c r="A199" s="1">
        <v>0.99419999999999997</v>
      </c>
      <c r="B199" s="9" t="s">
        <v>3395</v>
      </c>
      <c r="C199" s="2">
        <v>5246</v>
      </c>
      <c r="D199" s="2" t="s">
        <v>1544</v>
      </c>
      <c r="E199" s="9" t="s">
        <v>494</v>
      </c>
      <c r="F199" s="9" t="s">
        <v>495</v>
      </c>
      <c r="G199" s="1">
        <v>1368.7327</v>
      </c>
      <c r="H199" s="2">
        <v>568</v>
      </c>
      <c r="I199" s="2">
        <v>2</v>
      </c>
      <c r="J199" s="1">
        <v>1368.7425000000001</v>
      </c>
      <c r="K199" s="1">
        <v>685.37360000000001</v>
      </c>
      <c r="L199" s="9" t="s">
        <v>157</v>
      </c>
      <c r="M199" s="2">
        <v>4.75</v>
      </c>
      <c r="N199" s="4">
        <v>7842.67</v>
      </c>
      <c r="O199" s="1">
        <v>7.1493853863060961</v>
      </c>
      <c r="P199" s="6">
        <v>53.2</v>
      </c>
      <c r="Q199" s="6">
        <v>38.200000000000003</v>
      </c>
      <c r="R199" s="6">
        <v>11.9</v>
      </c>
      <c r="S199" s="6">
        <v>10.3</v>
      </c>
      <c r="T199" s="5">
        <v>4.4000000000000002E-4</v>
      </c>
      <c r="U199" s="1">
        <v>9.7999999999999997E-3</v>
      </c>
      <c r="V199" s="1">
        <v>5.0808999999999997</v>
      </c>
    </row>
    <row r="200" spans="1:22" x14ac:dyDescent="0.25">
      <c r="A200" s="1">
        <v>0.99880000000000002</v>
      </c>
      <c r="B200" s="9" t="s">
        <v>3396</v>
      </c>
      <c r="C200" s="2">
        <v>5280</v>
      </c>
      <c r="D200" s="2" t="s">
        <v>3397</v>
      </c>
      <c r="E200" s="9" t="s">
        <v>3398</v>
      </c>
      <c r="F200" s="9" t="s">
        <v>3399</v>
      </c>
      <c r="G200" s="1">
        <v>2717.3577</v>
      </c>
      <c r="H200" s="2">
        <v>181</v>
      </c>
      <c r="I200" s="2">
        <v>3</v>
      </c>
      <c r="J200" s="1">
        <v>2719.8980000000001</v>
      </c>
      <c r="K200" s="1">
        <v>906.79319999999996</v>
      </c>
      <c r="L200" s="9" t="s">
        <v>253</v>
      </c>
      <c r="M200" s="2">
        <v>5.24</v>
      </c>
      <c r="N200" s="4">
        <v>7887.22</v>
      </c>
      <c r="O200" s="1">
        <v>196.14542029355016</v>
      </c>
      <c r="P200" s="6">
        <v>25</v>
      </c>
      <c r="Q200" s="6">
        <v>20.6</v>
      </c>
      <c r="R200" s="6">
        <v>7.9</v>
      </c>
      <c r="S200" s="6">
        <v>10.9</v>
      </c>
      <c r="T200" s="5">
        <v>0.28999999999999998</v>
      </c>
      <c r="U200" s="1">
        <v>2.5402999999999998</v>
      </c>
      <c r="V200" s="1">
        <v>1.3539000000000001</v>
      </c>
    </row>
    <row r="201" spans="1:22" x14ac:dyDescent="0.25">
      <c r="A201" s="1">
        <v>0.98080000000000001</v>
      </c>
      <c r="B201" s="9" t="s">
        <v>3400</v>
      </c>
      <c r="C201" s="2">
        <v>5312</v>
      </c>
      <c r="D201" s="2" t="s">
        <v>520</v>
      </c>
      <c r="E201" s="9" t="s">
        <v>494</v>
      </c>
      <c r="F201" s="9" t="s">
        <v>495</v>
      </c>
      <c r="G201" s="1">
        <v>1368.7322999999999</v>
      </c>
      <c r="H201" s="2">
        <v>51</v>
      </c>
      <c r="I201" s="2">
        <v>2</v>
      </c>
      <c r="J201" s="1">
        <v>1368.7374</v>
      </c>
      <c r="K201" s="1">
        <v>685.37339999999995</v>
      </c>
      <c r="L201" s="9" t="s">
        <v>157</v>
      </c>
      <c r="M201" s="2">
        <v>4.75</v>
      </c>
      <c r="N201" s="4">
        <v>7926.27</v>
      </c>
      <c r="O201" s="1">
        <v>3.7205996030776807</v>
      </c>
      <c r="P201" s="6">
        <v>32.6</v>
      </c>
      <c r="Q201" s="6">
        <v>24.9</v>
      </c>
      <c r="R201" s="6">
        <v>12.1</v>
      </c>
      <c r="S201" s="6">
        <v>11.1</v>
      </c>
      <c r="T201" s="5">
        <v>9.5999999999999992E-3</v>
      </c>
      <c r="U201" s="1">
        <v>5.1000000000000004E-3</v>
      </c>
      <c r="V201" s="1">
        <v>3.5099</v>
      </c>
    </row>
    <row r="202" spans="1:22" x14ac:dyDescent="0.25">
      <c r="A202" s="1">
        <v>0.99839999999999995</v>
      </c>
      <c r="B202" s="9" t="s">
        <v>3401</v>
      </c>
      <c r="C202" s="2">
        <v>5337</v>
      </c>
      <c r="D202" s="2" t="s">
        <v>645</v>
      </c>
      <c r="E202" s="9" t="s">
        <v>998</v>
      </c>
      <c r="F202" s="9" t="s">
        <v>1522</v>
      </c>
      <c r="G202" s="1">
        <v>1773.9947</v>
      </c>
      <c r="H202" s="2">
        <v>159</v>
      </c>
      <c r="I202" s="2">
        <v>2</v>
      </c>
      <c r="J202" s="1">
        <v>1774.0059000000001</v>
      </c>
      <c r="K202" s="1">
        <v>888.00459999999998</v>
      </c>
      <c r="L202" s="9" t="s">
        <v>603</v>
      </c>
      <c r="M202" s="2">
        <v>4.8499999999999996</v>
      </c>
      <c r="N202" s="4">
        <v>7962.92</v>
      </c>
      <c r="O202" s="1">
        <v>6.3062736386725931</v>
      </c>
      <c r="P202" s="6">
        <v>44.3</v>
      </c>
      <c r="Q202" s="6">
        <v>25.4</v>
      </c>
      <c r="R202" s="6">
        <v>12.2</v>
      </c>
      <c r="S202" s="6">
        <v>13.9</v>
      </c>
      <c r="T202" s="5">
        <v>2.0999999999999998E-6</v>
      </c>
      <c r="U202" s="1">
        <v>1.12E-2</v>
      </c>
      <c r="V202" s="1">
        <v>7.5633999999999997</v>
      </c>
    </row>
    <row r="203" spans="1:22" x14ac:dyDescent="0.25">
      <c r="A203" s="1">
        <v>0.99760000000000004</v>
      </c>
      <c r="B203" s="9" t="s">
        <v>3402</v>
      </c>
      <c r="C203" s="2">
        <v>5381</v>
      </c>
      <c r="D203" s="2" t="s">
        <v>3403</v>
      </c>
      <c r="E203" s="9" t="s">
        <v>3404</v>
      </c>
      <c r="F203" s="9" t="s">
        <v>3405</v>
      </c>
      <c r="G203" s="1">
        <v>3095.9047</v>
      </c>
      <c r="H203" s="2">
        <v>709</v>
      </c>
      <c r="I203" s="2">
        <v>4</v>
      </c>
      <c r="J203" s="1">
        <v>3096.9395</v>
      </c>
      <c r="K203" s="1">
        <v>774.98350000000005</v>
      </c>
      <c r="L203" s="9" t="s">
        <v>204</v>
      </c>
      <c r="M203" s="2">
        <v>9.6999999999999993</v>
      </c>
      <c r="N203" s="4">
        <v>8019.33</v>
      </c>
      <c r="O203" s="1">
        <v>10.143764351111972</v>
      </c>
      <c r="P203" s="6">
        <v>41.4</v>
      </c>
      <c r="Q203" s="6">
        <v>25.3</v>
      </c>
      <c r="R203" s="6">
        <v>10.8</v>
      </c>
      <c r="S203" s="6">
        <v>12.4</v>
      </c>
      <c r="T203" s="5">
        <v>2.1000000000000001E-4</v>
      </c>
      <c r="U203" s="1">
        <v>1.0347999999999999</v>
      </c>
      <c r="V203" s="1">
        <v>4.7893999999999997</v>
      </c>
    </row>
    <row r="204" spans="1:22" x14ac:dyDescent="0.25">
      <c r="A204" s="1">
        <v>0.95960000000000001</v>
      </c>
      <c r="B204" s="9" t="s">
        <v>3406</v>
      </c>
      <c r="C204" s="2">
        <v>5395</v>
      </c>
      <c r="D204" s="2" t="s">
        <v>770</v>
      </c>
      <c r="E204" s="9" t="s">
        <v>2348</v>
      </c>
      <c r="F204" s="9" t="s">
        <v>2349</v>
      </c>
      <c r="G204" s="1">
        <v>1775.9586999999999</v>
      </c>
      <c r="H204" s="2">
        <v>867</v>
      </c>
      <c r="I204" s="2">
        <v>3</v>
      </c>
      <c r="J204" s="1">
        <v>1775.9846</v>
      </c>
      <c r="K204" s="1">
        <v>592.99350000000004</v>
      </c>
      <c r="L204" s="9" t="s">
        <v>2350</v>
      </c>
      <c r="M204" s="2">
        <v>5</v>
      </c>
      <c r="N204" s="4">
        <v>8035.47</v>
      </c>
      <c r="O204" s="1">
        <v>14.55890044888069</v>
      </c>
      <c r="P204" s="6">
        <v>33.1</v>
      </c>
      <c r="Q204" s="6">
        <v>29</v>
      </c>
      <c r="R204" s="6">
        <v>8</v>
      </c>
      <c r="S204" s="6">
        <v>10.1</v>
      </c>
      <c r="T204" s="5">
        <v>7.6E-3</v>
      </c>
      <c r="U204" s="1">
        <v>2.5899999999999999E-2</v>
      </c>
      <c r="V204" s="1">
        <v>3.4704000000000002</v>
      </c>
    </row>
    <row r="205" spans="1:22" x14ac:dyDescent="0.25">
      <c r="A205" s="1">
        <v>0.999</v>
      </c>
      <c r="B205" s="9" t="s">
        <v>3407</v>
      </c>
      <c r="C205" s="2">
        <v>5469</v>
      </c>
      <c r="D205" s="2" t="s">
        <v>1768</v>
      </c>
      <c r="E205" s="9" t="s">
        <v>3408</v>
      </c>
      <c r="F205" s="9" t="s">
        <v>2001</v>
      </c>
      <c r="G205" s="1">
        <v>1899.0499</v>
      </c>
      <c r="H205" s="2">
        <v>660</v>
      </c>
      <c r="I205" s="2">
        <v>2</v>
      </c>
      <c r="J205" s="1">
        <v>1899.04</v>
      </c>
      <c r="K205" s="1">
        <v>950.53219999999999</v>
      </c>
      <c r="L205" s="9" t="s">
        <v>2002</v>
      </c>
      <c r="M205" s="2">
        <v>8.59</v>
      </c>
      <c r="N205" s="4">
        <v>8136.13</v>
      </c>
      <c r="O205" s="1">
        <v>-5.2076089584340224</v>
      </c>
      <c r="P205" s="6">
        <v>49.5</v>
      </c>
      <c r="Q205" s="6">
        <v>26.6</v>
      </c>
      <c r="R205" s="6">
        <v>10.7</v>
      </c>
      <c r="S205" s="6">
        <v>10.5</v>
      </c>
      <c r="T205" s="5">
        <v>7.4000000000000003E-6</v>
      </c>
      <c r="U205" s="1">
        <v>-9.9000000000000008E-3</v>
      </c>
      <c r="V205" s="1">
        <v>6.9760999999999997</v>
      </c>
    </row>
    <row r="206" spans="1:22" x14ac:dyDescent="0.25">
      <c r="A206" s="1">
        <v>0.999</v>
      </c>
      <c r="B206" s="9" t="s">
        <v>3409</v>
      </c>
      <c r="C206" s="2">
        <v>5515</v>
      </c>
      <c r="D206" s="2" t="s">
        <v>1385</v>
      </c>
      <c r="E206" s="9" t="s">
        <v>3410</v>
      </c>
      <c r="F206" s="9" t="s">
        <v>3411</v>
      </c>
      <c r="G206" s="1">
        <v>2282.2917000000002</v>
      </c>
      <c r="H206" s="2">
        <v>573</v>
      </c>
      <c r="I206" s="2">
        <v>3</v>
      </c>
      <c r="J206" s="1">
        <v>2282.3184999999999</v>
      </c>
      <c r="K206" s="1">
        <v>761.77120000000002</v>
      </c>
      <c r="L206" s="9" t="s">
        <v>3412</v>
      </c>
      <c r="M206" s="2">
        <v>8.5</v>
      </c>
      <c r="N206" s="4">
        <v>8189.58</v>
      </c>
      <c r="O206" s="1">
        <v>11.727055752873479</v>
      </c>
      <c r="P206" s="6">
        <v>47.2</v>
      </c>
      <c r="Q206" s="6">
        <v>26.3</v>
      </c>
      <c r="R206" s="6">
        <v>11.8</v>
      </c>
      <c r="S206" s="6">
        <v>11</v>
      </c>
      <c r="T206" s="5">
        <v>8.8999999999999995E-5</v>
      </c>
      <c r="U206" s="1">
        <v>2.6800000000000001E-2</v>
      </c>
      <c r="V206" s="1">
        <v>6.2031000000000001</v>
      </c>
    </row>
    <row r="207" spans="1:22" x14ac:dyDescent="0.25">
      <c r="A207" s="1">
        <v>0.99390000000000001</v>
      </c>
      <c r="B207" s="9" t="s">
        <v>3413</v>
      </c>
      <c r="C207" s="2">
        <v>5527</v>
      </c>
      <c r="D207" s="2" t="s">
        <v>69</v>
      </c>
      <c r="E207" s="9" t="s">
        <v>2817</v>
      </c>
      <c r="F207" s="9" t="s">
        <v>2361</v>
      </c>
      <c r="G207" s="1">
        <v>1206.6837</v>
      </c>
      <c r="H207" s="2">
        <v>160</v>
      </c>
      <c r="I207" s="2">
        <v>2</v>
      </c>
      <c r="J207" s="1">
        <v>1206.7064</v>
      </c>
      <c r="K207" s="1">
        <v>604.34910000000002</v>
      </c>
      <c r="L207" s="9" t="s">
        <v>2362</v>
      </c>
      <c r="M207" s="2">
        <v>10</v>
      </c>
      <c r="N207" s="4">
        <v>8207.93</v>
      </c>
      <c r="O207" s="1">
        <v>18.7805359518199</v>
      </c>
      <c r="P207" s="6">
        <v>38.799999999999997</v>
      </c>
      <c r="Q207" s="6">
        <v>26.1</v>
      </c>
      <c r="R207" s="6">
        <v>11.4</v>
      </c>
      <c r="S207" s="6">
        <v>9.9</v>
      </c>
      <c r="T207" s="5">
        <v>6.3E-3</v>
      </c>
      <c r="U207" s="1">
        <v>2.2700000000000001E-2</v>
      </c>
      <c r="V207" s="1">
        <v>4.8482000000000003</v>
      </c>
    </row>
    <row r="208" spans="1:22" x14ac:dyDescent="0.25">
      <c r="A208" s="1">
        <v>0.99229999999999996</v>
      </c>
      <c r="B208" s="9" t="s">
        <v>3414</v>
      </c>
      <c r="C208" s="2">
        <v>5557</v>
      </c>
      <c r="D208" s="2" t="s">
        <v>316</v>
      </c>
      <c r="E208" s="9" t="s">
        <v>2876</v>
      </c>
      <c r="F208" s="9" t="s">
        <v>944</v>
      </c>
      <c r="G208" s="1">
        <v>1601.8123000000001</v>
      </c>
      <c r="H208" s="2">
        <v>574</v>
      </c>
      <c r="I208" s="2">
        <v>2</v>
      </c>
      <c r="J208" s="1">
        <v>1601.8206</v>
      </c>
      <c r="K208" s="1">
        <v>801.91340000000002</v>
      </c>
      <c r="L208" s="9" t="s">
        <v>945</v>
      </c>
      <c r="M208" s="2">
        <v>4.75</v>
      </c>
      <c r="N208" s="4">
        <v>8245.7800000000007</v>
      </c>
      <c r="O208" s="1">
        <v>5.1751224009974139</v>
      </c>
      <c r="P208" s="6">
        <v>41.9</v>
      </c>
      <c r="Q208" s="6">
        <v>26.6</v>
      </c>
      <c r="R208" s="6">
        <v>12.3</v>
      </c>
      <c r="S208" s="6">
        <v>9.3000000000000007</v>
      </c>
      <c r="T208" s="5">
        <v>3.8999999999999999E-4</v>
      </c>
      <c r="U208" s="1">
        <v>8.3000000000000001E-3</v>
      </c>
      <c r="V208" s="1">
        <v>5.3179999999999996</v>
      </c>
    </row>
    <row r="209" spans="1:22" x14ac:dyDescent="0.25">
      <c r="A209" s="1">
        <v>0.99209999999999998</v>
      </c>
      <c r="B209" s="9" t="s">
        <v>3415</v>
      </c>
      <c r="C209" s="2">
        <v>5582</v>
      </c>
      <c r="D209" s="2" t="s">
        <v>2467</v>
      </c>
      <c r="E209" s="9" t="s">
        <v>584</v>
      </c>
      <c r="F209" s="9" t="s">
        <v>585</v>
      </c>
      <c r="G209" s="1">
        <v>1305.5733</v>
      </c>
      <c r="H209" s="2">
        <v>339</v>
      </c>
      <c r="I209" s="2">
        <v>2</v>
      </c>
      <c r="J209" s="1">
        <v>1305.5748000000001</v>
      </c>
      <c r="K209" s="1">
        <v>653.79390000000001</v>
      </c>
      <c r="L209" s="9" t="s">
        <v>86</v>
      </c>
      <c r="M209" s="2">
        <v>4.71</v>
      </c>
      <c r="N209" s="4">
        <v>8278.2800000000007</v>
      </c>
      <c r="O209" s="1">
        <v>1.1471505010982821</v>
      </c>
      <c r="P209" s="6">
        <v>26.8</v>
      </c>
      <c r="Q209" s="6">
        <v>17.8</v>
      </c>
      <c r="R209" s="6">
        <v>9.5</v>
      </c>
      <c r="S209" s="6">
        <v>9.6</v>
      </c>
      <c r="T209" s="5">
        <v>8.2000000000000007E-3</v>
      </c>
      <c r="U209" s="1">
        <v>1.5E-3</v>
      </c>
      <c r="V209" s="1">
        <v>4.3373999999999997</v>
      </c>
    </row>
    <row r="210" spans="1:22" x14ac:dyDescent="0.25">
      <c r="A210" s="1">
        <v>0.99729999999999996</v>
      </c>
      <c r="B210" s="9" t="s">
        <v>3416</v>
      </c>
      <c r="C210" s="2">
        <v>5588</v>
      </c>
      <c r="D210" s="2" t="s">
        <v>370</v>
      </c>
      <c r="E210" s="9" t="s">
        <v>3417</v>
      </c>
      <c r="F210" s="9" t="s">
        <v>2546</v>
      </c>
      <c r="G210" s="1">
        <v>1424.6646000000001</v>
      </c>
      <c r="H210" s="2">
        <v>576</v>
      </c>
      <c r="I210" s="2">
        <v>2</v>
      </c>
      <c r="J210" s="1">
        <v>1424.6606999999999</v>
      </c>
      <c r="K210" s="1">
        <v>713.33960000000002</v>
      </c>
      <c r="L210" s="9" t="s">
        <v>2547</v>
      </c>
      <c r="M210" s="2">
        <v>4.75</v>
      </c>
      <c r="N210" s="4">
        <v>8284.7800000000007</v>
      </c>
      <c r="O210" s="1">
        <v>-2.7336208448262229</v>
      </c>
      <c r="P210" s="6">
        <v>42.7</v>
      </c>
      <c r="Q210" s="6">
        <v>26.8</v>
      </c>
      <c r="R210" s="6">
        <v>11.6</v>
      </c>
      <c r="S210" s="6">
        <v>12</v>
      </c>
      <c r="T210" s="5">
        <v>1.1E-4</v>
      </c>
      <c r="U210" s="1">
        <v>-3.8999999999999998E-3</v>
      </c>
      <c r="V210" s="1">
        <v>6.5936000000000003</v>
      </c>
    </row>
    <row r="211" spans="1:22" x14ac:dyDescent="0.25">
      <c r="A211" s="1">
        <v>0.98560000000000003</v>
      </c>
      <c r="B211" s="9" t="s">
        <v>3418</v>
      </c>
      <c r="C211" s="2">
        <v>5589</v>
      </c>
      <c r="D211" s="2" t="s">
        <v>110</v>
      </c>
      <c r="E211" s="9" t="s">
        <v>2830</v>
      </c>
      <c r="F211" s="9" t="s">
        <v>2831</v>
      </c>
      <c r="G211" s="1">
        <v>1593.8326999999999</v>
      </c>
      <c r="H211" s="2">
        <v>577</v>
      </c>
      <c r="I211" s="2">
        <v>2</v>
      </c>
      <c r="J211" s="1">
        <v>1593.8435999999999</v>
      </c>
      <c r="K211" s="1">
        <v>797.92359999999996</v>
      </c>
      <c r="L211" s="9" t="s">
        <v>2832</v>
      </c>
      <c r="M211" s="2">
        <v>4.9400000000000004</v>
      </c>
      <c r="N211" s="4">
        <v>8284.7800000000007</v>
      </c>
      <c r="O211" s="1">
        <v>6.8302278564012902</v>
      </c>
      <c r="P211" s="6">
        <v>55.5</v>
      </c>
      <c r="Q211" s="6">
        <v>39.1</v>
      </c>
      <c r="R211" s="6">
        <v>11.9</v>
      </c>
      <c r="S211" s="6">
        <v>10.199999999999999</v>
      </c>
      <c r="T211" s="5">
        <v>1.6999999999999999E-3</v>
      </c>
      <c r="U211" s="1">
        <v>1.09E-2</v>
      </c>
      <c r="V211" s="1">
        <v>4.7103000000000002</v>
      </c>
    </row>
    <row r="212" spans="1:22" x14ac:dyDescent="0.25">
      <c r="A212" s="1">
        <v>0.98380000000000001</v>
      </c>
      <c r="B212" s="9" t="s">
        <v>3419</v>
      </c>
      <c r="C212" s="2">
        <v>5601</v>
      </c>
      <c r="D212" s="2" t="s">
        <v>311</v>
      </c>
      <c r="E212" s="9" t="s">
        <v>601</v>
      </c>
      <c r="F212" s="9" t="s">
        <v>602</v>
      </c>
      <c r="G212" s="1">
        <v>1389.7578000000001</v>
      </c>
      <c r="H212" s="2">
        <v>981</v>
      </c>
      <c r="I212" s="2">
        <v>2</v>
      </c>
      <c r="J212" s="1">
        <v>1389.7674</v>
      </c>
      <c r="K212" s="1">
        <v>695.88620000000003</v>
      </c>
      <c r="L212" s="9" t="s">
        <v>603</v>
      </c>
      <c r="M212" s="2">
        <v>4.21</v>
      </c>
      <c r="N212" s="4">
        <v>8307.34</v>
      </c>
      <c r="O212" s="1">
        <v>6.8976795343836379</v>
      </c>
      <c r="P212" s="6">
        <v>38.299999999999997</v>
      </c>
      <c r="Q212" s="6">
        <v>27.4</v>
      </c>
      <c r="R212" s="6">
        <v>11.1</v>
      </c>
      <c r="S212" s="6">
        <v>14.1</v>
      </c>
      <c r="T212" s="5">
        <v>7.6E-3</v>
      </c>
      <c r="U212" s="1">
        <v>9.5999999999999992E-3</v>
      </c>
      <c r="V212" s="1">
        <v>3.9683000000000002</v>
      </c>
    </row>
    <row r="213" spans="1:22" x14ac:dyDescent="0.25">
      <c r="A213" s="1">
        <v>0.97560000000000002</v>
      </c>
      <c r="B213" s="9" t="s">
        <v>3420</v>
      </c>
      <c r="C213" s="2">
        <v>5644</v>
      </c>
      <c r="D213" s="2" t="s">
        <v>1661</v>
      </c>
      <c r="E213" s="9" t="s">
        <v>1643</v>
      </c>
      <c r="F213" s="9" t="s">
        <v>3421</v>
      </c>
      <c r="G213" s="1">
        <v>2051.0796999999998</v>
      </c>
      <c r="H213" s="2">
        <v>54</v>
      </c>
      <c r="I213" s="2">
        <v>2</v>
      </c>
      <c r="J213" s="1">
        <v>2051.0967999999998</v>
      </c>
      <c r="K213" s="1">
        <v>1026.5471</v>
      </c>
      <c r="L213" s="9" t="s">
        <v>1958</v>
      </c>
      <c r="M213" s="2">
        <v>8.59</v>
      </c>
      <c r="N213" s="4">
        <v>8354.49</v>
      </c>
      <c r="O213" s="1">
        <v>8.3288920693458675</v>
      </c>
      <c r="P213" s="6">
        <v>32.200000000000003</v>
      </c>
      <c r="Q213" s="6">
        <v>22.8</v>
      </c>
      <c r="R213" s="6">
        <v>12.3</v>
      </c>
      <c r="S213" s="6">
        <v>8.3000000000000007</v>
      </c>
      <c r="T213" s="5">
        <v>1.9E-2</v>
      </c>
      <c r="U213" s="1">
        <v>1.7100000000000001E-2</v>
      </c>
      <c r="V213" s="1">
        <v>2.9956</v>
      </c>
    </row>
    <row r="214" spans="1:22" x14ac:dyDescent="0.25">
      <c r="A214" s="1">
        <v>1</v>
      </c>
      <c r="B214" s="9" t="s">
        <v>3422</v>
      </c>
      <c r="C214" s="2">
        <v>5661</v>
      </c>
      <c r="D214" s="2" t="s">
        <v>3423</v>
      </c>
      <c r="E214" s="9" t="s">
        <v>3424</v>
      </c>
      <c r="F214" s="9" t="s">
        <v>3357</v>
      </c>
      <c r="G214" s="1">
        <v>2871.6986999999999</v>
      </c>
      <c r="H214" s="2">
        <v>693</v>
      </c>
      <c r="I214" s="2">
        <v>3</v>
      </c>
      <c r="J214" s="1">
        <v>2871.7705999999998</v>
      </c>
      <c r="K214" s="1">
        <v>958.24019999999996</v>
      </c>
      <c r="L214" s="9" t="s">
        <v>2161</v>
      </c>
      <c r="M214" s="2">
        <v>9.99</v>
      </c>
      <c r="N214" s="4">
        <v>8378.34</v>
      </c>
      <c r="O214" s="1">
        <v>25.011126298674036</v>
      </c>
      <c r="P214" s="6">
        <v>72.7</v>
      </c>
      <c r="Q214" s="6">
        <v>68.5</v>
      </c>
      <c r="R214" s="6">
        <v>12.3</v>
      </c>
      <c r="S214" s="6">
        <v>13.6</v>
      </c>
      <c r="T214" s="5">
        <v>2.3000000000000001E-11</v>
      </c>
      <c r="U214" s="1">
        <v>7.1900000000000006E-2</v>
      </c>
      <c r="V214" s="1">
        <v>10.0345</v>
      </c>
    </row>
    <row r="215" spans="1:22" x14ac:dyDescent="0.25">
      <c r="A215" s="1">
        <v>0.99880000000000002</v>
      </c>
      <c r="B215" s="9" t="s">
        <v>3425</v>
      </c>
      <c r="C215" s="2">
        <v>5665</v>
      </c>
      <c r="D215" s="2" t="s">
        <v>3166</v>
      </c>
      <c r="E215" s="9" t="s">
        <v>3426</v>
      </c>
      <c r="F215" s="9" t="s">
        <v>3427</v>
      </c>
      <c r="G215" s="1">
        <v>1920.0278000000001</v>
      </c>
      <c r="H215" s="2">
        <v>579</v>
      </c>
      <c r="I215" s="2">
        <v>2</v>
      </c>
      <c r="J215" s="1">
        <v>1920.0179000000001</v>
      </c>
      <c r="K215" s="1">
        <v>961.02120000000002</v>
      </c>
      <c r="L215" s="9" t="s">
        <v>2613</v>
      </c>
      <c r="M215" s="2">
        <v>4.8499999999999996</v>
      </c>
      <c r="N215" s="4">
        <v>8379.39</v>
      </c>
      <c r="O215" s="1">
        <v>-5.1507708674897081</v>
      </c>
      <c r="P215" s="6">
        <v>57.8</v>
      </c>
      <c r="Q215" s="6">
        <v>27</v>
      </c>
      <c r="R215" s="6">
        <v>12.1</v>
      </c>
      <c r="S215" s="6">
        <v>11.8</v>
      </c>
      <c r="T215" s="5">
        <v>4.1000000000000003E-9</v>
      </c>
      <c r="U215" s="1">
        <v>-9.9000000000000008E-3</v>
      </c>
      <c r="V215" s="1">
        <v>10.256399999999999</v>
      </c>
    </row>
    <row r="216" spans="1:22" x14ac:dyDescent="0.25">
      <c r="A216" s="1">
        <v>0.99929999999999997</v>
      </c>
      <c r="B216" s="9" t="s">
        <v>3428</v>
      </c>
      <c r="C216" s="2">
        <v>5669</v>
      </c>
      <c r="D216" s="2" t="s">
        <v>280</v>
      </c>
      <c r="E216" s="9" t="s">
        <v>618</v>
      </c>
      <c r="F216" s="9" t="s">
        <v>619</v>
      </c>
      <c r="G216" s="1">
        <v>1641.8336999999999</v>
      </c>
      <c r="H216" s="2">
        <v>661</v>
      </c>
      <c r="I216" s="2">
        <v>2</v>
      </c>
      <c r="J216" s="1">
        <v>1641.8553999999999</v>
      </c>
      <c r="K216" s="1">
        <v>821.92409999999995</v>
      </c>
      <c r="L216" s="9" t="s">
        <v>571</v>
      </c>
      <c r="M216" s="2">
        <v>6.76</v>
      </c>
      <c r="N216" s="4">
        <v>8392.14</v>
      </c>
      <c r="O216" s="1">
        <v>13.200732281727719</v>
      </c>
      <c r="P216" s="6">
        <v>43.3</v>
      </c>
      <c r="Q216" s="6">
        <v>31.2</v>
      </c>
      <c r="R216" s="6">
        <v>8.6999999999999993</v>
      </c>
      <c r="S216" s="6">
        <v>11.2</v>
      </c>
      <c r="T216" s="5">
        <v>1.3999999999999999E-6</v>
      </c>
      <c r="U216" s="1">
        <v>2.1700000000000001E-2</v>
      </c>
      <c r="V216" s="1">
        <v>7.6215000000000002</v>
      </c>
    </row>
    <row r="217" spans="1:22" x14ac:dyDescent="0.25">
      <c r="A217" s="1">
        <v>0.97829999999999995</v>
      </c>
      <c r="B217" s="9" t="s">
        <v>3429</v>
      </c>
      <c r="C217" s="2">
        <v>5672</v>
      </c>
      <c r="D217" s="2" t="s">
        <v>621</v>
      </c>
      <c r="E217" s="9" t="s">
        <v>611</v>
      </c>
      <c r="F217" s="9" t="s">
        <v>358</v>
      </c>
      <c r="G217" s="1">
        <v>1291.6846</v>
      </c>
      <c r="H217" s="2">
        <v>662</v>
      </c>
      <c r="I217" s="2">
        <v>2</v>
      </c>
      <c r="J217" s="1">
        <v>1291.6940999999999</v>
      </c>
      <c r="K217" s="1">
        <v>646.84960000000001</v>
      </c>
      <c r="L217" s="9" t="s">
        <v>359</v>
      </c>
      <c r="M217" s="2">
        <v>6.22</v>
      </c>
      <c r="N217" s="4">
        <v>8397.44</v>
      </c>
      <c r="O217" s="1">
        <v>7.3432835082529229</v>
      </c>
      <c r="P217" s="6">
        <v>35.200000000000003</v>
      </c>
      <c r="Q217" s="6">
        <v>26.1</v>
      </c>
      <c r="R217" s="6">
        <v>11.4</v>
      </c>
      <c r="S217" s="6">
        <v>10.9</v>
      </c>
      <c r="T217" s="5">
        <v>1.7000000000000001E-2</v>
      </c>
      <c r="U217" s="1">
        <v>9.4999999999999998E-3</v>
      </c>
      <c r="V217" s="1">
        <v>3.7696000000000001</v>
      </c>
    </row>
    <row r="218" spans="1:22" x14ac:dyDescent="0.25">
      <c r="A218" s="1">
        <v>0.9899</v>
      </c>
      <c r="B218" s="9" t="s">
        <v>3430</v>
      </c>
      <c r="C218" s="2">
        <v>5747</v>
      </c>
      <c r="D218" s="2" t="s">
        <v>302</v>
      </c>
      <c r="E218" s="9" t="s">
        <v>1067</v>
      </c>
      <c r="F218" s="9" t="s">
        <v>1749</v>
      </c>
      <c r="G218" s="1">
        <v>1378.6802</v>
      </c>
      <c r="H218" s="2">
        <v>341</v>
      </c>
      <c r="I218" s="2">
        <v>2</v>
      </c>
      <c r="J218" s="1">
        <v>1378.6822999999999</v>
      </c>
      <c r="K218" s="1">
        <v>690.34739999999999</v>
      </c>
      <c r="L218" s="9" t="s">
        <v>1069</v>
      </c>
      <c r="M218" s="2">
        <v>4.75</v>
      </c>
      <c r="N218" s="4">
        <v>8485.7999999999993</v>
      </c>
      <c r="O218" s="1">
        <v>1.5209733534159757</v>
      </c>
      <c r="P218" s="6">
        <v>33.1</v>
      </c>
      <c r="Q218" s="6">
        <v>24.1</v>
      </c>
      <c r="R218" s="6">
        <v>11.2</v>
      </c>
      <c r="S218" s="6">
        <v>8.9</v>
      </c>
      <c r="T218" s="5">
        <v>6.8999999999999999E-3</v>
      </c>
      <c r="U218" s="1">
        <v>2.0999999999999999E-3</v>
      </c>
      <c r="V218" s="1">
        <v>4.1123000000000003</v>
      </c>
    </row>
    <row r="219" spans="1:22" x14ac:dyDescent="0.25">
      <c r="A219" s="1">
        <v>0.98609999999999998</v>
      </c>
      <c r="B219" s="9" t="s">
        <v>3431</v>
      </c>
      <c r="C219" s="2">
        <v>5768</v>
      </c>
      <c r="D219" s="2" t="s">
        <v>178</v>
      </c>
      <c r="E219" s="9" t="s">
        <v>626</v>
      </c>
      <c r="F219" s="9" t="s">
        <v>627</v>
      </c>
      <c r="G219" s="1">
        <v>1529.7547999999999</v>
      </c>
      <c r="H219" s="2">
        <v>984</v>
      </c>
      <c r="I219" s="2">
        <v>2</v>
      </c>
      <c r="J219" s="1">
        <v>1529.7610999999999</v>
      </c>
      <c r="K219" s="1">
        <v>765.88469999999995</v>
      </c>
      <c r="L219" s="9" t="s">
        <v>628</v>
      </c>
      <c r="M219" s="2">
        <v>4.3499999999999996</v>
      </c>
      <c r="N219" s="4">
        <v>8512.0499999999993</v>
      </c>
      <c r="O219" s="1">
        <v>4.1128906217868044</v>
      </c>
      <c r="P219" s="6">
        <v>39.6</v>
      </c>
      <c r="Q219" s="6">
        <v>26.2</v>
      </c>
      <c r="R219" s="6">
        <v>12.1</v>
      </c>
      <c r="S219" s="6">
        <v>11.1</v>
      </c>
      <c r="T219" s="5">
        <v>7.1000000000000004E-3</v>
      </c>
      <c r="U219" s="1">
        <v>6.3E-3</v>
      </c>
      <c r="V219" s="1">
        <v>4.0972</v>
      </c>
    </row>
    <row r="220" spans="1:22" x14ac:dyDescent="0.25">
      <c r="A220" s="1">
        <v>0.99919999999999998</v>
      </c>
      <c r="B220" s="9" t="s">
        <v>3432</v>
      </c>
      <c r="C220" s="2">
        <v>5774</v>
      </c>
      <c r="D220" s="2" t="s">
        <v>3433</v>
      </c>
      <c r="E220" s="9" t="s">
        <v>646</v>
      </c>
      <c r="F220" s="9" t="s">
        <v>647</v>
      </c>
      <c r="G220" s="1">
        <v>1601.8516999999999</v>
      </c>
      <c r="H220" s="2">
        <v>583</v>
      </c>
      <c r="I220" s="2">
        <v>2</v>
      </c>
      <c r="J220" s="1">
        <v>1601.8681999999999</v>
      </c>
      <c r="K220" s="1">
        <v>801.93309999999997</v>
      </c>
      <c r="L220" s="9" t="s">
        <v>118</v>
      </c>
      <c r="M220" s="2">
        <v>6.21</v>
      </c>
      <c r="N220" s="4">
        <v>8518.5</v>
      </c>
      <c r="O220" s="1">
        <v>10.287641200992951</v>
      </c>
      <c r="P220" s="6">
        <v>69.099999999999994</v>
      </c>
      <c r="Q220" s="6">
        <v>34.700000000000003</v>
      </c>
      <c r="R220" s="6">
        <v>11.8</v>
      </c>
      <c r="S220" s="6">
        <v>10.5</v>
      </c>
      <c r="T220" s="5">
        <v>1.3E-6</v>
      </c>
      <c r="U220" s="1">
        <v>1.6500000000000001E-2</v>
      </c>
      <c r="V220" s="1">
        <v>8.0556999999999999</v>
      </c>
    </row>
    <row r="221" spans="1:22" x14ac:dyDescent="0.25">
      <c r="A221" s="1">
        <v>0.98340000000000005</v>
      </c>
      <c r="B221" s="9" t="s">
        <v>3434</v>
      </c>
      <c r="C221" s="2">
        <v>5850</v>
      </c>
      <c r="D221" s="2" t="s">
        <v>78</v>
      </c>
      <c r="E221" s="9" t="s">
        <v>2933</v>
      </c>
      <c r="F221" s="9" t="s">
        <v>2831</v>
      </c>
      <c r="G221" s="1">
        <v>1308.6637000000001</v>
      </c>
      <c r="H221" s="2">
        <v>343</v>
      </c>
      <c r="I221" s="2">
        <v>2</v>
      </c>
      <c r="J221" s="1">
        <v>1308.6867</v>
      </c>
      <c r="K221" s="1">
        <v>655.33910000000003</v>
      </c>
      <c r="L221" s="9" t="s">
        <v>2832</v>
      </c>
      <c r="M221" s="2">
        <v>4.75</v>
      </c>
      <c r="N221" s="4">
        <v>8611.11</v>
      </c>
      <c r="O221" s="1">
        <v>17.54816704817399</v>
      </c>
      <c r="P221" s="6">
        <v>40.200000000000003</v>
      </c>
      <c r="Q221" s="6">
        <v>35.4</v>
      </c>
      <c r="R221" s="6">
        <v>11.9</v>
      </c>
      <c r="S221" s="6">
        <v>10.199999999999999</v>
      </c>
      <c r="T221" s="5">
        <v>4.8999999999999998E-3</v>
      </c>
      <c r="U221" s="1">
        <v>2.3E-2</v>
      </c>
      <c r="V221" s="1">
        <v>3.6951000000000001</v>
      </c>
    </row>
  </sheetData>
  <mergeCells count="1">
    <mergeCell ref="A2:I2"/>
  </mergeCells>
  <phoneticPr fontId="21" type="noConversion"/>
  <hyperlinks>
    <hyperlink ref="J1" location="'Supplementary Table 2'!A1" display="back to index"/>
  </hyperlinks>
  <pageMargins left="0.39000000000000007" right="0.39000000000000007" top="0.39000000000000007" bottom="0.39000000000000007" header="0" footer="0"/>
  <pageSetup orientation="landscape" r:id="rId1"/>
  <ignoredErrors>
    <ignoredError sqref="A5:N221 A4:N4 P4:V4 P5:V221" twoDigitTextYear="1"/>
  </ignoredErrors>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19"/>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1"/>
    <col min="16" max="19" width="15.7109375" style="6"/>
    <col min="20" max="20" width="15.7109375" style="5"/>
    <col min="21" max="22" width="15.7109375" style="1"/>
    <col min="23" max="16384" width="15.7109375" style="2"/>
  </cols>
  <sheetData>
    <row r="1" spans="1:22" ht="15" customHeight="1" x14ac:dyDescent="0.25">
      <c r="A1" s="12" t="s">
        <v>5400</v>
      </c>
      <c r="J1" s="26" t="s">
        <v>5405</v>
      </c>
    </row>
    <row r="2" spans="1:22" s="21" customFormat="1" ht="90" customHeight="1" x14ac:dyDescent="0.25">
      <c r="A2" s="34" t="s">
        <v>5384</v>
      </c>
      <c r="B2" s="34"/>
      <c r="C2" s="34"/>
      <c r="D2" s="34"/>
      <c r="E2" s="34"/>
      <c r="F2" s="34"/>
      <c r="G2" s="34"/>
      <c r="H2" s="34"/>
      <c r="I2" s="34"/>
      <c r="N2" s="22"/>
      <c r="O2" s="1"/>
      <c r="P2" s="23"/>
      <c r="Q2" s="23"/>
      <c r="R2" s="23"/>
      <c r="S2" s="23"/>
      <c r="T2" s="24"/>
      <c r="U2" s="25"/>
      <c r="V2" s="25"/>
    </row>
    <row r="3" spans="1:22" s="8" customFormat="1" ht="45" x14ac:dyDescent="0.25">
      <c r="A3" s="7" t="str">
        <f>'MMP1-G'!A3</f>
        <v>probability</v>
      </c>
      <c r="B3" s="7" t="str">
        <f>'MMP1-G'!B3</f>
        <v>spectrum</v>
      </c>
      <c r="C3" s="7" t="str">
        <f>'MMP1-G'!C3</f>
        <v>start scan</v>
      </c>
      <c r="D3" s="7" t="str">
        <f>'MMP1-G'!D3</f>
        <v>ions</v>
      </c>
      <c r="E3" s="7" t="str">
        <f>'MMP1-G'!E3</f>
        <v>peptide</v>
      </c>
      <c r="F3" s="7" t="str">
        <f>'MMP1-G'!F3</f>
        <v>protein</v>
      </c>
      <c r="G3" s="7" t="str">
        <f>'MMP1-G'!G3</f>
        <v>calculated neutral
peptide mass</v>
      </c>
      <c r="H3" s="7" t="str">
        <f>'MMP1-G'!H3</f>
        <v>index</v>
      </c>
      <c r="I3" s="7" t="str">
        <f>'MMP1-G'!I3</f>
        <v>assumed charge</v>
      </c>
      <c r="J3" s="7" t="str">
        <f>'MMP1-G'!J3</f>
        <v>precursor neutral mass</v>
      </c>
      <c r="K3" s="7" t="str">
        <f>'MMP1-G'!K3</f>
        <v>m/z ratio</v>
      </c>
      <c r="L3" s="7" t="str">
        <f>'MMP1-G'!L3</f>
        <v>protein description</v>
      </c>
      <c r="M3" s="7" t="str">
        <f>'MMP1-G'!M3</f>
        <v>pI</v>
      </c>
      <c r="N3" s="7" t="str">
        <f>'MMP1-G'!N3</f>
        <v>retention
time (sec)</v>
      </c>
      <c r="O3" s="7" t="str">
        <f>'MMP1-G'!O3</f>
        <v>ppm</v>
      </c>
      <c r="P3" s="7" t="str">
        <f>'MMP1-G'!P3</f>
        <v>hyperscore</v>
      </c>
      <c r="Q3" s="7" t="str">
        <f>'MMP1-G'!Q3</f>
        <v>nextscore</v>
      </c>
      <c r="R3" s="7" t="str">
        <f>'MMP1-G'!R3</f>
        <v>bscore</v>
      </c>
      <c r="S3" s="7" t="str">
        <f>'MMP1-G'!S3</f>
        <v>yscore</v>
      </c>
      <c r="T3" s="7" t="str">
        <f>'MMP1-G'!T3</f>
        <v>expect</v>
      </c>
      <c r="U3" s="7" t="str">
        <f>'MMP1-G'!U3</f>
        <v>mass diff</v>
      </c>
      <c r="V3" s="7" t="str">
        <f>'MMP1-G'!V3</f>
        <v>fval</v>
      </c>
    </row>
    <row r="4" spans="1:22" x14ac:dyDescent="0.25">
      <c r="A4" s="1">
        <v>1</v>
      </c>
      <c r="B4" s="9" t="s">
        <v>3435</v>
      </c>
      <c r="C4" s="2">
        <v>1573</v>
      </c>
      <c r="D4" s="3" t="s">
        <v>3192</v>
      </c>
      <c r="E4" s="9" t="s">
        <v>3030</v>
      </c>
      <c r="F4" s="9" t="s">
        <v>1799</v>
      </c>
      <c r="G4" s="1">
        <v>2345.3980999999999</v>
      </c>
      <c r="H4" s="2">
        <v>485</v>
      </c>
      <c r="I4" s="2">
        <v>4</v>
      </c>
      <c r="J4" s="1">
        <v>2345.4011</v>
      </c>
      <c r="K4" s="1">
        <v>587.35680000000002</v>
      </c>
      <c r="L4" s="9" t="s">
        <v>1800</v>
      </c>
      <c r="M4" s="2">
        <v>10.7</v>
      </c>
      <c r="N4" s="4">
        <v>1668.46</v>
      </c>
      <c r="O4" s="1">
        <v>1.2769069839661342</v>
      </c>
      <c r="P4" s="6">
        <v>40</v>
      </c>
      <c r="Q4" s="6">
        <v>22.5</v>
      </c>
      <c r="R4" s="6">
        <v>8.9</v>
      </c>
      <c r="S4" s="6">
        <v>9.5</v>
      </c>
      <c r="T4" s="5">
        <v>3.5999999999999998E-6</v>
      </c>
      <c r="U4" s="1">
        <v>3.0000000000000001E-3</v>
      </c>
      <c r="V4" s="1">
        <v>7.5799000000000003</v>
      </c>
    </row>
    <row r="5" spans="1:22" x14ac:dyDescent="0.25">
      <c r="A5" s="1">
        <v>0.99819999999999998</v>
      </c>
      <c r="B5" s="9" t="s">
        <v>3436</v>
      </c>
      <c r="C5" s="2">
        <v>1606</v>
      </c>
      <c r="D5" s="3" t="s">
        <v>384</v>
      </c>
      <c r="E5" s="9" t="s">
        <v>3437</v>
      </c>
      <c r="F5" s="9" t="s">
        <v>1799</v>
      </c>
      <c r="G5" s="1">
        <v>1480.8797</v>
      </c>
      <c r="H5" s="2">
        <v>486</v>
      </c>
      <c r="I5" s="2">
        <v>3</v>
      </c>
      <c r="J5" s="1">
        <v>1480.9012</v>
      </c>
      <c r="K5" s="1">
        <v>494.63380000000001</v>
      </c>
      <c r="L5" s="9" t="s">
        <v>1800</v>
      </c>
      <c r="M5" s="2">
        <v>10.48</v>
      </c>
      <c r="N5" s="4">
        <v>1706.26</v>
      </c>
      <c r="O5" s="1">
        <v>14.488833287710355</v>
      </c>
      <c r="P5" s="6">
        <v>32.799999999999997</v>
      </c>
      <c r="Q5" s="6">
        <v>20.100000000000001</v>
      </c>
      <c r="R5" s="6">
        <v>10.4</v>
      </c>
      <c r="S5" s="6">
        <v>11.5</v>
      </c>
      <c r="T5" s="5">
        <v>3.3E-3</v>
      </c>
      <c r="U5" s="1">
        <v>2.1499999999999998E-2</v>
      </c>
      <c r="V5" s="1">
        <v>5.5171999999999999</v>
      </c>
    </row>
    <row r="6" spans="1:22" x14ac:dyDescent="0.25">
      <c r="A6" s="1">
        <v>0.999</v>
      </c>
      <c r="B6" s="9" t="s">
        <v>3438</v>
      </c>
      <c r="C6" s="2">
        <v>1646</v>
      </c>
      <c r="D6" s="3" t="s">
        <v>15</v>
      </c>
      <c r="E6" s="9" t="s">
        <v>16</v>
      </c>
      <c r="F6" s="9" t="s">
        <v>17</v>
      </c>
      <c r="G6" s="1">
        <v>1509.7827</v>
      </c>
      <c r="H6" s="2">
        <v>487</v>
      </c>
      <c r="I6" s="2">
        <v>3</v>
      </c>
      <c r="J6" s="1">
        <v>1509.8244999999999</v>
      </c>
      <c r="K6" s="1">
        <v>504.26819999999998</v>
      </c>
      <c r="L6" s="9" t="s">
        <v>18</v>
      </c>
      <c r="M6" s="2">
        <v>6.77</v>
      </c>
      <c r="N6" s="4">
        <v>1749.31</v>
      </c>
      <c r="O6" s="1">
        <v>27.630799113117448</v>
      </c>
      <c r="P6" s="6">
        <v>31.8</v>
      </c>
      <c r="Q6" s="6">
        <v>24.4</v>
      </c>
      <c r="R6" s="6">
        <v>13.5</v>
      </c>
      <c r="S6" s="6">
        <v>11.5</v>
      </c>
      <c r="T6" s="5">
        <v>2.0999999999999999E-3</v>
      </c>
      <c r="U6" s="1">
        <v>4.1799999999999997E-2</v>
      </c>
      <c r="V6" s="1">
        <v>4.9109999999999996</v>
      </c>
    </row>
    <row r="7" spans="1:22" x14ac:dyDescent="0.25">
      <c r="A7" s="1">
        <v>0.99750000000000005</v>
      </c>
      <c r="B7" s="9" t="s">
        <v>3439</v>
      </c>
      <c r="C7" s="2">
        <v>1654</v>
      </c>
      <c r="D7" s="3" t="s">
        <v>384</v>
      </c>
      <c r="E7" s="9" t="s">
        <v>3033</v>
      </c>
      <c r="F7" s="9" t="s">
        <v>3034</v>
      </c>
      <c r="G7" s="1">
        <v>1503.8198</v>
      </c>
      <c r="H7" s="2">
        <v>1005</v>
      </c>
      <c r="I7" s="2">
        <v>3</v>
      </c>
      <c r="J7" s="1">
        <v>1503.8226999999999</v>
      </c>
      <c r="K7" s="1">
        <v>502.28050000000002</v>
      </c>
      <c r="L7" s="9" t="s">
        <v>3035</v>
      </c>
      <c r="M7" s="2">
        <v>9.6999999999999993</v>
      </c>
      <c r="N7" s="4">
        <v>1758.76</v>
      </c>
      <c r="O7" s="1">
        <v>1.9245554359897838</v>
      </c>
      <c r="P7" s="6">
        <v>35.9</v>
      </c>
      <c r="Q7" s="6">
        <v>26.7</v>
      </c>
      <c r="R7" s="6">
        <v>8.6</v>
      </c>
      <c r="S7" s="6">
        <v>11.3</v>
      </c>
      <c r="T7" s="5">
        <v>8.4000000000000003E-4</v>
      </c>
      <c r="U7" s="1">
        <v>2.8999999999999998E-3</v>
      </c>
      <c r="V7" s="1">
        <v>5.55</v>
      </c>
    </row>
    <row r="8" spans="1:22" x14ac:dyDescent="0.25">
      <c r="A8" s="1">
        <v>0.995</v>
      </c>
      <c r="B8" s="9" t="s">
        <v>3440</v>
      </c>
      <c r="C8" s="2">
        <v>1671</v>
      </c>
      <c r="D8" s="3" t="s">
        <v>3441</v>
      </c>
      <c r="E8" s="9" t="s">
        <v>16</v>
      </c>
      <c r="F8" s="9" t="s">
        <v>17</v>
      </c>
      <c r="G8" s="1">
        <v>1509.7827</v>
      </c>
      <c r="H8" s="2">
        <v>341</v>
      </c>
      <c r="I8" s="2">
        <v>3</v>
      </c>
      <c r="J8" s="1">
        <v>1509.8052</v>
      </c>
      <c r="K8" s="1">
        <v>504.26819999999998</v>
      </c>
      <c r="L8" s="9" t="s">
        <v>18</v>
      </c>
      <c r="M8" s="2">
        <v>6.77</v>
      </c>
      <c r="N8" s="4">
        <v>1780.81</v>
      </c>
      <c r="O8" s="1">
        <v>14.873037800123031</v>
      </c>
      <c r="P8" s="6">
        <v>26.9</v>
      </c>
      <c r="Q8" s="6">
        <v>20.8</v>
      </c>
      <c r="R8" s="6">
        <v>12.4</v>
      </c>
      <c r="S8" s="6">
        <v>11.1</v>
      </c>
      <c r="T8" s="5">
        <v>2.1000000000000001E-2</v>
      </c>
      <c r="U8" s="1">
        <v>2.2499999999999999E-2</v>
      </c>
      <c r="V8" s="1">
        <v>3.6008</v>
      </c>
    </row>
    <row r="9" spans="1:22" x14ac:dyDescent="0.25">
      <c r="A9" s="1">
        <v>0.95540000000000003</v>
      </c>
      <c r="B9" s="9" t="s">
        <v>3442</v>
      </c>
      <c r="C9" s="2">
        <v>1763</v>
      </c>
      <c r="D9" s="3" t="s">
        <v>3443</v>
      </c>
      <c r="E9" s="9" t="s">
        <v>1805</v>
      </c>
      <c r="F9" s="9" t="s">
        <v>1799</v>
      </c>
      <c r="G9" s="1">
        <v>1962.1087</v>
      </c>
      <c r="H9" s="2">
        <v>1494</v>
      </c>
      <c r="I9" s="2">
        <v>4</v>
      </c>
      <c r="J9" s="1">
        <v>1962.1258</v>
      </c>
      <c r="K9" s="1">
        <v>491.53449999999998</v>
      </c>
      <c r="L9" s="9" t="s">
        <v>1800</v>
      </c>
      <c r="M9" s="2">
        <v>10.48</v>
      </c>
      <c r="N9" s="4">
        <v>1892.12</v>
      </c>
      <c r="O9" s="1">
        <v>8.6972531938246451</v>
      </c>
      <c r="P9" s="6">
        <v>39.200000000000003</v>
      </c>
      <c r="Q9" s="6">
        <v>29.2</v>
      </c>
      <c r="R9" s="6">
        <v>12</v>
      </c>
      <c r="S9" s="6">
        <v>13.3</v>
      </c>
      <c r="T9" s="5">
        <v>3.5000000000000001E-3</v>
      </c>
      <c r="U9" s="1">
        <v>1.7100000000000001E-2</v>
      </c>
      <c r="V9" s="1">
        <v>4.0683999999999996</v>
      </c>
    </row>
    <row r="10" spans="1:22" x14ac:dyDescent="0.25">
      <c r="A10" s="1">
        <v>0.95579999999999998</v>
      </c>
      <c r="B10" s="9" t="s">
        <v>3444</v>
      </c>
      <c r="C10" s="2">
        <v>1788</v>
      </c>
      <c r="D10" s="3" t="s">
        <v>3445</v>
      </c>
      <c r="E10" s="9" t="s">
        <v>1805</v>
      </c>
      <c r="F10" s="9" t="s">
        <v>1799</v>
      </c>
      <c r="G10" s="1">
        <v>1962.1087</v>
      </c>
      <c r="H10" s="2">
        <v>1495</v>
      </c>
      <c r="I10" s="2">
        <v>4</v>
      </c>
      <c r="J10" s="1">
        <v>1962.1583000000001</v>
      </c>
      <c r="K10" s="1">
        <v>491.53449999999998</v>
      </c>
      <c r="L10" s="9" t="s">
        <v>1800</v>
      </c>
      <c r="M10" s="2">
        <v>10.48</v>
      </c>
      <c r="N10" s="4">
        <v>1924.67</v>
      </c>
      <c r="O10" s="1">
        <v>25.227120375070314</v>
      </c>
      <c r="P10" s="6">
        <v>42.9</v>
      </c>
      <c r="Q10" s="6">
        <v>35</v>
      </c>
      <c r="R10" s="6">
        <v>11.6</v>
      </c>
      <c r="S10" s="6">
        <v>13</v>
      </c>
      <c r="T10" s="5">
        <v>1.6999999999999999E-3</v>
      </c>
      <c r="U10" s="1">
        <v>4.9599999999999998E-2</v>
      </c>
      <c r="V10" s="1">
        <v>4.0743</v>
      </c>
    </row>
    <row r="11" spans="1:22" x14ac:dyDescent="0.25">
      <c r="A11" s="1">
        <v>0.99839999999999995</v>
      </c>
      <c r="B11" s="9" t="s">
        <v>3446</v>
      </c>
      <c r="C11" s="2">
        <v>1852</v>
      </c>
      <c r="D11" s="3" t="s">
        <v>797</v>
      </c>
      <c r="E11" s="9" t="s">
        <v>3447</v>
      </c>
      <c r="F11" s="9" t="s">
        <v>3448</v>
      </c>
      <c r="G11" s="1">
        <v>1328.5997</v>
      </c>
      <c r="H11" s="2">
        <v>344</v>
      </c>
      <c r="I11" s="2">
        <v>3</v>
      </c>
      <c r="J11" s="1">
        <v>1328.6117999999999</v>
      </c>
      <c r="K11" s="1">
        <v>443.87380000000002</v>
      </c>
      <c r="L11" s="9" t="s">
        <v>3449</v>
      </c>
      <c r="M11" s="2">
        <v>4.8099999999999996</v>
      </c>
      <c r="N11" s="4">
        <v>2010.17</v>
      </c>
      <c r="O11" s="1">
        <v>9.0866668258710774</v>
      </c>
      <c r="P11" s="6">
        <v>25.9</v>
      </c>
      <c r="Q11" s="6">
        <v>21.1</v>
      </c>
      <c r="R11" s="6">
        <v>11.2</v>
      </c>
      <c r="S11" s="6">
        <v>10.3</v>
      </c>
      <c r="T11" s="5">
        <v>3.5999999999999999E-3</v>
      </c>
      <c r="U11" s="1">
        <v>1.21E-2</v>
      </c>
      <c r="V11" s="1">
        <v>4.5186000000000002</v>
      </c>
    </row>
    <row r="12" spans="1:22" x14ac:dyDescent="0.25">
      <c r="A12" s="1">
        <v>0.99560000000000004</v>
      </c>
      <c r="B12" s="9" t="s">
        <v>3450</v>
      </c>
      <c r="C12" s="2">
        <v>1919</v>
      </c>
      <c r="D12" s="3" t="s">
        <v>100</v>
      </c>
      <c r="E12" s="9" t="s">
        <v>1819</v>
      </c>
      <c r="F12" s="9" t="s">
        <v>1820</v>
      </c>
      <c r="G12" s="1">
        <v>1419.6419000000001</v>
      </c>
      <c r="H12" s="2">
        <v>852</v>
      </c>
      <c r="I12" s="2">
        <v>3</v>
      </c>
      <c r="J12" s="1">
        <v>1419.6487</v>
      </c>
      <c r="K12" s="1">
        <v>474.22120000000001</v>
      </c>
      <c r="L12" s="9" t="s">
        <v>1821</v>
      </c>
      <c r="M12" s="2">
        <v>5.96</v>
      </c>
      <c r="N12" s="4">
        <v>2109.02</v>
      </c>
      <c r="O12" s="1">
        <v>4.7797666293001368</v>
      </c>
      <c r="P12" s="6">
        <v>32.9</v>
      </c>
      <c r="Q12" s="6">
        <v>22.4</v>
      </c>
      <c r="R12" s="6">
        <v>9.8000000000000007</v>
      </c>
      <c r="S12" s="6">
        <v>10.9</v>
      </c>
      <c r="T12" s="5">
        <v>2.1999999999999999E-2</v>
      </c>
      <c r="U12" s="1">
        <v>6.7999999999999996E-3</v>
      </c>
      <c r="V12" s="1">
        <v>4.4260999999999999</v>
      </c>
    </row>
    <row r="13" spans="1:22" x14ac:dyDescent="0.25">
      <c r="A13" s="1">
        <v>1</v>
      </c>
      <c r="B13" s="9" t="s">
        <v>3451</v>
      </c>
      <c r="C13" s="2">
        <v>1924</v>
      </c>
      <c r="D13" s="3" t="s">
        <v>2151</v>
      </c>
      <c r="E13" s="9" t="s">
        <v>3056</v>
      </c>
      <c r="F13" s="9" t="s">
        <v>1997</v>
      </c>
      <c r="G13" s="1">
        <v>1938.8390999999999</v>
      </c>
      <c r="H13" s="2">
        <v>853</v>
      </c>
      <c r="I13" s="2">
        <v>3</v>
      </c>
      <c r="J13" s="1">
        <v>1938.8415</v>
      </c>
      <c r="K13" s="1">
        <v>647.28700000000003</v>
      </c>
      <c r="L13" s="9" t="s">
        <v>1998</v>
      </c>
      <c r="M13" s="2">
        <v>6.04</v>
      </c>
      <c r="N13" s="4">
        <v>2118.4699999999998</v>
      </c>
      <c r="O13" s="1">
        <v>1.2359278032773713</v>
      </c>
      <c r="P13" s="6">
        <v>50.8</v>
      </c>
      <c r="Q13" s="6">
        <v>25.8</v>
      </c>
      <c r="R13" s="6">
        <v>12.4</v>
      </c>
      <c r="S13" s="6">
        <v>12.4</v>
      </c>
      <c r="T13" s="5">
        <v>3.1E-7</v>
      </c>
      <c r="U13" s="1">
        <v>2.3999999999999998E-3</v>
      </c>
      <c r="V13" s="1">
        <v>9.5846999999999998</v>
      </c>
    </row>
    <row r="14" spans="1:22" x14ac:dyDescent="0.25">
      <c r="A14" s="1">
        <v>0.99399999999999999</v>
      </c>
      <c r="B14" s="9" t="s">
        <v>3452</v>
      </c>
      <c r="C14" s="2">
        <v>1987</v>
      </c>
      <c r="D14" s="3" t="s">
        <v>100</v>
      </c>
      <c r="E14" s="9" t="s">
        <v>3059</v>
      </c>
      <c r="F14" s="9" t="s">
        <v>3060</v>
      </c>
      <c r="G14" s="1">
        <v>1462.9027000000001</v>
      </c>
      <c r="H14" s="2">
        <v>226</v>
      </c>
      <c r="I14" s="2">
        <v>3</v>
      </c>
      <c r="J14" s="1">
        <v>1462.9209000000001</v>
      </c>
      <c r="K14" s="1">
        <v>488.64150000000001</v>
      </c>
      <c r="L14" s="9" t="s">
        <v>3061</v>
      </c>
      <c r="M14" s="2">
        <v>9.5299999999999994</v>
      </c>
      <c r="N14" s="4">
        <v>2218.37</v>
      </c>
      <c r="O14" s="1">
        <v>12.415373370183799</v>
      </c>
      <c r="P14" s="6">
        <v>32.299999999999997</v>
      </c>
      <c r="Q14" s="6">
        <v>21.9</v>
      </c>
      <c r="R14" s="6">
        <v>7.2</v>
      </c>
      <c r="S14" s="6">
        <v>9.8000000000000007</v>
      </c>
      <c r="T14" s="5">
        <v>5.4000000000000003E-3</v>
      </c>
      <c r="U14" s="1">
        <v>1.8200000000000001E-2</v>
      </c>
      <c r="V14" s="1">
        <v>5.2901999999999996</v>
      </c>
    </row>
    <row r="15" spans="1:22" x14ac:dyDescent="0.25">
      <c r="A15" s="1">
        <v>0.99509999999999998</v>
      </c>
      <c r="B15" s="9" t="s">
        <v>3453</v>
      </c>
      <c r="C15" s="2">
        <v>2017</v>
      </c>
      <c r="D15" s="3" t="s">
        <v>110</v>
      </c>
      <c r="E15" s="9" t="s">
        <v>3454</v>
      </c>
      <c r="F15" s="9" t="s">
        <v>3455</v>
      </c>
      <c r="G15" s="1">
        <v>1560.5862999999999</v>
      </c>
      <c r="H15" s="2">
        <v>1008</v>
      </c>
      <c r="I15" s="2">
        <v>2</v>
      </c>
      <c r="J15" s="1">
        <v>1560.5907999999999</v>
      </c>
      <c r="K15" s="1">
        <v>781.30039999999997</v>
      </c>
      <c r="L15" s="9" t="s">
        <v>3456</v>
      </c>
      <c r="M15" s="2">
        <v>7.62</v>
      </c>
      <c r="N15" s="4">
        <v>2268.8200000000002</v>
      </c>
      <c r="O15" s="1">
        <v>2.879814217425205</v>
      </c>
      <c r="P15" s="6">
        <v>51.7</v>
      </c>
      <c r="Q15" s="6">
        <v>30.8</v>
      </c>
      <c r="R15" s="6">
        <v>8.4</v>
      </c>
      <c r="S15" s="6">
        <v>9</v>
      </c>
      <c r="T15" s="5">
        <v>4.3000000000000003E-6</v>
      </c>
      <c r="U15" s="1">
        <v>4.4999999999999997E-3</v>
      </c>
      <c r="V15" s="1">
        <v>7.9745999999999997</v>
      </c>
    </row>
    <row r="16" spans="1:22" x14ac:dyDescent="0.25">
      <c r="A16" s="1">
        <v>0.96489999999999998</v>
      </c>
      <c r="B16" s="9" t="s">
        <v>3457</v>
      </c>
      <c r="C16" s="2">
        <v>2059</v>
      </c>
      <c r="D16" s="3" t="s">
        <v>3458</v>
      </c>
      <c r="E16" s="9" t="s">
        <v>1863</v>
      </c>
      <c r="F16" s="9" t="s">
        <v>1864</v>
      </c>
      <c r="G16" s="1">
        <v>1870.9576999999999</v>
      </c>
      <c r="H16" s="2">
        <v>243</v>
      </c>
      <c r="I16" s="2">
        <v>4</v>
      </c>
      <c r="J16" s="1">
        <v>1870.9623999999999</v>
      </c>
      <c r="K16" s="1">
        <v>468.74669999999998</v>
      </c>
      <c r="L16" s="9" t="s">
        <v>1865</v>
      </c>
      <c r="M16" s="2">
        <v>6.77</v>
      </c>
      <c r="N16" s="4">
        <v>2345.77</v>
      </c>
      <c r="O16" s="1">
        <v>2.5066843137242354</v>
      </c>
      <c r="P16" s="6">
        <v>31.9</v>
      </c>
      <c r="Q16" s="6">
        <v>23.7</v>
      </c>
      <c r="R16" s="6">
        <v>10.199999999999999</v>
      </c>
      <c r="S16" s="6">
        <v>9.1999999999999993</v>
      </c>
      <c r="T16" s="5">
        <v>1.9E-2</v>
      </c>
      <c r="U16" s="1">
        <v>4.7000000000000002E-3</v>
      </c>
      <c r="V16" s="1">
        <v>3.5741000000000001</v>
      </c>
    </row>
    <row r="17" spans="1:22" x14ac:dyDescent="0.25">
      <c r="A17" s="1">
        <v>0.996</v>
      </c>
      <c r="B17" s="9" t="s">
        <v>3459</v>
      </c>
      <c r="C17" s="2">
        <v>2124</v>
      </c>
      <c r="D17" s="3" t="s">
        <v>988</v>
      </c>
      <c r="E17" s="9" t="s">
        <v>689</v>
      </c>
      <c r="F17" s="9" t="s">
        <v>690</v>
      </c>
      <c r="G17" s="1">
        <v>1384.6510000000001</v>
      </c>
      <c r="H17" s="2">
        <v>1011</v>
      </c>
      <c r="I17" s="2">
        <v>2</v>
      </c>
      <c r="J17" s="1">
        <v>1384.6565000000001</v>
      </c>
      <c r="K17" s="1">
        <v>693.33280000000002</v>
      </c>
      <c r="L17" s="9" t="s">
        <v>691</v>
      </c>
      <c r="M17" s="2">
        <v>4.4000000000000004</v>
      </c>
      <c r="N17" s="4">
        <v>2458.67</v>
      </c>
      <c r="O17" s="1">
        <v>3.9663492048840032</v>
      </c>
      <c r="P17" s="6">
        <v>20.9</v>
      </c>
      <c r="Q17" s="6">
        <v>13.6</v>
      </c>
      <c r="R17" s="6">
        <v>6.5</v>
      </c>
      <c r="S17" s="6">
        <v>7.4</v>
      </c>
      <c r="T17" s="5">
        <v>1.9E-2</v>
      </c>
      <c r="U17" s="1">
        <v>5.4999999999999997E-3</v>
      </c>
      <c r="V17" s="1">
        <v>3.9969999999999999</v>
      </c>
    </row>
    <row r="18" spans="1:22" x14ac:dyDescent="0.25">
      <c r="A18" s="1">
        <v>0.97409999999999997</v>
      </c>
      <c r="B18" s="9" t="s">
        <v>3460</v>
      </c>
      <c r="C18" s="2">
        <v>2128</v>
      </c>
      <c r="D18" s="3" t="s">
        <v>904</v>
      </c>
      <c r="E18" s="9" t="s">
        <v>3461</v>
      </c>
      <c r="F18" s="9" t="s">
        <v>3462</v>
      </c>
      <c r="G18" s="1">
        <v>1512.7831000000001</v>
      </c>
      <c r="H18" s="2">
        <v>495</v>
      </c>
      <c r="I18" s="2">
        <v>3</v>
      </c>
      <c r="J18" s="1">
        <v>1512.7786000000001</v>
      </c>
      <c r="K18" s="1">
        <v>505.26830000000001</v>
      </c>
      <c r="L18" s="9" t="s">
        <v>3463</v>
      </c>
      <c r="M18" s="2">
        <v>10.84</v>
      </c>
      <c r="N18" s="4">
        <v>2466.0700000000002</v>
      </c>
      <c r="O18" s="1">
        <v>-2.9687197870913331</v>
      </c>
      <c r="P18" s="6">
        <v>40.9</v>
      </c>
      <c r="Q18" s="6">
        <v>32.200000000000003</v>
      </c>
      <c r="R18" s="6">
        <v>10</v>
      </c>
      <c r="S18" s="6">
        <v>10.8</v>
      </c>
      <c r="T18" s="5">
        <v>1.2E-2</v>
      </c>
      <c r="U18" s="1">
        <v>-4.4999999999999997E-3</v>
      </c>
      <c r="V18" s="1">
        <v>3.7010999999999998</v>
      </c>
    </row>
    <row r="19" spans="1:22" x14ac:dyDescent="0.25">
      <c r="A19" s="1">
        <v>0.99450000000000005</v>
      </c>
      <c r="B19" s="9" t="s">
        <v>3464</v>
      </c>
      <c r="C19" s="2">
        <v>2131</v>
      </c>
      <c r="D19" s="3" t="s">
        <v>3465</v>
      </c>
      <c r="E19" s="9" t="s">
        <v>3466</v>
      </c>
      <c r="F19" s="9" t="s">
        <v>391</v>
      </c>
      <c r="G19" s="1">
        <v>1689.0417</v>
      </c>
      <c r="H19" s="2">
        <v>496</v>
      </c>
      <c r="I19" s="2">
        <v>4</v>
      </c>
      <c r="J19" s="1">
        <v>1689.0626999999999</v>
      </c>
      <c r="K19" s="1">
        <v>423.26769999999999</v>
      </c>
      <c r="L19" s="9" t="s">
        <v>364</v>
      </c>
      <c r="M19" s="2">
        <v>11.17</v>
      </c>
      <c r="N19" s="4">
        <v>2473.4699999999998</v>
      </c>
      <c r="O19" s="1">
        <v>12.403497833640509</v>
      </c>
      <c r="P19" s="6">
        <v>29</v>
      </c>
      <c r="Q19" s="6">
        <v>19.3</v>
      </c>
      <c r="R19" s="6">
        <v>7.7</v>
      </c>
      <c r="S19" s="6">
        <v>10.5</v>
      </c>
      <c r="T19" s="5">
        <v>7.0000000000000001E-3</v>
      </c>
      <c r="U19" s="1">
        <v>2.1000000000000001E-2</v>
      </c>
      <c r="V19" s="1">
        <v>4.3532999999999999</v>
      </c>
    </row>
    <row r="20" spans="1:22" x14ac:dyDescent="0.25">
      <c r="A20" s="1">
        <v>0.99990000000000001</v>
      </c>
      <c r="B20" s="9" t="s">
        <v>3467</v>
      </c>
      <c r="C20" s="2">
        <v>2317</v>
      </c>
      <c r="D20" s="3" t="s">
        <v>1949</v>
      </c>
      <c r="E20" s="9" t="s">
        <v>57</v>
      </c>
      <c r="F20" s="9" t="s">
        <v>58</v>
      </c>
      <c r="G20" s="1">
        <v>1470.7946999999999</v>
      </c>
      <c r="H20" s="2">
        <v>864</v>
      </c>
      <c r="I20" s="2">
        <v>3</v>
      </c>
      <c r="J20" s="1">
        <v>1470.8148000000001</v>
      </c>
      <c r="K20" s="1">
        <v>491.2722</v>
      </c>
      <c r="L20" s="9" t="s">
        <v>59</v>
      </c>
      <c r="M20" s="2">
        <v>8.6</v>
      </c>
      <c r="N20" s="4">
        <v>2810.73</v>
      </c>
      <c r="O20" s="1">
        <v>13.638060529376586</v>
      </c>
      <c r="P20" s="6">
        <v>48.6</v>
      </c>
      <c r="Q20" s="6">
        <v>28.8</v>
      </c>
      <c r="R20" s="6">
        <v>10.8</v>
      </c>
      <c r="S20" s="6">
        <v>10.6</v>
      </c>
      <c r="T20" s="5">
        <v>2.1000000000000001E-4</v>
      </c>
      <c r="U20" s="1">
        <v>2.01E-2</v>
      </c>
      <c r="V20" s="1">
        <v>7.1573000000000002</v>
      </c>
    </row>
    <row r="21" spans="1:22" x14ac:dyDescent="0.25">
      <c r="A21" s="1">
        <v>0.96409999999999996</v>
      </c>
      <c r="B21" s="9" t="s">
        <v>3468</v>
      </c>
      <c r="C21" s="2">
        <v>2422</v>
      </c>
      <c r="D21" s="3" t="s">
        <v>3469</v>
      </c>
      <c r="E21" s="9" t="s">
        <v>1910</v>
      </c>
      <c r="F21" s="9" t="s">
        <v>1911</v>
      </c>
      <c r="G21" s="1">
        <v>2653.0376999999999</v>
      </c>
      <c r="H21" s="2">
        <v>1456</v>
      </c>
      <c r="I21" s="2">
        <v>3</v>
      </c>
      <c r="J21" s="1">
        <v>2653.0475000000001</v>
      </c>
      <c r="K21" s="1">
        <v>885.35320000000002</v>
      </c>
      <c r="L21" s="9" t="s">
        <v>1912</v>
      </c>
      <c r="M21" s="2">
        <v>8.27</v>
      </c>
      <c r="N21" s="4">
        <v>3001.28</v>
      </c>
      <c r="O21" s="1">
        <v>3.6896762406988151</v>
      </c>
      <c r="P21" s="6">
        <v>28.9</v>
      </c>
      <c r="Q21" s="6">
        <v>22.3</v>
      </c>
      <c r="R21" s="6">
        <v>7.3</v>
      </c>
      <c r="S21" s="6">
        <v>7.9</v>
      </c>
      <c r="T21" s="5">
        <v>3.9E-2</v>
      </c>
      <c r="U21" s="1">
        <v>9.7999999999999997E-3</v>
      </c>
      <c r="V21" s="1">
        <v>2.6126</v>
      </c>
    </row>
    <row r="22" spans="1:22" x14ac:dyDescent="0.25">
      <c r="A22" s="1">
        <v>0.98550000000000004</v>
      </c>
      <c r="B22" s="9" t="s">
        <v>3470</v>
      </c>
      <c r="C22" s="2">
        <v>2433</v>
      </c>
      <c r="D22" s="3" t="s">
        <v>149</v>
      </c>
      <c r="E22" s="9" t="s">
        <v>720</v>
      </c>
      <c r="F22" s="9" t="s">
        <v>721</v>
      </c>
      <c r="G22" s="1">
        <v>1323.7663</v>
      </c>
      <c r="H22" s="2">
        <v>506</v>
      </c>
      <c r="I22" s="2">
        <v>3</v>
      </c>
      <c r="J22" s="1">
        <v>1323.7747999999999</v>
      </c>
      <c r="K22" s="1">
        <v>442.2627</v>
      </c>
      <c r="L22" s="9" t="s">
        <v>118</v>
      </c>
      <c r="M22" s="2">
        <v>8.6</v>
      </c>
      <c r="N22" s="4">
        <v>3019.24</v>
      </c>
      <c r="O22" s="1">
        <v>6.4064487765604774</v>
      </c>
      <c r="P22" s="6">
        <v>30.6</v>
      </c>
      <c r="Q22" s="6">
        <v>23.1</v>
      </c>
      <c r="R22" s="6">
        <v>10.9</v>
      </c>
      <c r="S22" s="6">
        <v>8.1999999999999993</v>
      </c>
      <c r="T22" s="5">
        <v>8.4000000000000005E-2</v>
      </c>
      <c r="U22" s="1">
        <v>8.5000000000000006E-3</v>
      </c>
      <c r="V22" s="1">
        <v>3.1716000000000002</v>
      </c>
    </row>
    <row r="23" spans="1:22" x14ac:dyDescent="0.25">
      <c r="A23" s="1">
        <v>0.99919999999999998</v>
      </c>
      <c r="B23" s="9" t="s">
        <v>3471</v>
      </c>
      <c r="C23" s="2">
        <v>2443</v>
      </c>
      <c r="D23" s="3" t="s">
        <v>1349</v>
      </c>
      <c r="E23" s="9" t="s">
        <v>1918</v>
      </c>
      <c r="F23" s="9" t="s">
        <v>1919</v>
      </c>
      <c r="G23" s="1">
        <v>2623.0266999999999</v>
      </c>
      <c r="H23" s="2">
        <v>867</v>
      </c>
      <c r="I23" s="2">
        <v>3</v>
      </c>
      <c r="J23" s="1">
        <v>2623.0434</v>
      </c>
      <c r="K23" s="1">
        <v>875.34950000000003</v>
      </c>
      <c r="L23" s="9" t="s">
        <v>1920</v>
      </c>
      <c r="M23" s="2">
        <v>8.27</v>
      </c>
      <c r="N23" s="4">
        <v>3039.38</v>
      </c>
      <c r="O23" s="1">
        <v>6.3593646499674321</v>
      </c>
      <c r="P23" s="6">
        <v>33</v>
      </c>
      <c r="Q23" s="6">
        <v>27.5</v>
      </c>
      <c r="R23" s="6">
        <v>10.7</v>
      </c>
      <c r="S23" s="6">
        <v>10.9</v>
      </c>
      <c r="T23" s="5">
        <v>1.9E-6</v>
      </c>
      <c r="U23" s="1">
        <v>1.67E-2</v>
      </c>
      <c r="V23" s="1">
        <v>6.6768000000000001</v>
      </c>
    </row>
    <row r="24" spans="1:22" x14ac:dyDescent="0.25">
      <c r="A24" s="1">
        <v>0.999</v>
      </c>
      <c r="B24" s="9" t="s">
        <v>3472</v>
      </c>
      <c r="C24" s="2">
        <v>2483</v>
      </c>
      <c r="D24" s="3" t="s">
        <v>128</v>
      </c>
      <c r="E24" s="9" t="s">
        <v>724</v>
      </c>
      <c r="F24" s="9" t="s">
        <v>647</v>
      </c>
      <c r="G24" s="1">
        <v>1439.85</v>
      </c>
      <c r="H24" s="2">
        <v>869</v>
      </c>
      <c r="I24" s="2">
        <v>3</v>
      </c>
      <c r="J24" s="1">
        <v>1439.8530000000001</v>
      </c>
      <c r="K24" s="1">
        <v>480.95729999999998</v>
      </c>
      <c r="L24" s="9" t="s">
        <v>118</v>
      </c>
      <c r="M24" s="2">
        <v>8.48</v>
      </c>
      <c r="N24" s="4">
        <v>3113.39</v>
      </c>
      <c r="O24" s="1">
        <v>2.0791866554473755</v>
      </c>
      <c r="P24" s="6">
        <v>32.1</v>
      </c>
      <c r="Q24" s="6">
        <v>19.600000000000001</v>
      </c>
      <c r="R24" s="6">
        <v>3</v>
      </c>
      <c r="S24" s="6">
        <v>10.5</v>
      </c>
      <c r="T24" s="5">
        <v>1.4E-2</v>
      </c>
      <c r="U24" s="1">
        <v>3.0000000000000001E-3</v>
      </c>
      <c r="V24" s="1">
        <v>5.1223000000000001</v>
      </c>
    </row>
    <row r="25" spans="1:22" x14ac:dyDescent="0.25">
      <c r="A25" s="1">
        <v>0.996</v>
      </c>
      <c r="B25" s="9" t="s">
        <v>3473</v>
      </c>
      <c r="C25" s="2">
        <v>2527</v>
      </c>
      <c r="D25" s="3" t="s">
        <v>298</v>
      </c>
      <c r="E25" s="9" t="s">
        <v>3115</v>
      </c>
      <c r="F25" s="9" t="s">
        <v>3116</v>
      </c>
      <c r="G25" s="1">
        <v>909.47080000000005</v>
      </c>
      <c r="H25" s="2">
        <v>79</v>
      </c>
      <c r="I25" s="2">
        <v>2</v>
      </c>
      <c r="J25" s="1">
        <v>909.47529999999995</v>
      </c>
      <c r="K25" s="1">
        <v>455.74270000000001</v>
      </c>
      <c r="L25" s="9" t="s">
        <v>3117</v>
      </c>
      <c r="M25" s="2">
        <v>6.74</v>
      </c>
      <c r="N25" s="4">
        <v>3188.44</v>
      </c>
      <c r="O25" s="1">
        <v>4.9369962481022727</v>
      </c>
      <c r="P25" s="6">
        <v>37.700000000000003</v>
      </c>
      <c r="Q25" s="6">
        <v>30.2</v>
      </c>
      <c r="R25" s="6">
        <v>12.2</v>
      </c>
      <c r="S25" s="6">
        <v>12.9</v>
      </c>
      <c r="T25" s="5">
        <v>6.9999999999999999E-4</v>
      </c>
      <c r="U25" s="1">
        <v>4.4999999999999997E-3</v>
      </c>
      <c r="V25" s="1">
        <v>5.6348000000000003</v>
      </c>
    </row>
    <row r="26" spans="1:22" x14ac:dyDescent="0.25">
      <c r="A26" s="1">
        <v>0.99929999999999997</v>
      </c>
      <c r="B26" s="9" t="s">
        <v>3474</v>
      </c>
      <c r="C26" s="2">
        <v>2597</v>
      </c>
      <c r="D26" s="3" t="s">
        <v>201</v>
      </c>
      <c r="E26" s="9" t="s">
        <v>79</v>
      </c>
      <c r="F26" s="9" t="s">
        <v>80</v>
      </c>
      <c r="G26" s="1">
        <v>1140.5239999999999</v>
      </c>
      <c r="H26" s="2">
        <v>512</v>
      </c>
      <c r="I26" s="2">
        <v>2</v>
      </c>
      <c r="J26" s="1">
        <v>1140.5237</v>
      </c>
      <c r="K26" s="1">
        <v>571.26930000000004</v>
      </c>
      <c r="L26" s="9" t="s">
        <v>81</v>
      </c>
      <c r="M26" s="2">
        <v>5.47</v>
      </c>
      <c r="N26" s="4">
        <v>3311.44</v>
      </c>
      <c r="O26" s="1">
        <v>-0.26257318571118732</v>
      </c>
      <c r="P26" s="6">
        <v>47.6</v>
      </c>
      <c r="Q26" s="6">
        <v>28.9</v>
      </c>
      <c r="R26" s="6">
        <v>11.7</v>
      </c>
      <c r="S26" s="6">
        <v>12.1</v>
      </c>
      <c r="T26" s="5">
        <v>2.5999999999999998E-4</v>
      </c>
      <c r="U26" s="1">
        <v>-2.9999999999999997E-4</v>
      </c>
      <c r="V26" s="1">
        <v>6.5644</v>
      </c>
    </row>
    <row r="27" spans="1:22" x14ac:dyDescent="0.25">
      <c r="A27" s="1">
        <v>0.99360000000000004</v>
      </c>
      <c r="B27" s="9" t="s">
        <v>3475</v>
      </c>
      <c r="C27" s="2">
        <v>2599</v>
      </c>
      <c r="D27" s="3" t="s">
        <v>38</v>
      </c>
      <c r="E27" s="9" t="s">
        <v>3122</v>
      </c>
      <c r="F27" s="9" t="s">
        <v>216</v>
      </c>
      <c r="G27" s="1">
        <v>1401.7074</v>
      </c>
      <c r="H27" s="2">
        <v>513</v>
      </c>
      <c r="I27" s="2">
        <v>3</v>
      </c>
      <c r="J27" s="1">
        <v>1401.7173</v>
      </c>
      <c r="K27" s="1">
        <v>468.24310000000003</v>
      </c>
      <c r="L27" s="9" t="s">
        <v>91</v>
      </c>
      <c r="M27" s="2">
        <v>6.48</v>
      </c>
      <c r="N27" s="4">
        <v>3318.84</v>
      </c>
      <c r="O27" s="1">
        <v>7.0476212036012926</v>
      </c>
      <c r="P27" s="6">
        <v>34.799999999999997</v>
      </c>
      <c r="Q27" s="6">
        <v>24.6</v>
      </c>
      <c r="R27" s="6">
        <v>10.199999999999999</v>
      </c>
      <c r="S27" s="6">
        <v>11.1</v>
      </c>
      <c r="T27" s="5">
        <v>8.8000000000000005E-3</v>
      </c>
      <c r="U27" s="1">
        <v>9.9000000000000008E-3</v>
      </c>
      <c r="V27" s="1">
        <v>4.6247999999999996</v>
      </c>
    </row>
    <row r="28" spans="1:22" x14ac:dyDescent="0.25">
      <c r="A28" s="1">
        <v>1</v>
      </c>
      <c r="B28" s="9" t="s">
        <v>3476</v>
      </c>
      <c r="C28" s="2">
        <v>2608</v>
      </c>
      <c r="D28" s="3" t="s">
        <v>1399</v>
      </c>
      <c r="E28" s="9" t="s">
        <v>1176</v>
      </c>
      <c r="F28" s="9" t="s">
        <v>1749</v>
      </c>
      <c r="G28" s="1">
        <v>2091.9387000000002</v>
      </c>
      <c r="H28" s="2">
        <v>1460</v>
      </c>
      <c r="I28" s="2">
        <v>3</v>
      </c>
      <c r="J28" s="1">
        <v>2091.9665</v>
      </c>
      <c r="K28" s="1">
        <v>698.3202</v>
      </c>
      <c r="L28" s="9" t="s">
        <v>1069</v>
      </c>
      <c r="M28" s="2">
        <v>4.53</v>
      </c>
      <c r="N28" s="4">
        <v>3337.89</v>
      </c>
      <c r="O28" s="1">
        <v>13.269939301006424</v>
      </c>
      <c r="P28" s="6">
        <v>43.4</v>
      </c>
      <c r="Q28" s="6">
        <v>24.5</v>
      </c>
      <c r="R28" s="6">
        <v>10.6</v>
      </c>
      <c r="S28" s="6">
        <v>10.8</v>
      </c>
      <c r="T28" s="5">
        <v>3.1999999999999999E-6</v>
      </c>
      <c r="U28" s="1">
        <v>2.7799999999999998E-2</v>
      </c>
      <c r="V28" s="1">
        <v>8.2172999999999998</v>
      </c>
    </row>
    <row r="29" spans="1:22" x14ac:dyDescent="0.25">
      <c r="A29" s="1">
        <v>0.99919999999999998</v>
      </c>
      <c r="B29" s="9" t="s">
        <v>3477</v>
      </c>
      <c r="C29" s="2">
        <v>2614</v>
      </c>
      <c r="D29" s="3" t="s">
        <v>201</v>
      </c>
      <c r="E29" s="9" t="s">
        <v>79</v>
      </c>
      <c r="F29" s="9" t="s">
        <v>80</v>
      </c>
      <c r="G29" s="1">
        <v>1140.5239999999999</v>
      </c>
      <c r="H29" s="2">
        <v>516</v>
      </c>
      <c r="I29" s="2">
        <v>2</v>
      </c>
      <c r="J29" s="1">
        <v>1140.5255</v>
      </c>
      <c r="K29" s="1">
        <v>571.26930000000004</v>
      </c>
      <c r="L29" s="9" t="s">
        <v>81</v>
      </c>
      <c r="M29" s="2">
        <v>5.47</v>
      </c>
      <c r="N29" s="4">
        <v>3346.34</v>
      </c>
      <c r="O29" s="1">
        <v>1.3128659285559368</v>
      </c>
      <c r="P29" s="6">
        <v>47</v>
      </c>
      <c r="Q29" s="6">
        <v>28.2</v>
      </c>
      <c r="R29" s="6">
        <v>10.8</v>
      </c>
      <c r="S29" s="6">
        <v>11.5</v>
      </c>
      <c r="T29" s="5">
        <v>3.2000000000000003E-4</v>
      </c>
      <c r="U29" s="1">
        <v>1.5E-3</v>
      </c>
      <c r="V29" s="1">
        <v>6.4954000000000001</v>
      </c>
    </row>
    <row r="30" spans="1:22" x14ac:dyDescent="0.25">
      <c r="A30" s="1">
        <v>0.97840000000000005</v>
      </c>
      <c r="B30" s="9" t="s">
        <v>3478</v>
      </c>
      <c r="C30" s="2">
        <v>2631</v>
      </c>
      <c r="D30" s="3" t="s">
        <v>3479</v>
      </c>
      <c r="E30" s="9" t="s">
        <v>3480</v>
      </c>
      <c r="F30" s="9" t="s">
        <v>3481</v>
      </c>
      <c r="G30" s="1">
        <v>969.4117</v>
      </c>
      <c r="H30" s="2">
        <v>366</v>
      </c>
      <c r="I30" s="2">
        <v>2</v>
      </c>
      <c r="J30" s="1">
        <v>969.50070000000005</v>
      </c>
      <c r="K30" s="1">
        <v>485.7131</v>
      </c>
      <c r="L30" s="9" t="s">
        <v>3482</v>
      </c>
      <c r="M30" s="2">
        <v>4.5999999999999996</v>
      </c>
      <c r="N30" s="4">
        <v>3373.94</v>
      </c>
      <c r="O30" s="1">
        <v>91.617870714213794</v>
      </c>
      <c r="P30" s="6">
        <v>26.7</v>
      </c>
      <c r="Q30" s="6">
        <v>19.600000000000001</v>
      </c>
      <c r="R30" s="6">
        <v>0</v>
      </c>
      <c r="S30" s="6">
        <v>11.9</v>
      </c>
      <c r="T30" s="5">
        <v>8.4000000000000005E-2</v>
      </c>
      <c r="U30" s="1">
        <v>8.8999999999999996E-2</v>
      </c>
      <c r="V30" s="1">
        <v>3.1393</v>
      </c>
    </row>
    <row r="31" spans="1:22" x14ac:dyDescent="0.25">
      <c r="A31" s="1">
        <v>0.99909999999999999</v>
      </c>
      <c r="B31" s="9" t="s">
        <v>3483</v>
      </c>
      <c r="C31" s="2">
        <v>2634</v>
      </c>
      <c r="D31" s="3" t="s">
        <v>183</v>
      </c>
      <c r="E31" s="9" t="s">
        <v>79</v>
      </c>
      <c r="F31" s="9" t="s">
        <v>80</v>
      </c>
      <c r="G31" s="1">
        <v>1140.5239999999999</v>
      </c>
      <c r="H31" s="2">
        <v>4</v>
      </c>
      <c r="I31" s="2">
        <v>2</v>
      </c>
      <c r="J31" s="1">
        <v>1140.527</v>
      </c>
      <c r="K31" s="1">
        <v>571.26930000000004</v>
      </c>
      <c r="L31" s="9" t="s">
        <v>81</v>
      </c>
      <c r="M31" s="2">
        <v>5.47</v>
      </c>
      <c r="N31" s="4">
        <v>3379.24</v>
      </c>
      <c r="O31" s="1">
        <v>2.6257318571118735</v>
      </c>
      <c r="P31" s="6">
        <v>34.200000000000003</v>
      </c>
      <c r="Q31" s="6">
        <v>23.4</v>
      </c>
      <c r="R31" s="6">
        <v>11.4</v>
      </c>
      <c r="S31" s="6">
        <v>11.4</v>
      </c>
      <c r="T31" s="5">
        <v>5.2999999999999998E-4</v>
      </c>
      <c r="U31" s="1">
        <v>3.0000000000000001E-3</v>
      </c>
      <c r="V31" s="1">
        <v>5.8140999999999998</v>
      </c>
    </row>
    <row r="32" spans="1:22" x14ac:dyDescent="0.25">
      <c r="A32" s="1">
        <v>0.99780000000000002</v>
      </c>
      <c r="B32" s="9" t="s">
        <v>3484</v>
      </c>
      <c r="C32" s="2">
        <v>2642</v>
      </c>
      <c r="D32" s="3" t="s">
        <v>321</v>
      </c>
      <c r="E32" s="9" t="s">
        <v>1950</v>
      </c>
      <c r="F32" s="9" t="s">
        <v>1140</v>
      </c>
      <c r="G32" s="1">
        <v>1586.7687000000001</v>
      </c>
      <c r="H32" s="2">
        <v>1021</v>
      </c>
      <c r="I32" s="2">
        <v>3</v>
      </c>
      <c r="J32" s="1">
        <v>1586.7865999999999</v>
      </c>
      <c r="K32" s="1">
        <v>529.93020000000001</v>
      </c>
      <c r="L32" s="9" t="s">
        <v>745</v>
      </c>
      <c r="M32" s="2">
        <v>5.3</v>
      </c>
      <c r="N32" s="4">
        <v>3391.94</v>
      </c>
      <c r="O32" s="1">
        <v>11.259344469642731</v>
      </c>
      <c r="P32" s="6">
        <v>43.8</v>
      </c>
      <c r="Q32" s="6">
        <v>28.9</v>
      </c>
      <c r="R32" s="6">
        <v>12.4</v>
      </c>
      <c r="S32" s="6">
        <v>13.8</v>
      </c>
      <c r="T32" s="5">
        <v>1.6999999999999999E-3</v>
      </c>
      <c r="U32" s="1">
        <v>1.7899999999999999E-2</v>
      </c>
      <c r="V32" s="1">
        <v>5.6243999999999996</v>
      </c>
    </row>
    <row r="33" spans="1:22" x14ac:dyDescent="0.25">
      <c r="A33" s="1">
        <v>0.99950000000000006</v>
      </c>
      <c r="B33" s="9" t="s">
        <v>3485</v>
      </c>
      <c r="C33" s="2">
        <v>2714</v>
      </c>
      <c r="D33" s="3" t="s">
        <v>3073</v>
      </c>
      <c r="E33" s="9" t="s">
        <v>1956</v>
      </c>
      <c r="F33" s="9" t="s">
        <v>1957</v>
      </c>
      <c r="G33" s="1">
        <v>1570.7737</v>
      </c>
      <c r="H33" s="2">
        <v>1024</v>
      </c>
      <c r="I33" s="2">
        <v>3</v>
      </c>
      <c r="J33" s="1">
        <v>1570.7983999999999</v>
      </c>
      <c r="K33" s="1">
        <v>524.59849999999994</v>
      </c>
      <c r="L33" s="9" t="s">
        <v>1958</v>
      </c>
      <c r="M33" s="2">
        <v>5.3</v>
      </c>
      <c r="N33" s="4">
        <v>3518.35</v>
      </c>
      <c r="O33" s="1">
        <v>15.694542270580902</v>
      </c>
      <c r="P33" s="6">
        <v>49.6</v>
      </c>
      <c r="Q33" s="6">
        <v>30.2</v>
      </c>
      <c r="R33" s="6">
        <v>12.6</v>
      </c>
      <c r="S33" s="6">
        <v>13.9</v>
      </c>
      <c r="T33" s="5">
        <v>2.4000000000000001E-4</v>
      </c>
      <c r="U33" s="1">
        <v>2.47E-2</v>
      </c>
      <c r="V33" s="1">
        <v>6.9928999999999997</v>
      </c>
    </row>
    <row r="34" spans="1:22" x14ac:dyDescent="0.25">
      <c r="A34" s="1">
        <v>0.99199999999999999</v>
      </c>
      <c r="B34" s="9" t="s">
        <v>3486</v>
      </c>
      <c r="C34" s="2">
        <v>2831</v>
      </c>
      <c r="D34" s="3" t="s">
        <v>2463</v>
      </c>
      <c r="E34" s="9" t="s">
        <v>3487</v>
      </c>
      <c r="F34" s="9" t="s">
        <v>2016</v>
      </c>
      <c r="G34" s="1">
        <v>2087.9187000000002</v>
      </c>
      <c r="H34" s="2">
        <v>1465</v>
      </c>
      <c r="I34" s="2">
        <v>3</v>
      </c>
      <c r="J34" s="1">
        <v>2087.9562999999998</v>
      </c>
      <c r="K34" s="1">
        <v>696.98019999999997</v>
      </c>
      <c r="L34" s="9" t="s">
        <v>2017</v>
      </c>
      <c r="M34" s="2">
        <v>4.3600000000000003</v>
      </c>
      <c r="N34" s="4">
        <v>3718.2</v>
      </c>
      <c r="O34" s="1">
        <v>17.9823377096413</v>
      </c>
      <c r="P34" s="6">
        <v>28.9</v>
      </c>
      <c r="Q34" s="6">
        <v>18.8</v>
      </c>
      <c r="R34" s="6">
        <v>5.3</v>
      </c>
      <c r="S34" s="6">
        <v>8.3000000000000007</v>
      </c>
      <c r="T34" s="5">
        <v>1.6999999999999999E-3</v>
      </c>
      <c r="U34" s="1">
        <v>3.7600000000000001E-2</v>
      </c>
      <c r="V34" s="1">
        <v>4.9885999999999999</v>
      </c>
    </row>
    <row r="35" spans="1:22" x14ac:dyDescent="0.25">
      <c r="A35" s="1">
        <v>0.97389999999999999</v>
      </c>
      <c r="B35" s="9" t="s">
        <v>3488</v>
      </c>
      <c r="C35" s="2">
        <v>2865</v>
      </c>
      <c r="D35" s="3" t="s">
        <v>30</v>
      </c>
      <c r="E35" s="9" t="s">
        <v>3143</v>
      </c>
      <c r="F35" s="9" t="s">
        <v>3144</v>
      </c>
      <c r="G35" s="1">
        <v>1376.6581000000001</v>
      </c>
      <c r="H35" s="2">
        <v>372</v>
      </c>
      <c r="I35" s="2">
        <v>3</v>
      </c>
      <c r="J35" s="1">
        <v>1376.6652999999999</v>
      </c>
      <c r="K35" s="1">
        <v>459.89330000000001</v>
      </c>
      <c r="L35" s="9" t="s">
        <v>3145</v>
      </c>
      <c r="M35" s="2">
        <v>6.04</v>
      </c>
      <c r="N35" s="4">
        <v>3778.5</v>
      </c>
      <c r="O35" s="1">
        <v>5.2186017930680872</v>
      </c>
      <c r="P35" s="6">
        <v>27</v>
      </c>
      <c r="Q35" s="6">
        <v>21.8</v>
      </c>
      <c r="R35" s="6">
        <v>12.4</v>
      </c>
      <c r="S35" s="6">
        <v>10.3</v>
      </c>
      <c r="T35" s="5">
        <v>2.7E-2</v>
      </c>
      <c r="U35" s="1">
        <v>7.1999999999999998E-3</v>
      </c>
      <c r="V35" s="1">
        <v>3.7023999999999999</v>
      </c>
    </row>
    <row r="36" spans="1:22" x14ac:dyDescent="0.25">
      <c r="A36" s="1">
        <v>0.98899999999999999</v>
      </c>
      <c r="B36" s="9" t="s">
        <v>3489</v>
      </c>
      <c r="C36" s="2">
        <v>3006</v>
      </c>
      <c r="D36" s="3" t="s">
        <v>141</v>
      </c>
      <c r="E36" s="9" t="s">
        <v>761</v>
      </c>
      <c r="F36" s="9" t="s">
        <v>762</v>
      </c>
      <c r="G36" s="1">
        <v>1235.6948</v>
      </c>
      <c r="H36" s="2">
        <v>796</v>
      </c>
      <c r="I36" s="2">
        <v>2</v>
      </c>
      <c r="J36" s="1">
        <v>1235.6865</v>
      </c>
      <c r="K36" s="1">
        <v>618.85469999999998</v>
      </c>
      <c r="L36" s="9" t="s">
        <v>763</v>
      </c>
      <c r="M36" s="2">
        <v>8.56</v>
      </c>
      <c r="N36" s="4">
        <v>4017.86</v>
      </c>
      <c r="O36" s="1">
        <v>-6.7059359814185786</v>
      </c>
      <c r="P36" s="6">
        <v>48.6</v>
      </c>
      <c r="Q36" s="6">
        <v>32.9</v>
      </c>
      <c r="R36" s="6">
        <v>12</v>
      </c>
      <c r="S36" s="6">
        <v>10.8</v>
      </c>
      <c r="T36" s="5">
        <v>1.6999999999999999E-3</v>
      </c>
      <c r="U36" s="1">
        <v>-8.3000000000000001E-3</v>
      </c>
      <c r="V36" s="1">
        <v>5.0349000000000004</v>
      </c>
    </row>
    <row r="37" spans="1:22" x14ac:dyDescent="0.25">
      <c r="A37" s="1">
        <v>0.97799999999999998</v>
      </c>
      <c r="B37" s="9" t="s">
        <v>3490</v>
      </c>
      <c r="C37" s="2">
        <v>3087</v>
      </c>
      <c r="D37" s="3" t="s">
        <v>311</v>
      </c>
      <c r="E37" s="9" t="s">
        <v>111</v>
      </c>
      <c r="F37" s="9" t="s">
        <v>112</v>
      </c>
      <c r="G37" s="1">
        <v>1460.6751999999999</v>
      </c>
      <c r="H37" s="2">
        <v>378</v>
      </c>
      <c r="I37" s="2">
        <v>2</v>
      </c>
      <c r="J37" s="1">
        <v>1460.6775</v>
      </c>
      <c r="K37" s="1">
        <v>731.34490000000005</v>
      </c>
      <c r="L37" s="9" t="s">
        <v>113</v>
      </c>
      <c r="M37" s="2">
        <v>6.13</v>
      </c>
      <c r="N37" s="4">
        <v>4152.71</v>
      </c>
      <c r="O37" s="1">
        <v>1.5724455041663652</v>
      </c>
      <c r="P37" s="6">
        <v>37.5</v>
      </c>
      <c r="Q37" s="6">
        <v>25.1</v>
      </c>
      <c r="R37" s="6">
        <v>13.7</v>
      </c>
      <c r="S37" s="6">
        <v>12.5</v>
      </c>
      <c r="T37" s="5">
        <v>0.01</v>
      </c>
      <c r="U37" s="1">
        <v>2.3E-3</v>
      </c>
      <c r="V37" s="1">
        <v>4.0542999999999996</v>
      </c>
    </row>
    <row r="38" spans="1:22" x14ac:dyDescent="0.25">
      <c r="A38" s="1">
        <v>0.98829999999999996</v>
      </c>
      <c r="B38" s="9" t="s">
        <v>3491</v>
      </c>
      <c r="C38" s="2">
        <v>3106</v>
      </c>
      <c r="D38" s="3" t="s">
        <v>250</v>
      </c>
      <c r="E38" s="9" t="s">
        <v>765</v>
      </c>
      <c r="F38" s="9" t="s">
        <v>766</v>
      </c>
      <c r="G38" s="1">
        <v>1195.5654999999999</v>
      </c>
      <c r="H38" s="2">
        <v>380</v>
      </c>
      <c r="I38" s="2">
        <v>2</v>
      </c>
      <c r="J38" s="1">
        <v>1195.5591999999999</v>
      </c>
      <c r="K38" s="1">
        <v>598.79</v>
      </c>
      <c r="L38" s="9" t="s">
        <v>767</v>
      </c>
      <c r="M38" s="2">
        <v>5.55</v>
      </c>
      <c r="N38" s="4">
        <v>4189.76</v>
      </c>
      <c r="O38" s="1">
        <v>-5.2606088946041183</v>
      </c>
      <c r="P38" s="6">
        <v>30.3</v>
      </c>
      <c r="Q38" s="6">
        <v>22.3</v>
      </c>
      <c r="R38" s="6">
        <v>9.4</v>
      </c>
      <c r="S38" s="6">
        <v>12</v>
      </c>
      <c r="T38" s="5">
        <v>5.0000000000000001E-3</v>
      </c>
      <c r="U38" s="1">
        <v>-6.3E-3</v>
      </c>
      <c r="V38" s="1">
        <v>4.6338999999999997</v>
      </c>
    </row>
    <row r="39" spans="1:22" x14ac:dyDescent="0.25">
      <c r="A39" s="1">
        <v>0.99160000000000004</v>
      </c>
      <c r="B39" s="9" t="s">
        <v>3492</v>
      </c>
      <c r="C39" s="2">
        <v>3128</v>
      </c>
      <c r="D39" s="3" t="s">
        <v>3493</v>
      </c>
      <c r="E39" s="9" t="s">
        <v>1217</v>
      </c>
      <c r="F39" s="9" t="s">
        <v>508</v>
      </c>
      <c r="G39" s="1">
        <v>2142.1397000000002</v>
      </c>
      <c r="H39" s="2">
        <v>533</v>
      </c>
      <c r="I39" s="2">
        <v>4</v>
      </c>
      <c r="J39" s="1">
        <v>2142.1858999999999</v>
      </c>
      <c r="K39" s="1">
        <v>536.54219999999998</v>
      </c>
      <c r="L39" s="9" t="s">
        <v>509</v>
      </c>
      <c r="M39" s="2">
        <v>8.43</v>
      </c>
      <c r="N39" s="4">
        <v>4229.0600000000004</v>
      </c>
      <c r="O39" s="1">
        <v>21.526731727718715</v>
      </c>
      <c r="P39" s="6">
        <v>34</v>
      </c>
      <c r="Q39" s="6">
        <v>23.9</v>
      </c>
      <c r="R39" s="6">
        <v>11.9</v>
      </c>
      <c r="S39" s="6">
        <v>13.3</v>
      </c>
      <c r="T39" s="5">
        <v>2.0999999999999999E-3</v>
      </c>
      <c r="U39" s="1">
        <v>4.6199999999999998E-2</v>
      </c>
      <c r="V39" s="1">
        <v>4.6318000000000001</v>
      </c>
    </row>
    <row r="40" spans="1:22" x14ac:dyDescent="0.25">
      <c r="A40" s="1">
        <v>0.97719999999999996</v>
      </c>
      <c r="B40" s="9" t="s">
        <v>3494</v>
      </c>
      <c r="C40" s="2">
        <v>3168</v>
      </c>
      <c r="D40" s="3" t="s">
        <v>15</v>
      </c>
      <c r="E40" s="9" t="s">
        <v>3157</v>
      </c>
      <c r="F40" s="9" t="s">
        <v>1585</v>
      </c>
      <c r="G40" s="1">
        <v>1644.9177</v>
      </c>
      <c r="H40" s="2">
        <v>881</v>
      </c>
      <c r="I40" s="2">
        <v>3</v>
      </c>
      <c r="J40" s="1">
        <v>1644.9286999999999</v>
      </c>
      <c r="K40" s="1">
        <v>549.31320000000005</v>
      </c>
      <c r="L40" s="9" t="s">
        <v>1586</v>
      </c>
      <c r="M40" s="2">
        <v>10.3</v>
      </c>
      <c r="N40" s="4">
        <v>4298.3100000000004</v>
      </c>
      <c r="O40" s="1">
        <v>6.6750019236141904</v>
      </c>
      <c r="P40" s="6">
        <v>28.6</v>
      </c>
      <c r="Q40" s="6">
        <v>20.5</v>
      </c>
      <c r="R40" s="6">
        <v>10.199999999999999</v>
      </c>
      <c r="S40" s="6">
        <v>10.6</v>
      </c>
      <c r="T40" s="5">
        <v>1.7000000000000001E-2</v>
      </c>
      <c r="U40" s="1">
        <v>1.0999999999999999E-2</v>
      </c>
      <c r="V40" s="1">
        <v>4.0312000000000001</v>
      </c>
    </row>
    <row r="41" spans="1:22" x14ac:dyDescent="0.25">
      <c r="A41" s="1">
        <v>0.98499999999999999</v>
      </c>
      <c r="B41" s="9" t="s">
        <v>3495</v>
      </c>
      <c r="C41" s="2">
        <v>3177</v>
      </c>
      <c r="D41" s="3" t="s">
        <v>100</v>
      </c>
      <c r="E41" s="9" t="s">
        <v>780</v>
      </c>
      <c r="F41" s="9" t="s">
        <v>781</v>
      </c>
      <c r="G41" s="1">
        <v>1347.7186999999999</v>
      </c>
      <c r="H41" s="2">
        <v>534</v>
      </c>
      <c r="I41" s="2">
        <v>3</v>
      </c>
      <c r="J41" s="1">
        <v>1347.7462</v>
      </c>
      <c r="K41" s="1">
        <v>450.24680000000001</v>
      </c>
      <c r="L41" s="9" t="s">
        <v>782</v>
      </c>
      <c r="M41" s="2">
        <v>6.81</v>
      </c>
      <c r="N41" s="4">
        <v>4309.1099999999997</v>
      </c>
      <c r="O41" s="1">
        <v>20.359204477781223</v>
      </c>
      <c r="P41" s="6">
        <v>31.6</v>
      </c>
      <c r="Q41" s="6">
        <v>27</v>
      </c>
      <c r="R41" s="6">
        <v>10.8</v>
      </c>
      <c r="S41" s="6">
        <v>9.6999999999999993</v>
      </c>
      <c r="T41" s="5">
        <v>3.2000000000000001E-2</v>
      </c>
      <c r="U41" s="1">
        <v>2.75E-2</v>
      </c>
      <c r="V41" s="1">
        <v>3.1534</v>
      </c>
    </row>
    <row r="42" spans="1:22" x14ac:dyDescent="0.25">
      <c r="A42" s="1">
        <v>0.99170000000000003</v>
      </c>
      <c r="B42" s="9" t="s">
        <v>3496</v>
      </c>
      <c r="C42" s="2">
        <v>3202</v>
      </c>
      <c r="D42" s="3" t="s">
        <v>621</v>
      </c>
      <c r="E42" s="9" t="s">
        <v>3161</v>
      </c>
      <c r="F42" s="9" t="s">
        <v>3162</v>
      </c>
      <c r="G42" s="1">
        <v>1202.5967000000001</v>
      </c>
      <c r="H42" s="2">
        <v>535</v>
      </c>
      <c r="I42" s="2">
        <v>2</v>
      </c>
      <c r="J42" s="1">
        <v>1202.5773999999999</v>
      </c>
      <c r="K42" s="1">
        <v>602.30560000000003</v>
      </c>
      <c r="L42" s="9" t="s">
        <v>3163</v>
      </c>
      <c r="M42" s="2">
        <v>6.22</v>
      </c>
      <c r="N42" s="4">
        <v>4344.66</v>
      </c>
      <c r="O42" s="1">
        <v>-16.021767023251986</v>
      </c>
      <c r="P42" s="6">
        <v>35.799999999999997</v>
      </c>
      <c r="Q42" s="6">
        <v>25.2</v>
      </c>
      <c r="R42" s="6">
        <v>11.1</v>
      </c>
      <c r="S42" s="6">
        <v>10</v>
      </c>
      <c r="T42" s="5">
        <v>2.5999999999999999E-3</v>
      </c>
      <c r="U42" s="1">
        <v>-1.9300000000000001E-2</v>
      </c>
      <c r="V42" s="1">
        <v>4.9097</v>
      </c>
    </row>
    <row r="43" spans="1:22" x14ac:dyDescent="0.25">
      <c r="A43" s="1">
        <v>0.99980000000000002</v>
      </c>
      <c r="B43" s="9" t="s">
        <v>3497</v>
      </c>
      <c r="C43" s="2">
        <v>3335</v>
      </c>
      <c r="D43" s="3" t="s">
        <v>1768</v>
      </c>
      <c r="E43" s="9" t="s">
        <v>3167</v>
      </c>
      <c r="F43" s="9" t="s">
        <v>3168</v>
      </c>
      <c r="G43" s="1">
        <v>1909.9027000000001</v>
      </c>
      <c r="H43" s="2">
        <v>204</v>
      </c>
      <c r="I43" s="2">
        <v>2</v>
      </c>
      <c r="J43" s="1">
        <v>1909.9137000000001</v>
      </c>
      <c r="K43" s="1">
        <v>955.95860000000005</v>
      </c>
      <c r="L43" s="9" t="s">
        <v>3169</v>
      </c>
      <c r="M43" s="2">
        <v>8.18</v>
      </c>
      <c r="N43" s="4">
        <v>4560.82</v>
      </c>
      <c r="O43" s="1">
        <v>5.7533872282753658</v>
      </c>
      <c r="P43" s="6">
        <v>50.1</v>
      </c>
      <c r="Q43" s="6">
        <v>25.5</v>
      </c>
      <c r="R43" s="6">
        <v>11.5</v>
      </c>
      <c r="S43" s="6">
        <v>11</v>
      </c>
      <c r="T43" s="5">
        <v>5.8000000000000003E-8</v>
      </c>
      <c r="U43" s="1">
        <v>1.0999999999999999E-2</v>
      </c>
      <c r="V43" s="1">
        <v>9.0291999999999994</v>
      </c>
    </row>
    <row r="44" spans="1:22" x14ac:dyDescent="0.25">
      <c r="A44" s="1">
        <v>0.96689999999999998</v>
      </c>
      <c r="B44" s="9" t="s">
        <v>3498</v>
      </c>
      <c r="C44" s="2">
        <v>3337</v>
      </c>
      <c r="D44" s="3" t="s">
        <v>250</v>
      </c>
      <c r="E44" s="9" t="s">
        <v>3499</v>
      </c>
      <c r="F44" s="9" t="s">
        <v>3500</v>
      </c>
      <c r="G44" s="1">
        <v>999.56769999999995</v>
      </c>
      <c r="H44" s="2">
        <v>88</v>
      </c>
      <c r="I44" s="2">
        <v>2</v>
      </c>
      <c r="J44" s="1">
        <v>999.60080000000005</v>
      </c>
      <c r="K44" s="1">
        <v>500.79109999999997</v>
      </c>
      <c r="L44" s="9" t="s">
        <v>3501</v>
      </c>
      <c r="M44" s="2">
        <v>5.24</v>
      </c>
      <c r="N44" s="4">
        <v>4558.67</v>
      </c>
      <c r="O44" s="1">
        <v>33.047711910215661</v>
      </c>
      <c r="P44" s="6">
        <v>28.7</v>
      </c>
      <c r="Q44" s="6">
        <v>24</v>
      </c>
      <c r="R44" s="6">
        <v>9.8000000000000007</v>
      </c>
      <c r="S44" s="6">
        <v>11</v>
      </c>
      <c r="T44" s="5">
        <v>8.3999999999999995E-3</v>
      </c>
      <c r="U44" s="1">
        <v>3.3099999999999997E-2</v>
      </c>
      <c r="V44" s="1">
        <v>3.8224999999999998</v>
      </c>
    </row>
    <row r="45" spans="1:22" x14ac:dyDescent="0.25">
      <c r="A45" s="1">
        <v>0.98450000000000004</v>
      </c>
      <c r="B45" s="9" t="s">
        <v>3502</v>
      </c>
      <c r="C45" s="2">
        <v>3421</v>
      </c>
      <c r="D45" s="3" t="s">
        <v>3503</v>
      </c>
      <c r="E45" s="9" t="s">
        <v>169</v>
      </c>
      <c r="F45" s="9" t="s">
        <v>170</v>
      </c>
      <c r="G45" s="1">
        <v>1967.8857</v>
      </c>
      <c r="H45" s="2">
        <v>883</v>
      </c>
      <c r="I45" s="2">
        <v>3</v>
      </c>
      <c r="J45" s="1">
        <v>1967.9271000000001</v>
      </c>
      <c r="K45" s="1">
        <v>656.9692</v>
      </c>
      <c r="L45" s="9" t="s">
        <v>64</v>
      </c>
      <c r="M45" s="2">
        <v>4.3099999999999996</v>
      </c>
      <c r="N45" s="4">
        <v>4688.97</v>
      </c>
      <c r="O45" s="1">
        <v>21.005550945158461</v>
      </c>
      <c r="P45" s="6">
        <v>30.1</v>
      </c>
      <c r="Q45" s="6">
        <v>22.3</v>
      </c>
      <c r="R45" s="6">
        <v>12.8</v>
      </c>
      <c r="S45" s="6">
        <v>10</v>
      </c>
      <c r="T45" s="5">
        <v>8.9999999999999993E-3</v>
      </c>
      <c r="U45" s="1">
        <v>4.1399999999999999E-2</v>
      </c>
      <c r="V45" s="1">
        <v>3.6421000000000001</v>
      </c>
    </row>
    <row r="46" spans="1:22" x14ac:dyDescent="0.25">
      <c r="A46" s="1">
        <v>0.99819999999999998</v>
      </c>
      <c r="B46" s="9" t="s">
        <v>3504</v>
      </c>
      <c r="C46" s="2">
        <v>3437</v>
      </c>
      <c r="D46" s="3" t="s">
        <v>1246</v>
      </c>
      <c r="E46" s="9" t="s">
        <v>2013</v>
      </c>
      <c r="F46" s="9" t="s">
        <v>860</v>
      </c>
      <c r="G46" s="1">
        <v>2047.0657000000001</v>
      </c>
      <c r="H46" s="2">
        <v>884</v>
      </c>
      <c r="I46" s="2">
        <v>3</v>
      </c>
      <c r="J46" s="1">
        <v>2047.0952</v>
      </c>
      <c r="K46" s="1">
        <v>683.36249999999995</v>
      </c>
      <c r="L46" s="9" t="s">
        <v>673</v>
      </c>
      <c r="M46" s="2">
        <v>6.24</v>
      </c>
      <c r="N46" s="4">
        <v>4718.62</v>
      </c>
      <c r="O46" s="1">
        <v>14.389629710926974</v>
      </c>
      <c r="P46" s="6">
        <v>35.4</v>
      </c>
      <c r="Q46" s="6">
        <v>21.9</v>
      </c>
      <c r="R46" s="6">
        <v>10.5</v>
      </c>
      <c r="S46" s="6">
        <v>11.2</v>
      </c>
      <c r="T46" s="5">
        <v>2.5000000000000001E-4</v>
      </c>
      <c r="U46" s="1">
        <v>2.9499999999999998E-2</v>
      </c>
      <c r="V46" s="1">
        <v>6.0731000000000002</v>
      </c>
    </row>
    <row r="47" spans="1:22" x14ac:dyDescent="0.25">
      <c r="A47" s="1">
        <v>0.99770000000000003</v>
      </c>
      <c r="B47" s="9" t="s">
        <v>3505</v>
      </c>
      <c r="C47" s="2">
        <v>3457</v>
      </c>
      <c r="D47" s="3" t="s">
        <v>1246</v>
      </c>
      <c r="E47" s="9" t="s">
        <v>2013</v>
      </c>
      <c r="F47" s="9" t="s">
        <v>860</v>
      </c>
      <c r="G47" s="1">
        <v>2047.0657000000001</v>
      </c>
      <c r="H47" s="2">
        <v>91</v>
      </c>
      <c r="I47" s="2">
        <v>3</v>
      </c>
      <c r="J47" s="1">
        <v>2047.0826999999999</v>
      </c>
      <c r="K47" s="1">
        <v>683.36249999999995</v>
      </c>
      <c r="L47" s="9" t="s">
        <v>673</v>
      </c>
      <c r="M47" s="2">
        <v>6.24</v>
      </c>
      <c r="N47" s="4">
        <v>4748.67</v>
      </c>
      <c r="O47" s="1">
        <v>8.2923289859579175</v>
      </c>
      <c r="P47" s="6">
        <v>37</v>
      </c>
      <c r="Q47" s="6">
        <v>22.7</v>
      </c>
      <c r="R47" s="6">
        <v>10.9</v>
      </c>
      <c r="S47" s="6">
        <v>11.4</v>
      </c>
      <c r="T47" s="5">
        <v>2.9999999999999997E-4</v>
      </c>
      <c r="U47" s="1">
        <v>1.7000000000000001E-2</v>
      </c>
      <c r="V47" s="1">
        <v>6.0095000000000001</v>
      </c>
    </row>
    <row r="48" spans="1:22" x14ac:dyDescent="0.25">
      <c r="A48" s="1">
        <v>0.99580000000000002</v>
      </c>
      <c r="B48" s="9" t="s">
        <v>3506</v>
      </c>
      <c r="C48" s="2">
        <v>3471</v>
      </c>
      <c r="D48" s="3" t="s">
        <v>260</v>
      </c>
      <c r="E48" s="9" t="s">
        <v>155</v>
      </c>
      <c r="F48" s="9" t="s">
        <v>156</v>
      </c>
      <c r="G48" s="1">
        <v>1064.5291</v>
      </c>
      <c r="H48" s="2">
        <v>1426</v>
      </c>
      <c r="I48" s="2">
        <v>2</v>
      </c>
      <c r="J48" s="1">
        <v>1064.5372</v>
      </c>
      <c r="K48" s="1">
        <v>533.27179999999998</v>
      </c>
      <c r="L48" s="9" t="s">
        <v>157</v>
      </c>
      <c r="M48" s="2">
        <v>6.46</v>
      </c>
      <c r="N48" s="4">
        <v>4774.37</v>
      </c>
      <c r="O48" s="1">
        <v>7.5946262300012863</v>
      </c>
      <c r="P48" s="6">
        <v>30.9</v>
      </c>
      <c r="Q48" s="6">
        <v>22.6</v>
      </c>
      <c r="R48" s="6">
        <v>10.8</v>
      </c>
      <c r="S48" s="6">
        <v>8.1999999999999993</v>
      </c>
      <c r="T48" s="5">
        <v>1.2999999999999999E-2</v>
      </c>
      <c r="U48" s="1">
        <v>8.0999999999999996E-3</v>
      </c>
      <c r="V48" s="1">
        <v>4.1486999999999998</v>
      </c>
    </row>
    <row r="49" spans="1:22" x14ac:dyDescent="0.25">
      <c r="A49" s="1">
        <v>0.98280000000000001</v>
      </c>
      <c r="B49" s="9" t="s">
        <v>3507</v>
      </c>
      <c r="C49" s="2">
        <v>3476</v>
      </c>
      <c r="D49" s="3" t="s">
        <v>980</v>
      </c>
      <c r="E49" s="9" t="s">
        <v>2015</v>
      </c>
      <c r="F49" s="9" t="s">
        <v>2016</v>
      </c>
      <c r="G49" s="1">
        <v>2018.9962</v>
      </c>
      <c r="H49" s="2">
        <v>544</v>
      </c>
      <c r="I49" s="2">
        <v>3</v>
      </c>
      <c r="J49" s="1">
        <v>2018.9987000000001</v>
      </c>
      <c r="K49" s="1">
        <v>674.00599999999997</v>
      </c>
      <c r="L49" s="9" t="s">
        <v>2017</v>
      </c>
      <c r="M49" s="2">
        <v>5.36</v>
      </c>
      <c r="N49" s="4">
        <v>4779.62</v>
      </c>
      <c r="O49" s="1">
        <v>1.236388597925439</v>
      </c>
      <c r="P49" s="6">
        <v>36.6</v>
      </c>
      <c r="Q49" s="6">
        <v>26.4</v>
      </c>
      <c r="R49" s="6">
        <v>12.3</v>
      </c>
      <c r="S49" s="6">
        <v>13.3</v>
      </c>
      <c r="T49" s="5">
        <v>2.3E-2</v>
      </c>
      <c r="U49" s="1">
        <v>2.5000000000000001E-3</v>
      </c>
      <c r="V49" s="1">
        <v>3.4796</v>
      </c>
    </row>
    <row r="50" spans="1:22" x14ac:dyDescent="0.25">
      <c r="A50" s="1">
        <v>1</v>
      </c>
      <c r="B50" s="9" t="s">
        <v>3508</v>
      </c>
      <c r="C50" s="2">
        <v>3542</v>
      </c>
      <c r="D50" s="3" t="s">
        <v>3292</v>
      </c>
      <c r="E50" s="9" t="s">
        <v>3199</v>
      </c>
      <c r="F50" s="9" t="s">
        <v>3200</v>
      </c>
      <c r="G50" s="1">
        <v>3067.6876999999999</v>
      </c>
      <c r="H50" s="2">
        <v>1040</v>
      </c>
      <c r="I50" s="2">
        <v>4</v>
      </c>
      <c r="J50" s="1">
        <v>3067.7276000000002</v>
      </c>
      <c r="K50" s="1">
        <v>767.92920000000004</v>
      </c>
      <c r="L50" s="9" t="s">
        <v>3195</v>
      </c>
      <c r="M50" s="2">
        <v>6.39</v>
      </c>
      <c r="N50" s="4">
        <v>4896.43</v>
      </c>
      <c r="O50" s="1">
        <v>12.989478717569275</v>
      </c>
      <c r="P50" s="6">
        <v>60.8</v>
      </c>
      <c r="Q50" s="6">
        <v>32</v>
      </c>
      <c r="R50" s="6">
        <v>11.3</v>
      </c>
      <c r="S50" s="6">
        <v>12.1</v>
      </c>
      <c r="T50" s="5">
        <v>2.3000000000000001E-8</v>
      </c>
      <c r="U50" s="1">
        <v>3.9899999999999998E-2</v>
      </c>
      <c r="V50" s="1">
        <v>8.9564000000000004</v>
      </c>
    </row>
    <row r="51" spans="1:22" x14ac:dyDescent="0.25">
      <c r="A51" s="1">
        <v>0.98829999999999996</v>
      </c>
      <c r="B51" s="9" t="s">
        <v>3509</v>
      </c>
      <c r="C51" s="2">
        <v>3550</v>
      </c>
      <c r="D51" s="3" t="s">
        <v>3202</v>
      </c>
      <c r="E51" s="9" t="s">
        <v>3203</v>
      </c>
      <c r="F51" s="9" t="s">
        <v>3194</v>
      </c>
      <c r="G51" s="1">
        <v>2541.3766999999998</v>
      </c>
      <c r="H51" s="2">
        <v>93</v>
      </c>
      <c r="I51" s="2">
        <v>4</v>
      </c>
      <c r="J51" s="1">
        <v>2541.4016000000001</v>
      </c>
      <c r="K51" s="1">
        <v>636.35149999999999</v>
      </c>
      <c r="L51" s="9" t="s">
        <v>3195</v>
      </c>
      <c r="M51" s="2">
        <v>6.35</v>
      </c>
      <c r="N51" s="4">
        <v>4911.28</v>
      </c>
      <c r="O51" s="1">
        <v>9.7823294201396553</v>
      </c>
      <c r="P51" s="6">
        <v>38.4</v>
      </c>
      <c r="Q51" s="6">
        <v>28.1</v>
      </c>
      <c r="R51" s="6">
        <v>11.4</v>
      </c>
      <c r="S51" s="6">
        <v>10.3</v>
      </c>
      <c r="T51" s="5">
        <v>1.1000000000000001E-3</v>
      </c>
      <c r="U51" s="1">
        <v>2.4899999999999999E-2</v>
      </c>
      <c r="V51" s="1">
        <v>4.2485999999999997</v>
      </c>
    </row>
    <row r="52" spans="1:22" x14ac:dyDescent="0.25">
      <c r="A52" s="1">
        <v>0.99980000000000002</v>
      </c>
      <c r="B52" s="9" t="s">
        <v>3510</v>
      </c>
      <c r="C52" s="2">
        <v>3559</v>
      </c>
      <c r="D52" s="3" t="s">
        <v>3511</v>
      </c>
      <c r="E52" s="9" t="s">
        <v>3199</v>
      </c>
      <c r="F52" s="9" t="s">
        <v>3200</v>
      </c>
      <c r="G52" s="1">
        <v>3067.6878999999999</v>
      </c>
      <c r="H52" s="2">
        <v>1722</v>
      </c>
      <c r="I52" s="2">
        <v>4</v>
      </c>
      <c r="J52" s="1">
        <v>3067.6867999999999</v>
      </c>
      <c r="K52" s="1">
        <v>767.92930000000001</v>
      </c>
      <c r="L52" s="9" t="s">
        <v>3195</v>
      </c>
      <c r="M52" s="2">
        <v>6.39</v>
      </c>
      <c r="N52" s="4">
        <v>4927.28</v>
      </c>
      <c r="O52" s="1">
        <v>-0.35810588292437862</v>
      </c>
      <c r="P52" s="6">
        <v>44.4</v>
      </c>
      <c r="Q52" s="6">
        <v>28.1</v>
      </c>
      <c r="R52" s="6">
        <v>10.7</v>
      </c>
      <c r="S52" s="6">
        <v>11.9</v>
      </c>
      <c r="T52" s="5">
        <v>2.4000000000000001E-4</v>
      </c>
      <c r="U52" s="1">
        <v>-1.1000000000000001E-3</v>
      </c>
      <c r="V52" s="1">
        <v>4.9092000000000002</v>
      </c>
    </row>
    <row r="53" spans="1:22" x14ac:dyDescent="0.25">
      <c r="A53" s="1">
        <v>0.99929999999999997</v>
      </c>
      <c r="B53" s="9" t="s">
        <v>3512</v>
      </c>
      <c r="C53" s="2">
        <v>3573</v>
      </c>
      <c r="D53" s="3" t="s">
        <v>1419</v>
      </c>
      <c r="E53" s="9" t="s">
        <v>175</v>
      </c>
      <c r="F53" s="9" t="s">
        <v>176</v>
      </c>
      <c r="G53" s="1">
        <v>1740.8287</v>
      </c>
      <c r="H53" s="2">
        <v>552</v>
      </c>
      <c r="I53" s="2">
        <v>2</v>
      </c>
      <c r="J53" s="1">
        <v>1740.8421000000001</v>
      </c>
      <c r="K53" s="1">
        <v>871.42160000000001</v>
      </c>
      <c r="L53" s="9" t="s">
        <v>118</v>
      </c>
      <c r="M53" s="2">
        <v>6.73</v>
      </c>
      <c r="N53" s="4">
        <v>4948.53</v>
      </c>
      <c r="O53" s="1">
        <v>7.6885860988527259</v>
      </c>
      <c r="P53" s="6">
        <v>53.1</v>
      </c>
      <c r="Q53" s="6">
        <v>27.1</v>
      </c>
      <c r="R53" s="6">
        <v>12</v>
      </c>
      <c r="S53" s="6">
        <v>10</v>
      </c>
      <c r="T53" s="5">
        <v>1.6000000000000001E-8</v>
      </c>
      <c r="U53" s="1">
        <v>1.34E-2</v>
      </c>
      <c r="V53" s="1">
        <v>9.5388000000000002</v>
      </c>
    </row>
    <row r="54" spans="1:22" x14ac:dyDescent="0.25">
      <c r="A54" s="1">
        <v>0.99619999999999997</v>
      </c>
      <c r="B54" s="9" t="s">
        <v>3513</v>
      </c>
      <c r="C54" s="2">
        <v>3691</v>
      </c>
      <c r="D54" s="3" t="s">
        <v>2220</v>
      </c>
      <c r="E54" s="9" t="s">
        <v>194</v>
      </c>
      <c r="F54" s="9" t="s">
        <v>1262</v>
      </c>
      <c r="G54" s="1">
        <v>1531.8643</v>
      </c>
      <c r="H54" s="2">
        <v>1042</v>
      </c>
      <c r="I54" s="2">
        <v>2</v>
      </c>
      <c r="J54" s="1">
        <v>1531.8603000000001</v>
      </c>
      <c r="K54" s="1">
        <v>766.93939999999998</v>
      </c>
      <c r="L54" s="9" t="s">
        <v>1263</v>
      </c>
      <c r="M54" s="2">
        <v>10</v>
      </c>
      <c r="N54" s="4">
        <v>5139.7299999999996</v>
      </c>
      <c r="O54" s="1">
        <v>-2.6077679670649339</v>
      </c>
      <c r="P54" s="6">
        <v>60.1</v>
      </c>
      <c r="Q54" s="6">
        <v>37.9</v>
      </c>
      <c r="R54" s="6">
        <v>10.9</v>
      </c>
      <c r="S54" s="6">
        <v>9.9</v>
      </c>
      <c r="T54" s="5">
        <v>1.2999999999999999E-4</v>
      </c>
      <c r="U54" s="1">
        <v>-4.0000000000000001E-3</v>
      </c>
      <c r="V54" s="1">
        <v>5.8059000000000003</v>
      </c>
    </row>
    <row r="55" spans="1:22" x14ac:dyDescent="0.25">
      <c r="A55" s="1">
        <v>0.99950000000000006</v>
      </c>
      <c r="B55" s="9" t="s">
        <v>3514</v>
      </c>
      <c r="C55" s="2">
        <v>3801</v>
      </c>
      <c r="D55" s="3" t="s">
        <v>125</v>
      </c>
      <c r="E55" s="9" t="s">
        <v>832</v>
      </c>
      <c r="F55" s="9" t="s">
        <v>455</v>
      </c>
      <c r="G55" s="1">
        <v>1699.0037</v>
      </c>
      <c r="H55" s="2">
        <v>886</v>
      </c>
      <c r="I55" s="2">
        <v>3</v>
      </c>
      <c r="J55" s="1">
        <v>1699.0136</v>
      </c>
      <c r="K55" s="1">
        <v>567.34180000000003</v>
      </c>
      <c r="L55" s="9" t="s">
        <v>456</v>
      </c>
      <c r="M55" s="2">
        <v>8.56</v>
      </c>
      <c r="N55" s="4">
        <v>5325.19</v>
      </c>
      <c r="O55" s="1">
        <v>5.816599446753262</v>
      </c>
      <c r="P55" s="6">
        <v>45.4</v>
      </c>
      <c r="Q55" s="6">
        <v>33.799999999999997</v>
      </c>
      <c r="R55" s="6">
        <v>9.6</v>
      </c>
      <c r="S55" s="6">
        <v>13.7</v>
      </c>
      <c r="T55" s="5">
        <v>2.7999999999999998E-4</v>
      </c>
      <c r="U55" s="1">
        <v>9.9000000000000008E-3</v>
      </c>
      <c r="V55" s="1">
        <v>5.5678999999999998</v>
      </c>
    </row>
    <row r="56" spans="1:22" x14ac:dyDescent="0.25">
      <c r="A56" s="1">
        <v>0.95860000000000001</v>
      </c>
      <c r="B56" s="9" t="s">
        <v>3515</v>
      </c>
      <c r="C56" s="2">
        <v>3826</v>
      </c>
      <c r="D56" s="3" t="s">
        <v>95</v>
      </c>
      <c r="E56" s="9" t="s">
        <v>825</v>
      </c>
      <c r="F56" s="9" t="s">
        <v>826</v>
      </c>
      <c r="G56" s="1">
        <v>1243.6116999999999</v>
      </c>
      <c r="H56" s="2">
        <v>1731</v>
      </c>
      <c r="I56" s="2">
        <v>2</v>
      </c>
      <c r="J56" s="1">
        <v>1243.6229000000001</v>
      </c>
      <c r="K56" s="1">
        <v>622.81309999999996</v>
      </c>
      <c r="L56" s="9" t="s">
        <v>827</v>
      </c>
      <c r="M56" s="2">
        <v>4.75</v>
      </c>
      <c r="N56" s="4">
        <v>5366.59</v>
      </c>
      <c r="O56" s="1">
        <v>8.9914614833888376</v>
      </c>
      <c r="P56" s="6">
        <v>30.5</v>
      </c>
      <c r="Q56" s="6">
        <v>22.9</v>
      </c>
      <c r="R56" s="6">
        <v>11.1</v>
      </c>
      <c r="S56" s="6">
        <v>11.6</v>
      </c>
      <c r="T56" s="5">
        <v>2.8E-3</v>
      </c>
      <c r="U56" s="1">
        <v>1.12E-2</v>
      </c>
      <c r="V56" s="1">
        <v>4.4378000000000002</v>
      </c>
    </row>
    <row r="57" spans="1:22" x14ac:dyDescent="0.25">
      <c r="A57" s="1">
        <v>0.99629999999999996</v>
      </c>
      <c r="B57" s="9" t="s">
        <v>3516</v>
      </c>
      <c r="C57" s="2">
        <v>3862</v>
      </c>
      <c r="D57" s="3" t="s">
        <v>214</v>
      </c>
      <c r="E57" s="9" t="s">
        <v>215</v>
      </c>
      <c r="F57" s="9" t="s">
        <v>216</v>
      </c>
      <c r="G57" s="1">
        <v>1374.6424</v>
      </c>
      <c r="H57" s="2">
        <v>565</v>
      </c>
      <c r="I57" s="2">
        <v>2</v>
      </c>
      <c r="J57" s="1">
        <v>1374.6488999999999</v>
      </c>
      <c r="K57" s="1">
        <v>688.32849999999996</v>
      </c>
      <c r="L57" s="9" t="s">
        <v>91</v>
      </c>
      <c r="M57" s="2">
        <v>6.75</v>
      </c>
      <c r="N57" s="4">
        <v>5432.24</v>
      </c>
      <c r="O57" s="1">
        <v>4.7215827907750443</v>
      </c>
      <c r="P57" s="6">
        <v>55.9</v>
      </c>
      <c r="Q57" s="6">
        <v>36.700000000000003</v>
      </c>
      <c r="R57" s="6">
        <v>11.2</v>
      </c>
      <c r="S57" s="6">
        <v>12.1</v>
      </c>
      <c r="T57" s="5">
        <v>5.2999999999999998E-4</v>
      </c>
      <c r="U57" s="1">
        <v>6.4999999999999997E-3</v>
      </c>
      <c r="V57" s="1">
        <v>5.6957000000000004</v>
      </c>
    </row>
    <row r="58" spans="1:22" x14ac:dyDescent="0.25">
      <c r="A58" s="1">
        <v>0.99519999999999997</v>
      </c>
      <c r="B58" s="9" t="s">
        <v>3517</v>
      </c>
      <c r="C58" s="2">
        <v>3880</v>
      </c>
      <c r="D58" s="3" t="s">
        <v>214</v>
      </c>
      <c r="E58" s="9" t="s">
        <v>215</v>
      </c>
      <c r="F58" s="9" t="s">
        <v>216</v>
      </c>
      <c r="G58" s="1">
        <v>1374.6424</v>
      </c>
      <c r="H58" s="2">
        <v>567</v>
      </c>
      <c r="I58" s="2">
        <v>2</v>
      </c>
      <c r="J58" s="1">
        <v>1374.6486</v>
      </c>
      <c r="K58" s="1">
        <v>688.32849999999996</v>
      </c>
      <c r="L58" s="9" t="s">
        <v>91</v>
      </c>
      <c r="M58" s="2">
        <v>6.75</v>
      </c>
      <c r="N58" s="4">
        <v>5463.04</v>
      </c>
      <c r="O58" s="1">
        <v>4.503663585046966</v>
      </c>
      <c r="P58" s="6">
        <v>54.6</v>
      </c>
      <c r="Q58" s="6">
        <v>36</v>
      </c>
      <c r="R58" s="6">
        <v>11.1</v>
      </c>
      <c r="S58" s="6">
        <v>11.9</v>
      </c>
      <c r="T58" s="5">
        <v>8.8999999999999995E-4</v>
      </c>
      <c r="U58" s="1">
        <v>6.1999999999999998E-3</v>
      </c>
      <c r="V58" s="1">
        <v>5.4320000000000004</v>
      </c>
    </row>
    <row r="59" spans="1:22" x14ac:dyDescent="0.25">
      <c r="A59" s="1">
        <v>0.99819999999999998</v>
      </c>
      <c r="B59" s="9" t="s">
        <v>3518</v>
      </c>
      <c r="C59" s="2">
        <v>3919</v>
      </c>
      <c r="D59" s="3" t="s">
        <v>326</v>
      </c>
      <c r="E59" s="9" t="s">
        <v>848</v>
      </c>
      <c r="F59" s="9" t="s">
        <v>112</v>
      </c>
      <c r="G59" s="1">
        <v>1253.7417</v>
      </c>
      <c r="H59" s="2">
        <v>1050</v>
      </c>
      <c r="I59" s="2">
        <v>2</v>
      </c>
      <c r="J59" s="1">
        <v>1253.7354</v>
      </c>
      <c r="K59" s="1">
        <v>627.87810000000002</v>
      </c>
      <c r="L59" s="9" t="s">
        <v>113</v>
      </c>
      <c r="M59" s="2">
        <v>8.59</v>
      </c>
      <c r="N59" s="4">
        <v>5521.05</v>
      </c>
      <c r="O59" s="1">
        <v>-5.01689738820322</v>
      </c>
      <c r="P59" s="6">
        <v>40.1</v>
      </c>
      <c r="Q59" s="6">
        <v>33.5</v>
      </c>
      <c r="R59" s="6">
        <v>9.6</v>
      </c>
      <c r="S59" s="6">
        <v>8.3000000000000007</v>
      </c>
      <c r="T59" s="5">
        <v>5.8999999999999999E-3</v>
      </c>
      <c r="U59" s="1">
        <v>-6.3E-3</v>
      </c>
      <c r="V59" s="1">
        <v>3.8298000000000001</v>
      </c>
    </row>
    <row r="60" spans="1:22" x14ac:dyDescent="0.25">
      <c r="A60" s="1">
        <v>0.99319999999999997</v>
      </c>
      <c r="B60" s="9" t="s">
        <v>3519</v>
      </c>
      <c r="C60" s="2">
        <v>4012</v>
      </c>
      <c r="D60" s="3" t="s">
        <v>168</v>
      </c>
      <c r="E60" s="9" t="s">
        <v>1317</v>
      </c>
      <c r="F60" s="9" t="s">
        <v>391</v>
      </c>
      <c r="G60" s="1">
        <v>2116.0987</v>
      </c>
      <c r="H60" s="2">
        <v>893</v>
      </c>
      <c r="I60" s="2">
        <v>3</v>
      </c>
      <c r="J60" s="1">
        <v>2116.1154999999999</v>
      </c>
      <c r="K60" s="1">
        <v>706.37350000000004</v>
      </c>
      <c r="L60" s="9" t="s">
        <v>364</v>
      </c>
      <c r="M60" s="2">
        <v>8.59</v>
      </c>
      <c r="N60" s="4">
        <v>5661.75</v>
      </c>
      <c r="O60" s="1">
        <v>7.9278172241738956</v>
      </c>
      <c r="P60" s="6">
        <v>37.200000000000003</v>
      </c>
      <c r="Q60" s="6">
        <v>23.8</v>
      </c>
      <c r="R60" s="6">
        <v>9.6</v>
      </c>
      <c r="S60" s="6">
        <v>11.4</v>
      </c>
      <c r="T60" s="5">
        <v>1.1000000000000001E-3</v>
      </c>
      <c r="U60" s="1">
        <v>1.6799999999999999E-2</v>
      </c>
      <c r="V60" s="1">
        <v>5.1094999999999997</v>
      </c>
    </row>
    <row r="61" spans="1:22" x14ac:dyDescent="0.25">
      <c r="A61" s="1">
        <v>0.99580000000000002</v>
      </c>
      <c r="B61" s="9" t="s">
        <v>3520</v>
      </c>
      <c r="C61" s="2">
        <v>4110</v>
      </c>
      <c r="D61" s="3" t="s">
        <v>2452</v>
      </c>
      <c r="E61" s="9" t="s">
        <v>3521</v>
      </c>
      <c r="F61" s="9" t="s">
        <v>63</v>
      </c>
      <c r="G61" s="1">
        <v>2211.1257000000001</v>
      </c>
      <c r="H61" s="2">
        <v>896</v>
      </c>
      <c r="I61" s="2">
        <v>3</v>
      </c>
      <c r="J61" s="1">
        <v>2211.145</v>
      </c>
      <c r="K61" s="1">
        <v>738.04920000000004</v>
      </c>
      <c r="L61" s="9" t="s">
        <v>64</v>
      </c>
      <c r="M61" s="2">
        <v>6.75</v>
      </c>
      <c r="N61" s="4">
        <v>5821.8</v>
      </c>
      <c r="O61" s="1">
        <v>8.716672727689879</v>
      </c>
      <c r="P61" s="6">
        <v>35.299999999999997</v>
      </c>
      <c r="Q61" s="6">
        <v>35.299999999999997</v>
      </c>
      <c r="R61" s="6">
        <v>9.1</v>
      </c>
      <c r="S61" s="6">
        <v>8.6</v>
      </c>
      <c r="T61" s="5">
        <v>1.7000000000000001E-4</v>
      </c>
      <c r="U61" s="1">
        <v>1.9300000000000001E-2</v>
      </c>
      <c r="V61" s="1">
        <v>4.1825000000000001</v>
      </c>
    </row>
    <row r="62" spans="1:22" x14ac:dyDescent="0.25">
      <c r="A62" s="1">
        <v>0.95450000000000002</v>
      </c>
      <c r="B62" s="9" t="s">
        <v>3522</v>
      </c>
      <c r="C62" s="2">
        <v>4169</v>
      </c>
      <c r="D62" s="3" t="s">
        <v>3250</v>
      </c>
      <c r="E62" s="9" t="s">
        <v>2109</v>
      </c>
      <c r="F62" s="9" t="s">
        <v>117</v>
      </c>
      <c r="G62" s="1">
        <v>960.52149999999995</v>
      </c>
      <c r="H62" s="2">
        <v>1737</v>
      </c>
      <c r="I62" s="2">
        <v>2</v>
      </c>
      <c r="J62" s="1">
        <v>960.52080000000001</v>
      </c>
      <c r="K62" s="1">
        <v>481.26799999999997</v>
      </c>
      <c r="L62" s="9" t="s">
        <v>118</v>
      </c>
      <c r="M62" s="2">
        <v>11</v>
      </c>
      <c r="N62" s="4">
        <v>5902.71</v>
      </c>
      <c r="O62" s="1">
        <v>-0.72724552640109053</v>
      </c>
      <c r="P62" s="6">
        <v>23.6</v>
      </c>
      <c r="Q62" s="6">
        <v>19.399999999999999</v>
      </c>
      <c r="R62" s="6">
        <v>11.1</v>
      </c>
      <c r="S62" s="6">
        <v>11.5</v>
      </c>
      <c r="T62" s="5">
        <v>0.83</v>
      </c>
      <c r="U62" s="1">
        <v>-6.9999999999999999E-4</v>
      </c>
      <c r="V62" s="1">
        <v>1.5889</v>
      </c>
    </row>
    <row r="63" spans="1:22" x14ac:dyDescent="0.25">
      <c r="A63" s="1">
        <v>0.97170000000000001</v>
      </c>
      <c r="B63" s="9" t="s">
        <v>3523</v>
      </c>
      <c r="C63" s="2">
        <v>4203</v>
      </c>
      <c r="D63" s="3" t="s">
        <v>146</v>
      </c>
      <c r="E63" s="9" t="s">
        <v>869</v>
      </c>
      <c r="F63" s="9" t="s">
        <v>870</v>
      </c>
      <c r="G63" s="1">
        <v>1146.5707</v>
      </c>
      <c r="H63" s="2">
        <v>573</v>
      </c>
      <c r="I63" s="2">
        <v>2</v>
      </c>
      <c r="J63" s="1">
        <v>1146.5917999999999</v>
      </c>
      <c r="K63" s="1">
        <v>574.29259999999999</v>
      </c>
      <c r="L63" s="9" t="s">
        <v>871</v>
      </c>
      <c r="M63" s="2">
        <v>5.94</v>
      </c>
      <c r="N63" s="4">
        <v>5954.31</v>
      </c>
      <c r="O63" s="1">
        <v>18.370426503841422</v>
      </c>
      <c r="P63" s="6">
        <v>39.4</v>
      </c>
      <c r="Q63" s="6">
        <v>30.5</v>
      </c>
      <c r="R63" s="6">
        <v>10.5</v>
      </c>
      <c r="S63" s="6">
        <v>10.3</v>
      </c>
      <c r="T63" s="5">
        <v>6.4000000000000003E-3</v>
      </c>
      <c r="U63" s="1">
        <v>2.1100000000000001E-2</v>
      </c>
      <c r="V63" s="1">
        <v>3.9266000000000001</v>
      </c>
    </row>
    <row r="64" spans="1:22" x14ac:dyDescent="0.25">
      <c r="A64" s="1">
        <v>1</v>
      </c>
      <c r="B64" s="9" t="s">
        <v>3524</v>
      </c>
      <c r="C64" s="2">
        <v>4219</v>
      </c>
      <c r="D64" s="3" t="s">
        <v>3525</v>
      </c>
      <c r="E64" s="9" t="s">
        <v>3526</v>
      </c>
      <c r="F64" s="9" t="s">
        <v>508</v>
      </c>
      <c r="G64" s="1">
        <v>1945.0420999999999</v>
      </c>
      <c r="H64" s="2">
        <v>100</v>
      </c>
      <c r="I64" s="2">
        <v>3</v>
      </c>
      <c r="J64" s="1">
        <v>1945.0515</v>
      </c>
      <c r="K64" s="1">
        <v>649.3546</v>
      </c>
      <c r="L64" s="9" t="s">
        <v>509</v>
      </c>
      <c r="M64" s="2">
        <v>6.44</v>
      </c>
      <c r="N64" s="4">
        <v>5981.86</v>
      </c>
      <c r="O64" s="1">
        <v>4.8253039761839425</v>
      </c>
      <c r="P64" s="6">
        <v>49.4</v>
      </c>
      <c r="Q64" s="6">
        <v>26.9</v>
      </c>
      <c r="R64" s="6">
        <v>8.1999999999999993</v>
      </c>
      <c r="S64" s="6">
        <v>9.5</v>
      </c>
      <c r="T64" s="5">
        <v>1.9E-6</v>
      </c>
      <c r="U64" s="1">
        <v>9.4000000000000004E-3</v>
      </c>
      <c r="V64" s="1">
        <v>9.0641999999999996</v>
      </c>
    </row>
    <row r="65" spans="1:22" x14ac:dyDescent="0.25">
      <c r="A65" s="1">
        <v>0.99770000000000003</v>
      </c>
      <c r="B65" s="9" t="s">
        <v>3527</v>
      </c>
      <c r="C65" s="2">
        <v>4255</v>
      </c>
      <c r="D65" s="3" t="s">
        <v>1316</v>
      </c>
      <c r="E65" s="9" t="s">
        <v>3528</v>
      </c>
      <c r="F65" s="9" t="s">
        <v>3529</v>
      </c>
      <c r="G65" s="1">
        <v>2128.1826999999998</v>
      </c>
      <c r="H65" s="2">
        <v>578</v>
      </c>
      <c r="I65" s="2">
        <v>3</v>
      </c>
      <c r="J65" s="1">
        <v>2128.1866</v>
      </c>
      <c r="K65" s="1">
        <v>710.40150000000006</v>
      </c>
      <c r="L65" s="9" t="s">
        <v>3530</v>
      </c>
      <c r="M65" s="2">
        <v>9.99</v>
      </c>
      <c r="N65" s="4">
        <v>6049.77</v>
      </c>
      <c r="O65" s="1">
        <v>1.8299510910379551</v>
      </c>
      <c r="P65" s="6">
        <v>38.299999999999997</v>
      </c>
      <c r="Q65" s="6">
        <v>23.8</v>
      </c>
      <c r="R65" s="6">
        <v>11.8</v>
      </c>
      <c r="S65" s="6">
        <v>8.8000000000000007</v>
      </c>
      <c r="T65" s="5">
        <v>2.7E-4</v>
      </c>
      <c r="U65" s="1">
        <v>3.8999999999999998E-3</v>
      </c>
      <c r="V65" s="1">
        <v>5.8582999999999998</v>
      </c>
    </row>
    <row r="66" spans="1:22" x14ac:dyDescent="0.25">
      <c r="A66" s="1">
        <v>0.98280000000000001</v>
      </c>
      <c r="B66" s="9" t="s">
        <v>3531</v>
      </c>
      <c r="C66" s="2">
        <v>4375</v>
      </c>
      <c r="D66" s="3" t="s">
        <v>38</v>
      </c>
      <c r="E66" s="9" t="s">
        <v>901</v>
      </c>
      <c r="F66" s="9" t="s">
        <v>3532</v>
      </c>
      <c r="G66" s="1">
        <v>1365.7766999999999</v>
      </c>
      <c r="H66" s="2">
        <v>409</v>
      </c>
      <c r="I66" s="2">
        <v>3</v>
      </c>
      <c r="J66" s="1">
        <v>1365.7878000000001</v>
      </c>
      <c r="K66" s="1">
        <v>456.26620000000003</v>
      </c>
      <c r="L66" s="9" t="s">
        <v>3533</v>
      </c>
      <c r="M66" s="2">
        <v>6.75</v>
      </c>
      <c r="N66" s="4">
        <v>6230.02</v>
      </c>
      <c r="O66" s="1">
        <v>8.1093011053634925</v>
      </c>
      <c r="P66" s="6">
        <v>31.5</v>
      </c>
      <c r="Q66" s="6">
        <v>26</v>
      </c>
      <c r="R66" s="6">
        <v>11.8</v>
      </c>
      <c r="S66" s="6">
        <v>12.5</v>
      </c>
      <c r="T66" s="5">
        <v>6.2E-2</v>
      </c>
      <c r="U66" s="1">
        <v>1.11E-2</v>
      </c>
      <c r="V66" s="1">
        <v>2.8134999999999999</v>
      </c>
    </row>
    <row r="67" spans="1:22" x14ac:dyDescent="0.25">
      <c r="A67" s="1">
        <v>0.98299999999999998</v>
      </c>
      <c r="B67" s="9" t="s">
        <v>3534</v>
      </c>
      <c r="C67" s="2">
        <v>4449</v>
      </c>
      <c r="D67" s="3" t="s">
        <v>770</v>
      </c>
      <c r="E67" s="9" t="s">
        <v>289</v>
      </c>
      <c r="F67" s="9" t="s">
        <v>290</v>
      </c>
      <c r="G67" s="1">
        <v>1831.9757</v>
      </c>
      <c r="H67" s="2">
        <v>581</v>
      </c>
      <c r="I67" s="2">
        <v>3</v>
      </c>
      <c r="J67" s="1">
        <v>1831.9906000000001</v>
      </c>
      <c r="K67" s="1">
        <v>611.66579999999999</v>
      </c>
      <c r="L67" s="9" t="s">
        <v>291</v>
      </c>
      <c r="M67" s="2">
        <v>6.17</v>
      </c>
      <c r="N67" s="4">
        <v>6354.63</v>
      </c>
      <c r="O67" s="1">
        <v>8.1199025132133702</v>
      </c>
      <c r="P67" s="6">
        <v>35.200000000000003</v>
      </c>
      <c r="Q67" s="6">
        <v>26</v>
      </c>
      <c r="R67" s="6">
        <v>11.4</v>
      </c>
      <c r="S67" s="6">
        <v>10.8</v>
      </c>
      <c r="T67" s="5">
        <v>5.1000000000000004E-3</v>
      </c>
      <c r="U67" s="1">
        <v>1.49E-2</v>
      </c>
      <c r="V67" s="1">
        <v>4.4184999999999999</v>
      </c>
    </row>
    <row r="68" spans="1:22" x14ac:dyDescent="0.25">
      <c r="A68" s="1">
        <v>0.99970000000000003</v>
      </c>
      <c r="B68" s="9" t="s">
        <v>3535</v>
      </c>
      <c r="C68" s="2">
        <v>4455</v>
      </c>
      <c r="D68" s="3" t="s">
        <v>3536</v>
      </c>
      <c r="E68" s="9" t="s">
        <v>3537</v>
      </c>
      <c r="F68" s="9" t="s">
        <v>222</v>
      </c>
      <c r="G68" s="1">
        <v>3152.6677</v>
      </c>
      <c r="H68" s="2">
        <v>582</v>
      </c>
      <c r="I68" s="2">
        <v>3</v>
      </c>
      <c r="J68" s="1">
        <v>3152.6848</v>
      </c>
      <c r="K68" s="1">
        <v>1051.8965000000001</v>
      </c>
      <c r="L68" s="9" t="s">
        <v>223</v>
      </c>
      <c r="M68" s="2">
        <v>8.1</v>
      </c>
      <c r="N68" s="4">
        <v>6365.23</v>
      </c>
      <c r="O68" s="1">
        <v>5.418784072387349</v>
      </c>
      <c r="P68" s="6">
        <v>47</v>
      </c>
      <c r="Q68" s="6">
        <v>25.4</v>
      </c>
      <c r="R68" s="6">
        <v>10.8</v>
      </c>
      <c r="S68" s="6">
        <v>12.5</v>
      </c>
      <c r="T68" s="5">
        <v>2.9999999999999999E-7</v>
      </c>
      <c r="U68" s="1">
        <v>1.7100000000000001E-2</v>
      </c>
      <c r="V68" s="1">
        <v>7.7499000000000002</v>
      </c>
    </row>
    <row r="69" spans="1:22" x14ac:dyDescent="0.25">
      <c r="A69" s="1">
        <v>0.99950000000000006</v>
      </c>
      <c r="B69" s="9" t="s">
        <v>3538</v>
      </c>
      <c r="C69" s="2">
        <v>4471</v>
      </c>
      <c r="D69" s="3" t="s">
        <v>163</v>
      </c>
      <c r="E69" s="9" t="s">
        <v>289</v>
      </c>
      <c r="F69" s="9" t="s">
        <v>290</v>
      </c>
      <c r="G69" s="1">
        <v>1831.9757</v>
      </c>
      <c r="H69" s="2">
        <v>411</v>
      </c>
      <c r="I69" s="2">
        <v>3</v>
      </c>
      <c r="J69" s="1">
        <v>1831.9879000000001</v>
      </c>
      <c r="K69" s="1">
        <v>611.66579999999999</v>
      </c>
      <c r="L69" s="9" t="s">
        <v>291</v>
      </c>
      <c r="M69" s="2">
        <v>6.17</v>
      </c>
      <c r="N69" s="4">
        <v>6385.83</v>
      </c>
      <c r="O69" s="1">
        <v>6.6485107826310834</v>
      </c>
      <c r="P69" s="6">
        <v>36.6</v>
      </c>
      <c r="Q69" s="6">
        <v>23</v>
      </c>
      <c r="R69" s="6">
        <v>11.6</v>
      </c>
      <c r="S69" s="6">
        <v>10.9</v>
      </c>
      <c r="T69" s="5">
        <v>6.4999999999999994E-5</v>
      </c>
      <c r="U69" s="1">
        <v>1.2200000000000001E-2</v>
      </c>
      <c r="V69" s="1">
        <v>7.3395999999999999</v>
      </c>
    </row>
    <row r="70" spans="1:22" x14ac:dyDescent="0.25">
      <c r="A70" s="1">
        <v>1</v>
      </c>
      <c r="B70" s="9" t="s">
        <v>3539</v>
      </c>
      <c r="C70" s="2">
        <v>4515</v>
      </c>
      <c r="D70" s="3" t="s">
        <v>1882</v>
      </c>
      <c r="E70" s="9" t="s">
        <v>3540</v>
      </c>
      <c r="F70" s="9" t="s">
        <v>1140</v>
      </c>
      <c r="G70" s="1">
        <v>2363.1756999999998</v>
      </c>
      <c r="H70" s="2">
        <v>1485</v>
      </c>
      <c r="I70" s="2">
        <v>3</v>
      </c>
      <c r="J70" s="1">
        <v>2363.2069000000001</v>
      </c>
      <c r="K70" s="1">
        <v>788.73249999999996</v>
      </c>
      <c r="L70" s="9" t="s">
        <v>745</v>
      </c>
      <c r="M70" s="2">
        <v>5.29</v>
      </c>
      <c r="N70" s="4">
        <v>6456.88</v>
      </c>
      <c r="O70" s="1">
        <v>13.185712519770645</v>
      </c>
      <c r="P70" s="6">
        <v>59.7</v>
      </c>
      <c r="Q70" s="6">
        <v>27.5</v>
      </c>
      <c r="R70" s="6">
        <v>10.5</v>
      </c>
      <c r="S70" s="6">
        <v>14.5</v>
      </c>
      <c r="T70" s="5">
        <v>5.5999999999999997E-9</v>
      </c>
      <c r="U70" s="1">
        <v>3.1199999999999999E-2</v>
      </c>
      <c r="V70" s="1">
        <v>10.846500000000001</v>
      </c>
    </row>
    <row r="71" spans="1:22" x14ac:dyDescent="0.25">
      <c r="A71" s="1">
        <v>0.99770000000000003</v>
      </c>
      <c r="B71" s="9" t="s">
        <v>3541</v>
      </c>
      <c r="C71" s="2">
        <v>4540</v>
      </c>
      <c r="D71" s="3" t="s">
        <v>298</v>
      </c>
      <c r="E71" s="9" t="s">
        <v>307</v>
      </c>
      <c r="F71" s="9" t="s">
        <v>308</v>
      </c>
      <c r="G71" s="1">
        <v>1068.4916000000001</v>
      </c>
      <c r="H71" s="2">
        <v>584</v>
      </c>
      <c r="I71" s="2">
        <v>2</v>
      </c>
      <c r="J71" s="1">
        <v>1068.4965</v>
      </c>
      <c r="K71" s="1">
        <v>535.25310000000002</v>
      </c>
      <c r="L71" s="9" t="s">
        <v>309</v>
      </c>
      <c r="M71" s="2">
        <v>4.71</v>
      </c>
      <c r="N71" s="4">
        <v>6494.48</v>
      </c>
      <c r="O71" s="1">
        <v>4.5772738168167537</v>
      </c>
      <c r="P71" s="6">
        <v>32.200000000000003</v>
      </c>
      <c r="Q71" s="6">
        <v>22.6</v>
      </c>
      <c r="R71" s="6">
        <v>6.5</v>
      </c>
      <c r="S71" s="6">
        <v>7.6</v>
      </c>
      <c r="T71" s="5">
        <v>3.5999999999999999E-3</v>
      </c>
      <c r="U71" s="1">
        <v>4.8999999999999998E-3</v>
      </c>
      <c r="V71" s="1">
        <v>5.2694999999999999</v>
      </c>
    </row>
    <row r="72" spans="1:22" x14ac:dyDescent="0.25">
      <c r="A72" s="1">
        <v>1</v>
      </c>
      <c r="B72" s="9" t="s">
        <v>3542</v>
      </c>
      <c r="C72" s="2">
        <v>4551</v>
      </c>
      <c r="D72" s="3" t="s">
        <v>3543</v>
      </c>
      <c r="E72" s="9" t="s">
        <v>3297</v>
      </c>
      <c r="F72" s="9" t="s">
        <v>1957</v>
      </c>
      <c r="G72" s="1">
        <v>2347.1806999999999</v>
      </c>
      <c r="H72" s="2">
        <v>1486</v>
      </c>
      <c r="I72" s="2">
        <v>3</v>
      </c>
      <c r="J72" s="1">
        <v>2347.232</v>
      </c>
      <c r="K72" s="1">
        <v>783.4008</v>
      </c>
      <c r="L72" s="9" t="s">
        <v>1958</v>
      </c>
      <c r="M72" s="2">
        <v>5.29</v>
      </c>
      <c r="N72" s="4">
        <v>6514.93</v>
      </c>
      <c r="O72" s="1">
        <v>21.827907247477917</v>
      </c>
      <c r="P72" s="6">
        <v>71.099999999999994</v>
      </c>
      <c r="Q72" s="6">
        <v>32.200000000000003</v>
      </c>
      <c r="R72" s="6">
        <v>11.2</v>
      </c>
      <c r="S72" s="6">
        <v>14.2</v>
      </c>
      <c r="T72" s="5">
        <v>2.9E-11</v>
      </c>
      <c r="U72" s="1">
        <v>5.1299999999999998E-2</v>
      </c>
      <c r="V72" s="1">
        <v>13.1774</v>
      </c>
    </row>
    <row r="73" spans="1:22" x14ac:dyDescent="0.25">
      <c r="A73" s="1">
        <v>0.95540000000000003</v>
      </c>
      <c r="B73" s="9" t="s">
        <v>3544</v>
      </c>
      <c r="C73" s="2">
        <v>4556</v>
      </c>
      <c r="D73" s="3" t="s">
        <v>33</v>
      </c>
      <c r="E73" s="9" t="s">
        <v>299</v>
      </c>
      <c r="F73" s="9" t="s">
        <v>300</v>
      </c>
      <c r="G73" s="1">
        <v>1122.5851</v>
      </c>
      <c r="H73" s="2">
        <v>585</v>
      </c>
      <c r="I73" s="2">
        <v>2</v>
      </c>
      <c r="J73" s="1">
        <v>1122.5912000000001</v>
      </c>
      <c r="K73" s="1">
        <v>562.2998</v>
      </c>
      <c r="L73" s="9" t="s">
        <v>91</v>
      </c>
      <c r="M73" s="2">
        <v>8.35</v>
      </c>
      <c r="N73" s="4">
        <v>6517.13</v>
      </c>
      <c r="O73" s="1">
        <v>5.4241527384502009</v>
      </c>
      <c r="P73" s="6">
        <v>44.3</v>
      </c>
      <c r="Q73" s="6">
        <v>34</v>
      </c>
      <c r="R73" s="6">
        <v>11.7</v>
      </c>
      <c r="S73" s="6">
        <v>10.9</v>
      </c>
      <c r="T73" s="5">
        <v>3.5999999999999997E-2</v>
      </c>
      <c r="U73" s="1">
        <v>6.1000000000000004E-3</v>
      </c>
      <c r="V73" s="1">
        <v>3.5956999999999999</v>
      </c>
    </row>
    <row r="74" spans="1:22" x14ac:dyDescent="0.25">
      <c r="A74" s="1">
        <v>0.95920000000000005</v>
      </c>
      <c r="B74" s="9" t="s">
        <v>3545</v>
      </c>
      <c r="C74" s="2">
        <v>4762</v>
      </c>
      <c r="D74" s="3" t="s">
        <v>702</v>
      </c>
      <c r="E74" s="9" t="s">
        <v>357</v>
      </c>
      <c r="F74" s="9" t="s">
        <v>358</v>
      </c>
      <c r="G74" s="1">
        <v>1465.7417</v>
      </c>
      <c r="H74" s="2">
        <v>588</v>
      </c>
      <c r="I74" s="2">
        <v>2</v>
      </c>
      <c r="J74" s="1">
        <v>1465.7307000000001</v>
      </c>
      <c r="K74" s="1">
        <v>733.87810000000002</v>
      </c>
      <c r="L74" s="9" t="s">
        <v>359</v>
      </c>
      <c r="M74" s="2">
        <v>8.75</v>
      </c>
      <c r="N74" s="4">
        <v>6825.89</v>
      </c>
      <c r="O74" s="1">
        <v>-7.4944326585028218</v>
      </c>
      <c r="P74" s="6">
        <v>35.4</v>
      </c>
      <c r="Q74" s="6">
        <v>25.7</v>
      </c>
      <c r="R74" s="6">
        <v>10.4</v>
      </c>
      <c r="S74" s="6">
        <v>10</v>
      </c>
      <c r="T74" s="5">
        <v>1.7999999999999999E-2</v>
      </c>
      <c r="U74" s="1">
        <v>-1.0999999999999999E-2</v>
      </c>
      <c r="V74" s="1">
        <v>3.6598999999999999</v>
      </c>
    </row>
    <row r="75" spans="1:22" x14ac:dyDescent="0.25">
      <c r="A75" s="1">
        <v>0.97270000000000001</v>
      </c>
      <c r="B75" s="9" t="s">
        <v>3546</v>
      </c>
      <c r="C75" s="2">
        <v>4831</v>
      </c>
      <c r="D75" s="3" t="s">
        <v>146</v>
      </c>
      <c r="E75" s="9" t="s">
        <v>371</v>
      </c>
      <c r="F75" s="9" t="s">
        <v>282</v>
      </c>
      <c r="G75" s="1">
        <v>1299.6678999999999</v>
      </c>
      <c r="H75" s="2">
        <v>1063</v>
      </c>
      <c r="I75" s="2">
        <v>2</v>
      </c>
      <c r="J75" s="1">
        <v>1299.675</v>
      </c>
      <c r="K75" s="1">
        <v>650.84119999999996</v>
      </c>
      <c r="L75" s="9" t="s">
        <v>283</v>
      </c>
      <c r="M75" s="2">
        <v>8.23</v>
      </c>
      <c r="N75" s="4">
        <v>6927.34</v>
      </c>
      <c r="O75" s="1">
        <v>5.4544795258812755</v>
      </c>
      <c r="P75" s="6">
        <v>38.6</v>
      </c>
      <c r="Q75" s="6">
        <v>25.5</v>
      </c>
      <c r="R75" s="6">
        <v>6.6</v>
      </c>
      <c r="S75" s="6">
        <v>10.7</v>
      </c>
      <c r="T75" s="5">
        <v>4.5999999999999999E-3</v>
      </c>
      <c r="U75" s="1">
        <v>7.1000000000000004E-3</v>
      </c>
      <c r="V75" s="1">
        <v>4.6334999999999997</v>
      </c>
    </row>
    <row r="76" spans="1:22" x14ac:dyDescent="0.25">
      <c r="A76" s="1">
        <v>0.98309999999999997</v>
      </c>
      <c r="B76" s="9" t="s">
        <v>3547</v>
      </c>
      <c r="C76" s="2">
        <v>4895</v>
      </c>
      <c r="D76" s="3" t="s">
        <v>250</v>
      </c>
      <c r="E76" s="9" t="s">
        <v>3323</v>
      </c>
      <c r="F76" s="9" t="s">
        <v>3548</v>
      </c>
      <c r="G76" s="1">
        <v>1154.576</v>
      </c>
      <c r="H76" s="2">
        <v>590</v>
      </c>
      <c r="I76" s="2">
        <v>2</v>
      </c>
      <c r="J76" s="1">
        <v>1154.5716</v>
      </c>
      <c r="K76" s="1">
        <v>578.2953</v>
      </c>
      <c r="L76" s="9" t="s">
        <v>3325</v>
      </c>
      <c r="M76" s="2">
        <v>4.8099999999999996</v>
      </c>
      <c r="N76" s="4">
        <v>7022.85</v>
      </c>
      <c r="O76" s="1">
        <v>-3.8042847659318695</v>
      </c>
      <c r="P76" s="6">
        <v>24.9</v>
      </c>
      <c r="Q76" s="6">
        <v>16.899999999999999</v>
      </c>
      <c r="R76" s="6">
        <v>5.9</v>
      </c>
      <c r="S76" s="6">
        <v>7.3</v>
      </c>
      <c r="T76" s="5">
        <v>5.3999999999999999E-2</v>
      </c>
      <c r="U76" s="1">
        <v>-4.4000000000000003E-3</v>
      </c>
      <c r="V76" s="1">
        <v>3.6701999999999999</v>
      </c>
    </row>
    <row r="77" spans="1:22" x14ac:dyDescent="0.25">
      <c r="A77" s="1">
        <v>0.99819999999999998</v>
      </c>
      <c r="B77" s="9" t="s">
        <v>3549</v>
      </c>
      <c r="C77" s="2">
        <v>4963</v>
      </c>
      <c r="D77" s="3" t="s">
        <v>105</v>
      </c>
      <c r="E77" s="9" t="s">
        <v>1422</v>
      </c>
      <c r="F77" s="9" t="s">
        <v>340</v>
      </c>
      <c r="G77" s="1">
        <v>1774.9539</v>
      </c>
      <c r="H77" s="2">
        <v>592</v>
      </c>
      <c r="I77" s="2">
        <v>2</v>
      </c>
      <c r="J77" s="1">
        <v>1774.9561000000001</v>
      </c>
      <c r="K77" s="1">
        <v>888.48419999999999</v>
      </c>
      <c r="L77" s="9" t="s">
        <v>341</v>
      </c>
      <c r="M77" s="2">
        <v>6.24</v>
      </c>
      <c r="N77" s="4">
        <v>7115.75</v>
      </c>
      <c r="O77" s="1">
        <v>1.2380636594325483</v>
      </c>
      <c r="P77" s="6">
        <v>45.9</v>
      </c>
      <c r="Q77" s="6">
        <v>28.5</v>
      </c>
      <c r="R77" s="6">
        <v>11.6</v>
      </c>
      <c r="S77" s="6">
        <v>11.3</v>
      </c>
      <c r="T77" s="5">
        <v>2.4000000000000001E-5</v>
      </c>
      <c r="U77" s="1">
        <v>2.2000000000000001E-3</v>
      </c>
      <c r="V77" s="1">
        <v>6.5697999999999999</v>
      </c>
    </row>
    <row r="78" spans="1:22" x14ac:dyDescent="0.25">
      <c r="A78" s="1">
        <v>0.99690000000000001</v>
      </c>
      <c r="B78" s="9" t="s">
        <v>3550</v>
      </c>
      <c r="C78" s="2">
        <v>4984</v>
      </c>
      <c r="D78" s="3" t="s">
        <v>270</v>
      </c>
      <c r="E78" s="9" t="s">
        <v>1422</v>
      </c>
      <c r="F78" s="9" t="s">
        <v>340</v>
      </c>
      <c r="G78" s="1">
        <v>1774.9539</v>
      </c>
      <c r="H78" s="2">
        <v>29</v>
      </c>
      <c r="I78" s="2">
        <v>2</v>
      </c>
      <c r="J78" s="1">
        <v>1774.9585999999999</v>
      </c>
      <c r="K78" s="1">
        <v>888.48419999999999</v>
      </c>
      <c r="L78" s="9" t="s">
        <v>341</v>
      </c>
      <c r="M78" s="2">
        <v>6.24</v>
      </c>
      <c r="N78" s="4">
        <v>7146</v>
      </c>
      <c r="O78" s="1">
        <v>2.6449541815149895</v>
      </c>
      <c r="P78" s="6">
        <v>42.5</v>
      </c>
      <c r="Q78" s="6">
        <v>26</v>
      </c>
      <c r="R78" s="6">
        <v>12.1</v>
      </c>
      <c r="S78" s="6">
        <v>10.5</v>
      </c>
      <c r="T78" s="5">
        <v>1.4999999999999999E-4</v>
      </c>
      <c r="U78" s="1">
        <v>4.7000000000000002E-3</v>
      </c>
      <c r="V78" s="1">
        <v>5.8253000000000004</v>
      </c>
    </row>
    <row r="79" spans="1:22" x14ac:dyDescent="0.25">
      <c r="A79" s="1">
        <v>0.96699999999999997</v>
      </c>
      <c r="B79" s="9" t="s">
        <v>3551</v>
      </c>
      <c r="C79" s="2">
        <v>4989</v>
      </c>
      <c r="D79" s="3" t="s">
        <v>331</v>
      </c>
      <c r="E79" s="9" t="s">
        <v>2212</v>
      </c>
      <c r="F79" s="9" t="s">
        <v>1900</v>
      </c>
      <c r="G79" s="1">
        <v>1563.8371</v>
      </c>
      <c r="H79" s="2">
        <v>835</v>
      </c>
      <c r="I79" s="2">
        <v>2</v>
      </c>
      <c r="J79" s="1">
        <v>1563.8436999999999</v>
      </c>
      <c r="K79" s="1">
        <v>782.92579999999998</v>
      </c>
      <c r="L79" s="9" t="s">
        <v>1901</v>
      </c>
      <c r="M79" s="2">
        <v>8.5</v>
      </c>
      <c r="N79" s="4">
        <v>7156.65</v>
      </c>
      <c r="O79" s="1">
        <v>4.2149588121888435</v>
      </c>
      <c r="P79" s="6">
        <v>38.799999999999997</v>
      </c>
      <c r="Q79" s="6">
        <v>26.1</v>
      </c>
      <c r="R79" s="6">
        <v>9.1999999999999993</v>
      </c>
      <c r="S79" s="6">
        <v>10.3</v>
      </c>
      <c r="T79" s="5">
        <v>8.6999999999999994E-3</v>
      </c>
      <c r="U79" s="1">
        <v>6.6E-3</v>
      </c>
      <c r="V79" s="1">
        <v>4.1032000000000002</v>
      </c>
    </row>
    <row r="80" spans="1:22" x14ac:dyDescent="0.25">
      <c r="A80" s="1">
        <v>0.98880000000000001</v>
      </c>
      <c r="B80" s="9" t="s">
        <v>3552</v>
      </c>
      <c r="C80" s="2">
        <v>5039</v>
      </c>
      <c r="D80" s="3" t="s">
        <v>1544</v>
      </c>
      <c r="E80" s="9" t="s">
        <v>407</v>
      </c>
      <c r="F80" s="9" t="s">
        <v>290</v>
      </c>
      <c r="G80" s="1">
        <v>1645.8596</v>
      </c>
      <c r="H80" s="2">
        <v>593</v>
      </c>
      <c r="I80" s="2">
        <v>2</v>
      </c>
      <c r="J80" s="1">
        <v>1645.8652999999999</v>
      </c>
      <c r="K80" s="1">
        <v>823.93709999999999</v>
      </c>
      <c r="L80" s="9" t="s">
        <v>291</v>
      </c>
      <c r="M80" s="2">
        <v>4.8499999999999996</v>
      </c>
      <c r="N80" s="4">
        <v>7221.55</v>
      </c>
      <c r="O80" s="1">
        <v>3.4590019068203142</v>
      </c>
      <c r="P80" s="6">
        <v>53.8</v>
      </c>
      <c r="Q80" s="6">
        <v>35.299999999999997</v>
      </c>
      <c r="R80" s="6">
        <v>10</v>
      </c>
      <c r="S80" s="6">
        <v>11.2</v>
      </c>
      <c r="T80" s="5">
        <v>3.2000000000000003E-4</v>
      </c>
      <c r="U80" s="1">
        <v>5.7000000000000002E-3</v>
      </c>
      <c r="V80" s="1">
        <v>5.4969999999999999</v>
      </c>
    </row>
    <row r="81" spans="1:22" x14ac:dyDescent="0.25">
      <c r="A81" s="1">
        <v>0.97640000000000005</v>
      </c>
      <c r="B81" s="9" t="s">
        <v>3553</v>
      </c>
      <c r="C81" s="2">
        <v>5045</v>
      </c>
      <c r="D81" s="3" t="s">
        <v>141</v>
      </c>
      <c r="E81" s="9" t="s">
        <v>394</v>
      </c>
      <c r="F81" s="9" t="s">
        <v>2191</v>
      </c>
      <c r="G81" s="1">
        <v>1382.8207</v>
      </c>
      <c r="H81" s="2">
        <v>594</v>
      </c>
      <c r="I81" s="2">
        <v>2</v>
      </c>
      <c r="J81" s="1">
        <v>1382.7913000000001</v>
      </c>
      <c r="K81" s="1">
        <v>692.41759999999999</v>
      </c>
      <c r="L81" s="9" t="s">
        <v>2161</v>
      </c>
      <c r="M81" s="2">
        <v>8.59</v>
      </c>
      <c r="N81" s="4">
        <v>7231.2</v>
      </c>
      <c r="O81" s="1">
        <v>-21.229962958769391</v>
      </c>
      <c r="P81" s="6">
        <v>47.4</v>
      </c>
      <c r="Q81" s="6">
        <v>32</v>
      </c>
      <c r="R81" s="6">
        <v>11.8</v>
      </c>
      <c r="S81" s="6">
        <v>11.4</v>
      </c>
      <c r="T81" s="5">
        <v>1.2999999999999999E-2</v>
      </c>
      <c r="U81" s="1">
        <v>-2.9399999999999999E-2</v>
      </c>
      <c r="V81" s="1">
        <v>4.0624000000000002</v>
      </c>
    </row>
    <row r="82" spans="1:22" x14ac:dyDescent="0.25">
      <c r="A82" s="1">
        <v>1</v>
      </c>
      <c r="B82" s="9" t="s">
        <v>3554</v>
      </c>
      <c r="C82" s="2">
        <v>5049</v>
      </c>
      <c r="D82" s="3" t="s">
        <v>3555</v>
      </c>
      <c r="E82" s="9" t="s">
        <v>1453</v>
      </c>
      <c r="F82" s="9" t="s">
        <v>1454</v>
      </c>
      <c r="G82" s="1">
        <v>2789.4416999999999</v>
      </c>
      <c r="H82" s="2">
        <v>1069</v>
      </c>
      <c r="I82" s="2">
        <v>3</v>
      </c>
      <c r="J82" s="1">
        <v>2789.4603999999999</v>
      </c>
      <c r="K82" s="1">
        <v>930.82119999999998</v>
      </c>
      <c r="L82" s="9" t="s">
        <v>91</v>
      </c>
      <c r="M82" s="2">
        <v>6.49</v>
      </c>
      <c r="N82" s="4">
        <v>7237.6</v>
      </c>
      <c r="O82" s="1">
        <v>6.6965957944805448</v>
      </c>
      <c r="P82" s="6">
        <v>53.2</v>
      </c>
      <c r="Q82" s="6">
        <v>31.5</v>
      </c>
      <c r="R82" s="6">
        <v>11.5</v>
      </c>
      <c r="S82" s="6">
        <v>11.1</v>
      </c>
      <c r="T82" s="5">
        <v>1.5E-6</v>
      </c>
      <c r="U82" s="1">
        <v>1.8700000000000001E-2</v>
      </c>
      <c r="V82" s="1">
        <v>7.0597000000000003</v>
      </c>
    </row>
    <row r="83" spans="1:22" x14ac:dyDescent="0.25">
      <c r="A83" s="1">
        <v>0.998</v>
      </c>
      <c r="B83" s="9" t="s">
        <v>3556</v>
      </c>
      <c r="C83" s="2">
        <v>5145</v>
      </c>
      <c r="D83" s="3" t="s">
        <v>3557</v>
      </c>
      <c r="E83" s="9" t="s">
        <v>3356</v>
      </c>
      <c r="F83" s="9" t="s">
        <v>3357</v>
      </c>
      <c r="G83" s="1">
        <v>3194.9845999999998</v>
      </c>
      <c r="H83" s="2">
        <v>427</v>
      </c>
      <c r="I83" s="2">
        <v>4</v>
      </c>
      <c r="J83" s="1">
        <v>3194.9845</v>
      </c>
      <c r="K83" s="1">
        <v>799.75340000000006</v>
      </c>
      <c r="L83" s="9" t="s">
        <v>2161</v>
      </c>
      <c r="M83" s="2">
        <v>10.29</v>
      </c>
      <c r="N83" s="4">
        <v>7373.31</v>
      </c>
      <c r="O83" s="1">
        <v>-3.1259635782730028E-2</v>
      </c>
      <c r="P83" s="6">
        <v>31.6</v>
      </c>
      <c r="Q83" s="6">
        <v>31.6</v>
      </c>
      <c r="R83" s="6">
        <v>9.1</v>
      </c>
      <c r="S83" s="6">
        <v>11.4</v>
      </c>
      <c r="T83" s="5">
        <v>2.1000000000000001E-4</v>
      </c>
      <c r="U83" s="1">
        <v>-1E-4</v>
      </c>
      <c r="V83" s="1">
        <v>3.3451</v>
      </c>
    </row>
    <row r="84" spans="1:22" x14ac:dyDescent="0.25">
      <c r="A84" s="1">
        <v>1</v>
      </c>
      <c r="B84" s="9" t="s">
        <v>3558</v>
      </c>
      <c r="C84" s="2">
        <v>5169</v>
      </c>
      <c r="D84" s="3" t="s">
        <v>3559</v>
      </c>
      <c r="E84" s="9" t="s">
        <v>3356</v>
      </c>
      <c r="F84" s="9" t="s">
        <v>3357</v>
      </c>
      <c r="G84" s="1">
        <v>3194.9847</v>
      </c>
      <c r="H84" s="2">
        <v>600</v>
      </c>
      <c r="I84" s="2">
        <v>4</v>
      </c>
      <c r="J84" s="1">
        <v>3195.0475999999999</v>
      </c>
      <c r="K84" s="1">
        <v>799.75350000000003</v>
      </c>
      <c r="L84" s="9" t="s">
        <v>2161</v>
      </c>
      <c r="M84" s="2">
        <v>10.29</v>
      </c>
      <c r="N84" s="4">
        <v>7405.16</v>
      </c>
      <c r="O84" s="1">
        <v>19.662308448790782</v>
      </c>
      <c r="P84" s="6">
        <v>48.2</v>
      </c>
      <c r="Q84" s="6">
        <v>48.2</v>
      </c>
      <c r="R84" s="6">
        <v>11.8</v>
      </c>
      <c r="S84" s="6">
        <v>13.1</v>
      </c>
      <c r="T84" s="5">
        <v>1.1999999999999999E-7</v>
      </c>
      <c r="U84" s="1">
        <v>6.2899999999999998E-2</v>
      </c>
      <c r="V84" s="1">
        <v>6.1184000000000003</v>
      </c>
    </row>
    <row r="85" spans="1:22" x14ac:dyDescent="0.25">
      <c r="A85" s="1">
        <v>1</v>
      </c>
      <c r="B85" s="9" t="s">
        <v>3560</v>
      </c>
      <c r="C85" s="2">
        <v>5193</v>
      </c>
      <c r="D85" s="3" t="s">
        <v>3561</v>
      </c>
      <c r="E85" s="9" t="s">
        <v>3356</v>
      </c>
      <c r="F85" s="9" t="s">
        <v>3357</v>
      </c>
      <c r="G85" s="1">
        <v>3194.9847</v>
      </c>
      <c r="H85" s="2">
        <v>601</v>
      </c>
      <c r="I85" s="2">
        <v>4</v>
      </c>
      <c r="J85" s="1">
        <v>3195.0120999999999</v>
      </c>
      <c r="K85" s="1">
        <v>799.75350000000003</v>
      </c>
      <c r="L85" s="9" t="s">
        <v>2161</v>
      </c>
      <c r="M85" s="2">
        <v>10.29</v>
      </c>
      <c r="N85" s="4">
        <v>7435.91</v>
      </c>
      <c r="O85" s="1">
        <v>8.5651391334955083</v>
      </c>
      <c r="P85" s="6">
        <v>55.4</v>
      </c>
      <c r="Q85" s="6">
        <v>55.4</v>
      </c>
      <c r="R85" s="6">
        <v>11.3</v>
      </c>
      <c r="S85" s="6">
        <v>12.9</v>
      </c>
      <c r="T85" s="5">
        <v>1.2E-9</v>
      </c>
      <c r="U85" s="1">
        <v>2.7400000000000001E-2</v>
      </c>
      <c r="V85" s="1">
        <v>7.8287000000000004</v>
      </c>
    </row>
    <row r="86" spans="1:22" x14ac:dyDescent="0.25">
      <c r="A86" s="1">
        <v>0.95989999999999998</v>
      </c>
      <c r="B86" s="9" t="s">
        <v>3562</v>
      </c>
      <c r="C86" s="2">
        <v>5244</v>
      </c>
      <c r="D86" s="3" t="s">
        <v>280</v>
      </c>
      <c r="E86" s="9" t="s">
        <v>454</v>
      </c>
      <c r="F86" s="9" t="s">
        <v>455</v>
      </c>
      <c r="G86" s="1">
        <v>1340.7121999999999</v>
      </c>
      <c r="H86" s="2">
        <v>110</v>
      </c>
      <c r="I86" s="2">
        <v>2</v>
      </c>
      <c r="J86" s="1">
        <v>1340.7184999999999</v>
      </c>
      <c r="K86" s="1">
        <v>671.36339999999996</v>
      </c>
      <c r="L86" s="9" t="s">
        <v>456</v>
      </c>
      <c r="M86" s="2">
        <v>6.22</v>
      </c>
      <c r="N86" s="4">
        <v>7502.66</v>
      </c>
      <c r="O86" s="1">
        <v>4.6919447798316085</v>
      </c>
      <c r="P86" s="6">
        <v>42.9</v>
      </c>
      <c r="Q86" s="6">
        <v>30.9</v>
      </c>
      <c r="R86" s="6">
        <v>9.5</v>
      </c>
      <c r="S86" s="6">
        <v>12.8</v>
      </c>
      <c r="T86" s="5">
        <v>0.01</v>
      </c>
      <c r="U86" s="1">
        <v>6.3E-3</v>
      </c>
      <c r="V86" s="1">
        <v>3.6848999999999998</v>
      </c>
    </row>
    <row r="87" spans="1:22" x14ac:dyDescent="0.25">
      <c r="A87" s="1">
        <v>0.9788</v>
      </c>
      <c r="B87" s="9" t="s">
        <v>3563</v>
      </c>
      <c r="C87" s="2">
        <v>5266</v>
      </c>
      <c r="D87" s="3" t="s">
        <v>280</v>
      </c>
      <c r="E87" s="9" t="s">
        <v>454</v>
      </c>
      <c r="F87" s="9" t="s">
        <v>455</v>
      </c>
      <c r="G87" s="1">
        <v>1340.7117000000001</v>
      </c>
      <c r="H87" s="2">
        <v>215</v>
      </c>
      <c r="I87" s="2">
        <v>2</v>
      </c>
      <c r="J87" s="1">
        <v>1340.7312999999999</v>
      </c>
      <c r="K87" s="1">
        <v>671.36310000000003</v>
      </c>
      <c r="L87" s="9" t="s">
        <v>456</v>
      </c>
      <c r="M87" s="2">
        <v>6.22</v>
      </c>
      <c r="N87" s="4">
        <v>7535.31</v>
      </c>
      <c r="O87" s="1">
        <v>14.597168060025938</v>
      </c>
      <c r="P87" s="6">
        <v>41.9</v>
      </c>
      <c r="Q87" s="6">
        <v>29.1</v>
      </c>
      <c r="R87" s="6">
        <v>9.6</v>
      </c>
      <c r="S87" s="6">
        <v>11.5</v>
      </c>
      <c r="T87" s="5">
        <v>2E-3</v>
      </c>
      <c r="U87" s="1">
        <v>1.9599999999999999E-2</v>
      </c>
      <c r="V87" s="1">
        <v>4.5133999999999999</v>
      </c>
    </row>
    <row r="88" spans="1:22" x14ac:dyDescent="0.25">
      <c r="A88" s="1">
        <v>0.99939999999999996</v>
      </c>
      <c r="B88" s="9" t="s">
        <v>3564</v>
      </c>
      <c r="C88" s="2">
        <v>5301</v>
      </c>
      <c r="D88" s="3" t="s">
        <v>3565</v>
      </c>
      <c r="E88" s="9" t="s">
        <v>2803</v>
      </c>
      <c r="F88" s="9" t="s">
        <v>1122</v>
      </c>
      <c r="G88" s="1">
        <v>2260.0976999999998</v>
      </c>
      <c r="H88" s="2">
        <v>910</v>
      </c>
      <c r="I88" s="2">
        <v>3</v>
      </c>
      <c r="J88" s="1">
        <v>2260.1487000000002</v>
      </c>
      <c r="K88" s="1">
        <v>754.3732</v>
      </c>
      <c r="L88" s="9" t="s">
        <v>456</v>
      </c>
      <c r="M88" s="2">
        <v>4.8499999999999996</v>
      </c>
      <c r="N88" s="4">
        <v>7578.56</v>
      </c>
      <c r="O88" s="1">
        <v>22.53526503857772</v>
      </c>
      <c r="P88" s="6">
        <v>45.8</v>
      </c>
      <c r="Q88" s="6">
        <v>26.6</v>
      </c>
      <c r="R88" s="6">
        <v>12.1</v>
      </c>
      <c r="S88" s="6">
        <v>13.3</v>
      </c>
      <c r="T88" s="5">
        <v>1.8E-5</v>
      </c>
      <c r="U88" s="1">
        <v>5.0999999999999997E-2</v>
      </c>
      <c r="V88" s="1">
        <v>6.9607000000000001</v>
      </c>
    </row>
    <row r="89" spans="1:22" x14ac:dyDescent="0.25">
      <c r="A89" s="1">
        <v>0.99909999999999999</v>
      </c>
      <c r="B89" s="9" t="s">
        <v>3566</v>
      </c>
      <c r="C89" s="2">
        <v>5313</v>
      </c>
      <c r="D89" s="3" t="s">
        <v>88</v>
      </c>
      <c r="E89" s="9" t="s">
        <v>1493</v>
      </c>
      <c r="F89" s="9" t="s">
        <v>659</v>
      </c>
      <c r="G89" s="1">
        <v>1400.7697000000001</v>
      </c>
      <c r="H89" s="2">
        <v>1445</v>
      </c>
      <c r="I89" s="2">
        <v>2</v>
      </c>
      <c r="J89" s="1">
        <v>1400.7745</v>
      </c>
      <c r="K89" s="1">
        <v>701.39210000000003</v>
      </c>
      <c r="L89" s="9" t="s">
        <v>660</v>
      </c>
      <c r="M89" s="2">
        <v>5.96</v>
      </c>
      <c r="N89" s="4">
        <v>7594.11</v>
      </c>
      <c r="O89" s="1">
        <v>3.4217665126253913</v>
      </c>
      <c r="P89" s="6">
        <v>61.8</v>
      </c>
      <c r="Q89" s="6">
        <v>43.5</v>
      </c>
      <c r="R89" s="6">
        <v>11.4</v>
      </c>
      <c r="S89" s="6">
        <v>12.2</v>
      </c>
      <c r="T89" s="5">
        <v>4.0000000000000002E-4</v>
      </c>
      <c r="U89" s="1">
        <v>4.7999999999999996E-3</v>
      </c>
      <c r="V89" s="1">
        <v>5.6029999999999998</v>
      </c>
    </row>
    <row r="90" spans="1:22" x14ac:dyDescent="0.25">
      <c r="A90" s="1">
        <v>0.99929999999999997</v>
      </c>
      <c r="B90" s="9" t="s">
        <v>3567</v>
      </c>
      <c r="C90" s="2">
        <v>5325</v>
      </c>
      <c r="D90" s="3" t="s">
        <v>105</v>
      </c>
      <c r="E90" s="9" t="s">
        <v>452</v>
      </c>
      <c r="F90" s="9" t="s">
        <v>222</v>
      </c>
      <c r="G90" s="1">
        <v>1715.7936999999999</v>
      </c>
      <c r="H90" s="2">
        <v>603</v>
      </c>
      <c r="I90" s="2">
        <v>2</v>
      </c>
      <c r="J90" s="1">
        <v>1715.8086000000001</v>
      </c>
      <c r="K90" s="1">
        <v>858.90409999999997</v>
      </c>
      <c r="L90" s="9" t="s">
        <v>223</v>
      </c>
      <c r="M90" s="2">
        <v>4.54</v>
      </c>
      <c r="N90" s="4">
        <v>7606.51</v>
      </c>
      <c r="O90" s="1">
        <v>8.6738437969966622</v>
      </c>
      <c r="P90" s="6">
        <v>47.1</v>
      </c>
      <c r="Q90" s="6">
        <v>22.5</v>
      </c>
      <c r="R90" s="6">
        <v>13.7</v>
      </c>
      <c r="S90" s="6">
        <v>9.8000000000000007</v>
      </c>
      <c r="T90" s="5">
        <v>6.1999999999999999E-7</v>
      </c>
      <c r="U90" s="1">
        <v>1.49E-2</v>
      </c>
      <c r="V90" s="1">
        <v>8.7455999999999996</v>
      </c>
    </row>
    <row r="91" spans="1:22" x14ac:dyDescent="0.25">
      <c r="A91" s="1">
        <v>0.99890000000000001</v>
      </c>
      <c r="B91" s="9" t="s">
        <v>3568</v>
      </c>
      <c r="C91" s="2">
        <v>5331</v>
      </c>
      <c r="D91" s="3" t="s">
        <v>2627</v>
      </c>
      <c r="E91" s="9" t="s">
        <v>3569</v>
      </c>
      <c r="F91" s="9" t="s">
        <v>2781</v>
      </c>
      <c r="G91" s="1">
        <v>2893.7986999999998</v>
      </c>
      <c r="H91" s="2">
        <v>604</v>
      </c>
      <c r="I91" s="2">
        <v>4</v>
      </c>
      <c r="J91" s="1">
        <v>2893.9272999999998</v>
      </c>
      <c r="K91" s="1">
        <v>724.45699999999999</v>
      </c>
      <c r="L91" s="9" t="s">
        <v>2782</v>
      </c>
      <c r="M91" s="2">
        <v>10</v>
      </c>
      <c r="N91" s="4">
        <v>7615.21</v>
      </c>
      <c r="O91" s="1">
        <v>44.378065226783647</v>
      </c>
      <c r="P91" s="6">
        <v>28.8</v>
      </c>
      <c r="Q91" s="6">
        <v>17.600000000000001</v>
      </c>
      <c r="R91" s="6">
        <v>7.2</v>
      </c>
      <c r="S91" s="6">
        <v>10.7</v>
      </c>
      <c r="T91" s="5">
        <v>2.7000000000000001E-3</v>
      </c>
      <c r="U91" s="1">
        <v>0.12859999999999999</v>
      </c>
      <c r="V91" s="1">
        <v>4.1214000000000004</v>
      </c>
    </row>
    <row r="92" spans="1:22" x14ac:dyDescent="0.25">
      <c r="A92" s="1">
        <v>0.99339999999999995</v>
      </c>
      <c r="B92" s="9" t="s">
        <v>3570</v>
      </c>
      <c r="C92" s="2">
        <v>5337</v>
      </c>
      <c r="D92" s="3" t="s">
        <v>214</v>
      </c>
      <c r="E92" s="9" t="s">
        <v>1493</v>
      </c>
      <c r="F92" s="9" t="s">
        <v>659</v>
      </c>
      <c r="G92" s="1">
        <v>1400.7697000000001</v>
      </c>
      <c r="H92" s="2">
        <v>1074</v>
      </c>
      <c r="I92" s="2">
        <v>2</v>
      </c>
      <c r="J92" s="1">
        <v>1400.7705000000001</v>
      </c>
      <c r="K92" s="1">
        <v>701.39210000000003</v>
      </c>
      <c r="L92" s="9" t="s">
        <v>660</v>
      </c>
      <c r="M92" s="2">
        <v>5.96</v>
      </c>
      <c r="N92" s="4">
        <v>7623.86</v>
      </c>
      <c r="O92" s="1">
        <v>0.57029441877089859</v>
      </c>
      <c r="P92" s="6">
        <v>52.8</v>
      </c>
      <c r="Q92" s="6">
        <v>38.9</v>
      </c>
      <c r="R92" s="6">
        <v>10</v>
      </c>
      <c r="S92" s="6">
        <v>11.5</v>
      </c>
      <c r="T92" s="5">
        <v>1.7999999999999999E-2</v>
      </c>
      <c r="U92" s="1">
        <v>8.0000000000000004E-4</v>
      </c>
      <c r="V92" s="1">
        <v>3.6080999999999999</v>
      </c>
    </row>
    <row r="93" spans="1:22" x14ac:dyDescent="0.25">
      <c r="A93" s="1">
        <v>0.99929999999999997</v>
      </c>
      <c r="B93" s="9" t="s">
        <v>3571</v>
      </c>
      <c r="C93" s="2">
        <v>5346</v>
      </c>
      <c r="D93" s="3" t="s">
        <v>270</v>
      </c>
      <c r="E93" s="9" t="s">
        <v>452</v>
      </c>
      <c r="F93" s="9" t="s">
        <v>222</v>
      </c>
      <c r="G93" s="1">
        <v>1715.7936999999999</v>
      </c>
      <c r="H93" s="2">
        <v>216</v>
      </c>
      <c r="I93" s="2">
        <v>2</v>
      </c>
      <c r="J93" s="1">
        <v>1715.8026</v>
      </c>
      <c r="K93" s="1">
        <v>858.90409999999997</v>
      </c>
      <c r="L93" s="9" t="s">
        <v>223</v>
      </c>
      <c r="M93" s="2">
        <v>4.54</v>
      </c>
      <c r="N93" s="4">
        <v>7638.91</v>
      </c>
      <c r="O93" s="1">
        <v>5.1810207914946504</v>
      </c>
      <c r="P93" s="6">
        <v>44.1</v>
      </c>
      <c r="Q93" s="6">
        <v>23.2</v>
      </c>
      <c r="R93" s="6">
        <v>13.1</v>
      </c>
      <c r="S93" s="6">
        <v>11</v>
      </c>
      <c r="T93" s="5">
        <v>2.3999999999999999E-6</v>
      </c>
      <c r="U93" s="1">
        <v>8.8999999999999999E-3</v>
      </c>
      <c r="V93" s="1">
        <v>7.96</v>
      </c>
    </row>
    <row r="94" spans="1:22" x14ac:dyDescent="0.25">
      <c r="A94" s="1">
        <v>0.995</v>
      </c>
      <c r="B94" s="9" t="s">
        <v>3572</v>
      </c>
      <c r="C94" s="2">
        <v>5353</v>
      </c>
      <c r="D94" s="3" t="s">
        <v>141</v>
      </c>
      <c r="E94" s="9" t="s">
        <v>467</v>
      </c>
      <c r="F94" s="9" t="s">
        <v>391</v>
      </c>
      <c r="G94" s="1">
        <v>1351.6992</v>
      </c>
      <c r="H94" s="2">
        <v>111</v>
      </c>
      <c r="I94" s="2">
        <v>2</v>
      </c>
      <c r="J94" s="1">
        <v>1351.7009</v>
      </c>
      <c r="K94" s="1">
        <v>676.8569</v>
      </c>
      <c r="L94" s="9" t="s">
        <v>364</v>
      </c>
      <c r="M94" s="2">
        <v>6.74</v>
      </c>
      <c r="N94" s="4">
        <v>7648.51</v>
      </c>
      <c r="O94" s="1">
        <v>1.2558045873507382</v>
      </c>
      <c r="P94" s="6">
        <v>46.4</v>
      </c>
      <c r="Q94" s="6">
        <v>33.799999999999997</v>
      </c>
      <c r="R94" s="6">
        <v>11.7</v>
      </c>
      <c r="S94" s="6">
        <v>11.3</v>
      </c>
      <c r="T94" s="5">
        <v>4.8999999999999998E-4</v>
      </c>
      <c r="U94" s="1">
        <v>1.6999999999999999E-3</v>
      </c>
      <c r="V94" s="1">
        <v>5.3865999999999996</v>
      </c>
    </row>
    <row r="95" spans="1:22" x14ac:dyDescent="0.25">
      <c r="A95" s="1">
        <v>0.98550000000000004</v>
      </c>
      <c r="B95" s="9" t="s">
        <v>3573</v>
      </c>
      <c r="C95" s="2">
        <v>5422</v>
      </c>
      <c r="D95" s="3" t="s">
        <v>280</v>
      </c>
      <c r="E95" s="9" t="s">
        <v>494</v>
      </c>
      <c r="F95" s="9" t="s">
        <v>495</v>
      </c>
      <c r="G95" s="1">
        <v>1368.7327</v>
      </c>
      <c r="H95" s="2">
        <v>607</v>
      </c>
      <c r="I95" s="2">
        <v>2</v>
      </c>
      <c r="J95" s="1">
        <v>1368.7544</v>
      </c>
      <c r="K95" s="1">
        <v>685.37360000000001</v>
      </c>
      <c r="L95" s="9" t="s">
        <v>157</v>
      </c>
      <c r="M95" s="2">
        <v>4.75</v>
      </c>
      <c r="N95" s="4">
        <v>7732.01</v>
      </c>
      <c r="O95" s="1">
        <v>15.830781926820642</v>
      </c>
      <c r="P95" s="6">
        <v>42.2</v>
      </c>
      <c r="Q95" s="6">
        <v>31.8</v>
      </c>
      <c r="R95" s="6">
        <v>12</v>
      </c>
      <c r="S95" s="6">
        <v>10.6</v>
      </c>
      <c r="T95" s="5">
        <v>1.2999999999999999E-3</v>
      </c>
      <c r="U95" s="1">
        <v>2.1700000000000001E-2</v>
      </c>
      <c r="V95" s="1">
        <v>4.4425999999999997</v>
      </c>
    </row>
    <row r="96" spans="1:22" x14ac:dyDescent="0.25">
      <c r="A96" s="1">
        <v>0.98960000000000004</v>
      </c>
      <c r="B96" s="9" t="s">
        <v>3574</v>
      </c>
      <c r="C96" s="2">
        <v>5441</v>
      </c>
      <c r="D96" s="3" t="s">
        <v>115</v>
      </c>
      <c r="E96" s="9" t="s">
        <v>494</v>
      </c>
      <c r="F96" s="9" t="s">
        <v>495</v>
      </c>
      <c r="G96" s="1">
        <v>1368.7327</v>
      </c>
      <c r="H96" s="2">
        <v>608</v>
      </c>
      <c r="I96" s="2">
        <v>2</v>
      </c>
      <c r="J96" s="1">
        <v>1368.7460000000001</v>
      </c>
      <c r="K96" s="1">
        <v>685.37360000000001</v>
      </c>
      <c r="L96" s="9" t="s">
        <v>157</v>
      </c>
      <c r="M96" s="2">
        <v>4.75</v>
      </c>
      <c r="N96" s="4">
        <v>7763.12</v>
      </c>
      <c r="O96" s="1">
        <v>9.7027373099868441</v>
      </c>
      <c r="P96" s="6">
        <v>46.1</v>
      </c>
      <c r="Q96" s="6">
        <v>34.799999999999997</v>
      </c>
      <c r="R96" s="6">
        <v>12.1</v>
      </c>
      <c r="S96" s="6">
        <v>11</v>
      </c>
      <c r="T96" s="5">
        <v>6.8999999999999997E-4</v>
      </c>
      <c r="U96" s="1">
        <v>1.3299999999999999E-2</v>
      </c>
      <c r="V96" s="1">
        <v>4.7178000000000004</v>
      </c>
    </row>
    <row r="97" spans="1:22" x14ac:dyDescent="0.25">
      <c r="A97" s="1">
        <v>0.99890000000000001</v>
      </c>
      <c r="B97" s="9" t="s">
        <v>3575</v>
      </c>
      <c r="C97" s="2">
        <v>5460</v>
      </c>
      <c r="D97" s="3" t="s">
        <v>493</v>
      </c>
      <c r="E97" s="9" t="s">
        <v>494</v>
      </c>
      <c r="F97" s="9" t="s">
        <v>495</v>
      </c>
      <c r="G97" s="1">
        <v>1368.7327</v>
      </c>
      <c r="H97" s="2">
        <v>609</v>
      </c>
      <c r="I97" s="2">
        <v>2</v>
      </c>
      <c r="J97" s="1">
        <v>1368.7478000000001</v>
      </c>
      <c r="K97" s="1">
        <v>685.37360000000001</v>
      </c>
      <c r="L97" s="9" t="s">
        <v>157</v>
      </c>
      <c r="M97" s="2">
        <v>4.75</v>
      </c>
      <c r="N97" s="4">
        <v>7794.17</v>
      </c>
      <c r="O97" s="1">
        <v>11.015889727879802</v>
      </c>
      <c r="P97" s="6">
        <v>49.9</v>
      </c>
      <c r="Q97" s="6">
        <v>30.9</v>
      </c>
      <c r="R97" s="6">
        <v>12.1</v>
      </c>
      <c r="S97" s="6">
        <v>10.8</v>
      </c>
      <c r="T97" s="5">
        <v>6.9E-6</v>
      </c>
      <c r="U97" s="1">
        <v>1.5100000000000001E-2</v>
      </c>
      <c r="V97" s="1">
        <v>7.3632999999999997</v>
      </c>
    </row>
    <row r="98" spans="1:22" x14ac:dyDescent="0.25">
      <c r="A98" s="1">
        <v>0.99529999999999996</v>
      </c>
      <c r="B98" s="9" t="s">
        <v>3576</v>
      </c>
      <c r="C98" s="2">
        <v>5482</v>
      </c>
      <c r="D98" s="3" t="s">
        <v>280</v>
      </c>
      <c r="E98" s="9" t="s">
        <v>494</v>
      </c>
      <c r="F98" s="9" t="s">
        <v>495</v>
      </c>
      <c r="G98" s="1">
        <v>1368.7322999999999</v>
      </c>
      <c r="H98" s="2">
        <v>218</v>
      </c>
      <c r="I98" s="2">
        <v>2</v>
      </c>
      <c r="J98" s="1">
        <v>1368.7358999999999</v>
      </c>
      <c r="K98" s="1">
        <v>685.37339999999995</v>
      </c>
      <c r="L98" s="9" t="s">
        <v>157</v>
      </c>
      <c r="M98" s="2">
        <v>4.75</v>
      </c>
      <c r="N98" s="4">
        <v>7826.61</v>
      </c>
      <c r="O98" s="1">
        <v>2.6263056021724802</v>
      </c>
      <c r="P98" s="6">
        <v>42.6</v>
      </c>
      <c r="Q98" s="6">
        <v>26.7</v>
      </c>
      <c r="R98" s="6">
        <v>12.1</v>
      </c>
      <c r="S98" s="6">
        <v>10.8</v>
      </c>
      <c r="T98" s="5">
        <v>2.5000000000000001E-4</v>
      </c>
      <c r="U98" s="1">
        <v>3.5999999999999999E-3</v>
      </c>
      <c r="V98" s="1">
        <v>5.7369000000000003</v>
      </c>
    </row>
    <row r="99" spans="1:22" x14ac:dyDescent="0.25">
      <c r="A99" s="1">
        <v>0.99580000000000002</v>
      </c>
      <c r="B99" s="9" t="s">
        <v>3577</v>
      </c>
      <c r="C99" s="2">
        <v>5506</v>
      </c>
      <c r="D99" s="3" t="s">
        <v>115</v>
      </c>
      <c r="E99" s="9" t="s">
        <v>494</v>
      </c>
      <c r="F99" s="9" t="s">
        <v>597</v>
      </c>
      <c r="G99" s="1">
        <v>1368.7322999999999</v>
      </c>
      <c r="H99" s="2">
        <v>1078</v>
      </c>
      <c r="I99" s="2">
        <v>2</v>
      </c>
      <c r="J99" s="1">
        <v>1368.7252000000001</v>
      </c>
      <c r="K99" s="1">
        <v>685.37339999999995</v>
      </c>
      <c r="L99" s="9" t="s">
        <v>157</v>
      </c>
      <c r="M99" s="2">
        <v>4.75</v>
      </c>
      <c r="N99" s="4">
        <v>7855.92</v>
      </c>
      <c r="O99" s="1">
        <v>-5.1796582709512808</v>
      </c>
      <c r="P99" s="6">
        <v>46.1</v>
      </c>
      <c r="Q99" s="6">
        <v>30.3</v>
      </c>
      <c r="R99" s="6">
        <v>12</v>
      </c>
      <c r="S99" s="6">
        <v>9.8000000000000007</v>
      </c>
      <c r="T99" s="5">
        <v>2.1000000000000001E-4</v>
      </c>
      <c r="U99" s="1">
        <v>-7.1000000000000004E-3</v>
      </c>
      <c r="V99" s="1">
        <v>5.6788999999999996</v>
      </c>
    </row>
    <row r="100" spans="1:22" x14ac:dyDescent="0.25">
      <c r="A100" s="1">
        <v>0.99590000000000001</v>
      </c>
      <c r="B100" s="9" t="s">
        <v>3578</v>
      </c>
      <c r="C100" s="2">
        <v>5588</v>
      </c>
      <c r="D100" s="3" t="s">
        <v>1145</v>
      </c>
      <c r="E100" s="9" t="s">
        <v>998</v>
      </c>
      <c r="F100" s="9" t="s">
        <v>1522</v>
      </c>
      <c r="G100" s="1">
        <v>1773.9949999999999</v>
      </c>
      <c r="H100" s="2">
        <v>112</v>
      </c>
      <c r="I100" s="2">
        <v>2</v>
      </c>
      <c r="J100" s="1">
        <v>1774.0019</v>
      </c>
      <c r="K100" s="1">
        <v>888.00480000000005</v>
      </c>
      <c r="L100" s="9" t="s">
        <v>603</v>
      </c>
      <c r="M100" s="2">
        <v>4.8499999999999996</v>
      </c>
      <c r="N100" s="4">
        <v>7962.37</v>
      </c>
      <c r="O100" s="1">
        <v>3.885114134518191</v>
      </c>
      <c r="P100" s="6">
        <v>47.4</v>
      </c>
      <c r="Q100" s="6">
        <v>25</v>
      </c>
      <c r="R100" s="6">
        <v>11.4</v>
      </c>
      <c r="S100" s="6">
        <v>13.8</v>
      </c>
      <c r="T100" s="5">
        <v>1.5999999999999999E-5</v>
      </c>
      <c r="U100" s="1">
        <v>6.8999999999999999E-3</v>
      </c>
      <c r="V100" s="1">
        <v>6.9142999999999999</v>
      </c>
    </row>
    <row r="101" spans="1:22" x14ac:dyDescent="0.25">
      <c r="A101" s="1">
        <v>0.96499999999999997</v>
      </c>
      <c r="B101" s="9" t="s">
        <v>3579</v>
      </c>
      <c r="C101" s="2">
        <v>5620</v>
      </c>
      <c r="D101" s="3" t="s">
        <v>41</v>
      </c>
      <c r="E101" s="9" t="s">
        <v>3580</v>
      </c>
      <c r="F101" s="9" t="s">
        <v>3581</v>
      </c>
      <c r="G101" s="1">
        <v>1795.9766999999999</v>
      </c>
      <c r="H101" s="2">
        <v>611</v>
      </c>
      <c r="I101" s="2">
        <v>3</v>
      </c>
      <c r="J101" s="1">
        <v>1795.9911999999999</v>
      </c>
      <c r="K101" s="1">
        <v>599.6662</v>
      </c>
      <c r="L101" s="9" t="s">
        <v>3582</v>
      </c>
      <c r="M101" s="2">
        <v>8.76</v>
      </c>
      <c r="N101" s="4">
        <v>8004.17</v>
      </c>
      <c r="O101" s="1">
        <v>8.0600396242665244</v>
      </c>
      <c r="P101" s="6">
        <v>37</v>
      </c>
      <c r="Q101" s="6">
        <v>25.4</v>
      </c>
      <c r="R101" s="6">
        <v>10.9</v>
      </c>
      <c r="S101" s="6">
        <v>10</v>
      </c>
      <c r="T101" s="5">
        <v>3.7999999999999999E-2</v>
      </c>
      <c r="U101" s="1">
        <v>1.4500000000000001E-2</v>
      </c>
      <c r="V101" s="1">
        <v>3.5076999999999998</v>
      </c>
    </row>
    <row r="102" spans="1:22" x14ac:dyDescent="0.25">
      <c r="A102" s="1">
        <v>0.99939999999999996</v>
      </c>
      <c r="B102" s="9" t="s">
        <v>3583</v>
      </c>
      <c r="C102" s="2">
        <v>5626</v>
      </c>
      <c r="D102" s="3" t="s">
        <v>1321</v>
      </c>
      <c r="E102" s="9" t="s">
        <v>3584</v>
      </c>
      <c r="F102" s="9" t="s">
        <v>3585</v>
      </c>
      <c r="G102" s="1">
        <v>1859.0587</v>
      </c>
      <c r="H102" s="2">
        <v>220</v>
      </c>
      <c r="I102" s="2">
        <v>2</v>
      </c>
      <c r="J102" s="1">
        <v>1859.0844</v>
      </c>
      <c r="K102" s="1">
        <v>930.53660000000002</v>
      </c>
      <c r="L102" s="9" t="s">
        <v>3586</v>
      </c>
      <c r="M102" s="2">
        <v>8.5</v>
      </c>
      <c r="N102" s="4">
        <v>8014.92</v>
      </c>
      <c r="O102" s="1">
        <v>13.809236520089591</v>
      </c>
      <c r="P102" s="6">
        <v>50.9</v>
      </c>
      <c r="Q102" s="6">
        <v>23</v>
      </c>
      <c r="R102" s="6">
        <v>11.4</v>
      </c>
      <c r="S102" s="6">
        <v>10.5</v>
      </c>
      <c r="T102" s="5">
        <v>1.5E-6</v>
      </c>
      <c r="U102" s="1">
        <v>2.5700000000000001E-2</v>
      </c>
      <c r="V102" s="1">
        <v>8.2043999999999997</v>
      </c>
    </row>
    <row r="103" spans="1:22" x14ac:dyDescent="0.25">
      <c r="A103" s="1">
        <v>0.999</v>
      </c>
      <c r="B103" s="9" t="s">
        <v>3587</v>
      </c>
      <c r="C103" s="2">
        <v>5651</v>
      </c>
      <c r="D103" s="3" t="s">
        <v>1678</v>
      </c>
      <c r="E103" s="9" t="s">
        <v>1545</v>
      </c>
      <c r="F103" s="9" t="s">
        <v>1546</v>
      </c>
      <c r="G103" s="1">
        <v>1593.8326999999999</v>
      </c>
      <c r="H103" s="2">
        <v>221</v>
      </c>
      <c r="I103" s="2">
        <v>2</v>
      </c>
      <c r="J103" s="1">
        <v>1593.8486</v>
      </c>
      <c r="K103" s="1">
        <v>797.92359999999996</v>
      </c>
      <c r="L103" s="9" t="s">
        <v>1547</v>
      </c>
      <c r="M103" s="2">
        <v>4.9400000000000004</v>
      </c>
      <c r="N103" s="4">
        <v>8048.42</v>
      </c>
      <c r="O103" s="1">
        <v>9.9633599006220646</v>
      </c>
      <c r="P103" s="6">
        <v>56.4</v>
      </c>
      <c r="Q103" s="6">
        <v>32.700000000000003</v>
      </c>
      <c r="R103" s="6">
        <v>9.1</v>
      </c>
      <c r="S103" s="6">
        <v>11.3</v>
      </c>
      <c r="T103" s="5">
        <v>2.7000000000000001E-7</v>
      </c>
      <c r="U103" s="1">
        <v>1.5900000000000001E-2</v>
      </c>
      <c r="V103" s="1">
        <v>8.9764999999999997</v>
      </c>
    </row>
    <row r="104" spans="1:22" x14ac:dyDescent="0.25">
      <c r="A104" s="1">
        <v>0.96940000000000004</v>
      </c>
      <c r="B104" s="9" t="s">
        <v>3588</v>
      </c>
      <c r="C104" s="2">
        <v>5904</v>
      </c>
      <c r="D104" s="3" t="s">
        <v>621</v>
      </c>
      <c r="E104" s="9" t="s">
        <v>1036</v>
      </c>
      <c r="F104" s="9" t="s">
        <v>944</v>
      </c>
      <c r="G104" s="1">
        <v>1204.6161999999999</v>
      </c>
      <c r="H104" s="2">
        <v>613</v>
      </c>
      <c r="I104" s="2">
        <v>2</v>
      </c>
      <c r="J104" s="1">
        <v>1204.6225999999999</v>
      </c>
      <c r="K104" s="1">
        <v>603.31539999999995</v>
      </c>
      <c r="L104" s="9" t="s">
        <v>945</v>
      </c>
      <c r="M104" s="2">
        <v>6.19</v>
      </c>
      <c r="N104" s="4">
        <v>8347.6299999999992</v>
      </c>
      <c r="O104" s="1">
        <v>5.3040250588663911</v>
      </c>
      <c r="P104" s="6">
        <v>33.1</v>
      </c>
      <c r="Q104" s="6">
        <v>22.9</v>
      </c>
      <c r="R104" s="6">
        <v>5.8</v>
      </c>
      <c r="S104" s="6">
        <v>9.8000000000000007</v>
      </c>
      <c r="T104" s="5">
        <v>2.3E-2</v>
      </c>
      <c r="U104" s="1">
        <v>6.4000000000000003E-3</v>
      </c>
      <c r="V104" s="1">
        <v>3.8677999999999999</v>
      </c>
    </row>
    <row r="105" spans="1:22" x14ac:dyDescent="0.25">
      <c r="A105" s="1">
        <v>0.99080000000000001</v>
      </c>
      <c r="B105" s="9" t="s">
        <v>3589</v>
      </c>
      <c r="C105" s="2">
        <v>5909</v>
      </c>
      <c r="D105" s="3" t="s">
        <v>1531</v>
      </c>
      <c r="E105" s="9" t="s">
        <v>1643</v>
      </c>
      <c r="F105" s="9" t="s">
        <v>844</v>
      </c>
      <c r="G105" s="1">
        <v>2051.0794999999998</v>
      </c>
      <c r="H105" s="2">
        <v>430</v>
      </c>
      <c r="I105" s="2">
        <v>2</v>
      </c>
      <c r="J105" s="1">
        <v>2051.0803999999998</v>
      </c>
      <c r="K105" s="1">
        <v>1026.547</v>
      </c>
      <c r="L105" s="9" t="s">
        <v>745</v>
      </c>
      <c r="M105" s="2">
        <v>8.59</v>
      </c>
      <c r="N105" s="4">
        <v>8354.1299999999992</v>
      </c>
      <c r="O105" s="1">
        <v>0.43836278319453464</v>
      </c>
      <c r="P105" s="6">
        <v>38.799999999999997</v>
      </c>
      <c r="Q105" s="6">
        <v>26.2</v>
      </c>
      <c r="R105" s="6">
        <v>12.2</v>
      </c>
      <c r="S105" s="6">
        <v>9.1999999999999993</v>
      </c>
      <c r="T105" s="5">
        <v>3.2000000000000002E-3</v>
      </c>
      <c r="U105" s="1">
        <v>8.9999999999999998E-4</v>
      </c>
      <c r="V105" s="1">
        <v>3.7911000000000001</v>
      </c>
    </row>
    <row r="106" spans="1:22" x14ac:dyDescent="0.25">
      <c r="A106" s="1">
        <v>1</v>
      </c>
      <c r="B106" s="9" t="s">
        <v>3590</v>
      </c>
      <c r="C106" s="2">
        <v>5926</v>
      </c>
      <c r="D106" s="3" t="s">
        <v>3423</v>
      </c>
      <c r="E106" s="9" t="s">
        <v>3424</v>
      </c>
      <c r="F106" s="9" t="s">
        <v>3357</v>
      </c>
      <c r="G106" s="1">
        <v>2871.6986999999999</v>
      </c>
      <c r="H106" s="2">
        <v>916</v>
      </c>
      <c r="I106" s="2">
        <v>3</v>
      </c>
      <c r="J106" s="1">
        <v>2871.7231000000002</v>
      </c>
      <c r="K106" s="1">
        <v>958.24019999999996</v>
      </c>
      <c r="L106" s="9" t="s">
        <v>2161</v>
      </c>
      <c r="M106" s="2">
        <v>9.99</v>
      </c>
      <c r="N106" s="4">
        <v>8375.99</v>
      </c>
      <c r="O106" s="1">
        <v>8.487781386476307</v>
      </c>
      <c r="P106" s="6">
        <v>73.2</v>
      </c>
      <c r="Q106" s="6">
        <v>73.2</v>
      </c>
      <c r="R106" s="6">
        <v>12.9</v>
      </c>
      <c r="S106" s="6">
        <v>14</v>
      </c>
      <c r="T106" s="5">
        <v>1.0999999999999999E-10</v>
      </c>
      <c r="U106" s="1">
        <v>2.4400000000000002E-2</v>
      </c>
      <c r="V106" s="1">
        <v>9.1941000000000006</v>
      </c>
    </row>
    <row r="107" spans="1:22" x14ac:dyDescent="0.25">
      <c r="A107" s="1">
        <v>0.99880000000000002</v>
      </c>
      <c r="B107" s="9" t="s">
        <v>3591</v>
      </c>
      <c r="C107" s="2">
        <v>5939</v>
      </c>
      <c r="D107" s="3" t="s">
        <v>280</v>
      </c>
      <c r="E107" s="9" t="s">
        <v>618</v>
      </c>
      <c r="F107" s="9" t="s">
        <v>619</v>
      </c>
      <c r="G107" s="1">
        <v>1641.8336999999999</v>
      </c>
      <c r="H107" s="2">
        <v>614</v>
      </c>
      <c r="I107" s="2">
        <v>2</v>
      </c>
      <c r="J107" s="1">
        <v>1641.8584000000001</v>
      </c>
      <c r="K107" s="1">
        <v>821.92409999999995</v>
      </c>
      <c r="L107" s="9" t="s">
        <v>571</v>
      </c>
      <c r="M107" s="2">
        <v>6.76</v>
      </c>
      <c r="N107" s="4">
        <v>8391.14</v>
      </c>
      <c r="O107" s="1">
        <v>15.025718311459659</v>
      </c>
      <c r="P107" s="6">
        <v>44.4</v>
      </c>
      <c r="Q107" s="6">
        <v>27.1</v>
      </c>
      <c r="R107" s="6">
        <v>9.8000000000000007</v>
      </c>
      <c r="S107" s="6">
        <v>12.3</v>
      </c>
      <c r="T107" s="5">
        <v>1.1E-5</v>
      </c>
      <c r="U107" s="1">
        <v>2.47E-2</v>
      </c>
      <c r="V107" s="1">
        <v>7.1957000000000004</v>
      </c>
    </row>
    <row r="108" spans="1:22" x14ac:dyDescent="0.25">
      <c r="A108" s="1">
        <v>0.9909</v>
      </c>
      <c r="B108" s="9" t="s">
        <v>3592</v>
      </c>
      <c r="C108" s="2">
        <v>5981</v>
      </c>
      <c r="D108" s="3" t="s">
        <v>423</v>
      </c>
      <c r="E108" s="9" t="s">
        <v>1637</v>
      </c>
      <c r="F108" s="9" t="s">
        <v>1638</v>
      </c>
      <c r="G108" s="1">
        <v>1545.8117</v>
      </c>
      <c r="H108" s="2">
        <v>34</v>
      </c>
      <c r="I108" s="2">
        <v>2</v>
      </c>
      <c r="J108" s="1">
        <v>1545.8316</v>
      </c>
      <c r="K108" s="1">
        <v>773.91309999999999</v>
      </c>
      <c r="L108" s="9" t="s">
        <v>1639</v>
      </c>
      <c r="M108" s="2">
        <v>4.8600000000000003</v>
      </c>
      <c r="N108" s="4">
        <v>8439.34</v>
      </c>
      <c r="O108" s="1">
        <v>12.856740634058269</v>
      </c>
      <c r="P108" s="6">
        <v>36.5</v>
      </c>
      <c r="Q108" s="6">
        <v>24.2</v>
      </c>
      <c r="R108" s="6">
        <v>11.2</v>
      </c>
      <c r="S108" s="6">
        <v>12.9</v>
      </c>
      <c r="T108" s="5">
        <v>1.6999999999999999E-3</v>
      </c>
      <c r="U108" s="1">
        <v>1.9900000000000001E-2</v>
      </c>
      <c r="V108" s="1">
        <v>4.7252999999999998</v>
      </c>
    </row>
    <row r="109" spans="1:22" x14ac:dyDescent="0.25">
      <c r="A109" s="1">
        <v>0.99770000000000003</v>
      </c>
      <c r="B109" s="9" t="s">
        <v>3593</v>
      </c>
      <c r="C109" s="2">
        <v>6023</v>
      </c>
      <c r="D109" s="3" t="s">
        <v>278</v>
      </c>
      <c r="E109" s="9" t="s">
        <v>635</v>
      </c>
      <c r="F109" s="9" t="s">
        <v>340</v>
      </c>
      <c r="G109" s="1">
        <v>1664.8232</v>
      </c>
      <c r="H109" s="2">
        <v>615</v>
      </c>
      <c r="I109" s="2">
        <v>2</v>
      </c>
      <c r="J109" s="1">
        <v>1664.8246999999999</v>
      </c>
      <c r="K109" s="1">
        <v>833.41890000000001</v>
      </c>
      <c r="L109" s="9" t="s">
        <v>341</v>
      </c>
      <c r="M109" s="2">
        <v>6.22</v>
      </c>
      <c r="N109" s="4">
        <v>8489.5499999999993</v>
      </c>
      <c r="O109" s="1">
        <v>0.89990759748788995</v>
      </c>
      <c r="P109" s="6">
        <v>48.5</v>
      </c>
      <c r="Q109" s="6">
        <v>26.2</v>
      </c>
      <c r="R109" s="6">
        <v>9</v>
      </c>
      <c r="S109" s="6">
        <v>10.9</v>
      </c>
      <c r="T109" s="5">
        <v>1.1E-4</v>
      </c>
      <c r="U109" s="1">
        <v>1.5E-3</v>
      </c>
      <c r="V109" s="1">
        <v>6.2638999999999996</v>
      </c>
    </row>
    <row r="110" spans="1:22" x14ac:dyDescent="0.25">
      <c r="A110" s="1">
        <v>0.99690000000000001</v>
      </c>
      <c r="B110" s="9" t="s">
        <v>3594</v>
      </c>
      <c r="C110" s="2">
        <v>6025</v>
      </c>
      <c r="D110" s="3" t="s">
        <v>174</v>
      </c>
      <c r="E110" s="9" t="s">
        <v>3595</v>
      </c>
      <c r="F110" s="9" t="s">
        <v>427</v>
      </c>
      <c r="G110" s="1">
        <v>1960.1067</v>
      </c>
      <c r="H110" s="2">
        <v>849</v>
      </c>
      <c r="I110" s="2">
        <v>2</v>
      </c>
      <c r="J110" s="1">
        <v>1960.1080999999999</v>
      </c>
      <c r="K110" s="1">
        <v>981.06060000000002</v>
      </c>
      <c r="L110" s="9" t="s">
        <v>428</v>
      </c>
      <c r="M110" s="2">
        <v>8.59</v>
      </c>
      <c r="N110" s="4">
        <v>8494.9</v>
      </c>
      <c r="O110" s="1">
        <v>0.71351351792131901</v>
      </c>
      <c r="P110" s="6">
        <v>42.3</v>
      </c>
      <c r="Q110" s="6">
        <v>21.7</v>
      </c>
      <c r="R110" s="6">
        <v>12.2</v>
      </c>
      <c r="S110" s="6">
        <v>9.9</v>
      </c>
      <c r="T110" s="5">
        <v>3.4999999999999997E-5</v>
      </c>
      <c r="U110" s="1">
        <v>1.4E-3</v>
      </c>
      <c r="V110" s="1">
        <v>6.4520999999999997</v>
      </c>
    </row>
    <row r="111" spans="1:22" x14ac:dyDescent="0.25">
      <c r="A111" s="1">
        <v>0.99660000000000004</v>
      </c>
      <c r="B111" s="9" t="s">
        <v>3596</v>
      </c>
      <c r="C111" s="2">
        <v>6043</v>
      </c>
      <c r="D111" s="3" t="s">
        <v>1145</v>
      </c>
      <c r="E111" s="9" t="s">
        <v>646</v>
      </c>
      <c r="F111" s="9" t="s">
        <v>647</v>
      </c>
      <c r="G111" s="1">
        <v>1601.8516999999999</v>
      </c>
      <c r="H111" s="2">
        <v>35</v>
      </c>
      <c r="I111" s="2">
        <v>2</v>
      </c>
      <c r="J111" s="1">
        <v>1601.8693000000001</v>
      </c>
      <c r="K111" s="1">
        <v>801.93309999999997</v>
      </c>
      <c r="L111" s="9" t="s">
        <v>118</v>
      </c>
      <c r="M111" s="2">
        <v>6.21</v>
      </c>
      <c r="N111" s="4">
        <v>8514.5499999999993</v>
      </c>
      <c r="O111" s="1">
        <v>10.973483947725814</v>
      </c>
      <c r="P111" s="6">
        <v>46.2</v>
      </c>
      <c r="Q111" s="6">
        <v>26</v>
      </c>
      <c r="R111" s="6">
        <v>12.1</v>
      </c>
      <c r="S111" s="6">
        <v>10</v>
      </c>
      <c r="T111" s="5">
        <v>2.0000000000000001E-4</v>
      </c>
      <c r="U111" s="1">
        <v>1.7600000000000001E-2</v>
      </c>
      <c r="V111" s="1">
        <v>5.7248999999999999</v>
      </c>
    </row>
    <row r="112" spans="1:22" x14ac:dyDescent="0.25">
      <c r="A112" s="1">
        <v>0.96079999999999999</v>
      </c>
      <c r="B112" s="9" t="s">
        <v>3597</v>
      </c>
      <c r="C112" s="2">
        <v>6056</v>
      </c>
      <c r="D112" s="3" t="s">
        <v>326</v>
      </c>
      <c r="E112" s="9" t="s">
        <v>1074</v>
      </c>
      <c r="F112" s="9" t="s">
        <v>1075</v>
      </c>
      <c r="G112" s="1">
        <v>1234.6016</v>
      </c>
      <c r="H112" s="2">
        <v>616</v>
      </c>
      <c r="I112" s="2">
        <v>2</v>
      </c>
      <c r="J112" s="1">
        <v>1234.6022</v>
      </c>
      <c r="K112" s="1">
        <v>618.30809999999997</v>
      </c>
      <c r="L112" s="9" t="s">
        <v>1076</v>
      </c>
      <c r="M112" s="2">
        <v>4.75</v>
      </c>
      <c r="N112" s="4">
        <v>8529.85</v>
      </c>
      <c r="O112" s="1">
        <v>0.48519500229739837</v>
      </c>
      <c r="P112" s="6">
        <v>41.1</v>
      </c>
      <c r="Q112" s="6">
        <v>28.8</v>
      </c>
      <c r="R112" s="6">
        <v>9.1999999999999993</v>
      </c>
      <c r="S112" s="6">
        <v>10.9</v>
      </c>
      <c r="T112" s="5">
        <v>0.03</v>
      </c>
      <c r="U112" s="1">
        <v>5.9999999999999995E-4</v>
      </c>
      <c r="V112" s="1">
        <v>3.6884000000000001</v>
      </c>
    </row>
    <row r="113" spans="1:22" x14ac:dyDescent="0.25">
      <c r="A113" s="1">
        <v>0.98499999999999999</v>
      </c>
      <c r="B113" s="9" t="s">
        <v>3598</v>
      </c>
      <c r="C113" s="2">
        <v>6070</v>
      </c>
      <c r="D113" s="3" t="s">
        <v>630</v>
      </c>
      <c r="E113" s="9" t="s">
        <v>646</v>
      </c>
      <c r="F113" s="9" t="s">
        <v>647</v>
      </c>
      <c r="G113" s="1">
        <v>1601.8521000000001</v>
      </c>
      <c r="H113" s="2">
        <v>850</v>
      </c>
      <c r="I113" s="2">
        <v>2</v>
      </c>
      <c r="J113" s="1">
        <v>1601.8547000000001</v>
      </c>
      <c r="K113" s="1">
        <v>801.93330000000003</v>
      </c>
      <c r="L113" s="9" t="s">
        <v>118</v>
      </c>
      <c r="M113" s="2">
        <v>6.21</v>
      </c>
      <c r="N113" s="4">
        <v>8548.4</v>
      </c>
      <c r="O113" s="1">
        <v>1.6210824516203528</v>
      </c>
      <c r="P113" s="6">
        <v>38.9</v>
      </c>
      <c r="Q113" s="6">
        <v>26</v>
      </c>
      <c r="R113" s="6">
        <v>12.1</v>
      </c>
      <c r="S113" s="6">
        <v>10.3</v>
      </c>
      <c r="T113" s="5">
        <v>7.2999999999999996E-4</v>
      </c>
      <c r="U113" s="1">
        <v>2.5999999999999999E-3</v>
      </c>
      <c r="V113" s="1">
        <v>4.7537000000000003</v>
      </c>
    </row>
    <row r="114" spans="1:22" x14ac:dyDescent="0.25">
      <c r="A114" s="1">
        <v>0.99929999999999997</v>
      </c>
      <c r="B114" s="9" t="s">
        <v>3599</v>
      </c>
      <c r="C114" s="2">
        <v>7046</v>
      </c>
      <c r="D114" s="3" t="s">
        <v>15</v>
      </c>
      <c r="E114" s="9" t="s">
        <v>16</v>
      </c>
      <c r="F114" s="9" t="s">
        <v>17</v>
      </c>
      <c r="G114" s="1">
        <v>1509.7827</v>
      </c>
      <c r="H114" s="2">
        <v>646</v>
      </c>
      <c r="I114" s="2">
        <v>3</v>
      </c>
      <c r="J114" s="1">
        <v>1509.8244999999999</v>
      </c>
      <c r="K114" s="1">
        <v>504.26819999999998</v>
      </c>
      <c r="L114" s="9" t="s">
        <v>18</v>
      </c>
      <c r="M114" s="2">
        <v>6.77</v>
      </c>
      <c r="N114" s="4">
        <v>1749.31</v>
      </c>
      <c r="O114" s="1">
        <v>27.630799113117448</v>
      </c>
      <c r="P114" s="6">
        <v>31.7</v>
      </c>
      <c r="Q114" s="6">
        <v>24.4</v>
      </c>
      <c r="R114" s="6">
        <v>13.4</v>
      </c>
      <c r="S114" s="6">
        <v>11.2</v>
      </c>
      <c r="T114" s="5">
        <v>1.1999999999999999E-3</v>
      </c>
      <c r="U114" s="1">
        <v>4.1799999999999997E-2</v>
      </c>
      <c r="V114" s="1">
        <v>5.2080000000000002</v>
      </c>
    </row>
    <row r="115" spans="1:22" x14ac:dyDescent="0.25">
      <c r="A115" s="1">
        <v>0.99550000000000005</v>
      </c>
      <c r="B115" s="9" t="s">
        <v>3600</v>
      </c>
      <c r="C115" s="2">
        <v>7049</v>
      </c>
      <c r="D115" s="3" t="s">
        <v>3601</v>
      </c>
      <c r="E115" s="9" t="s">
        <v>1805</v>
      </c>
      <c r="F115" s="9" t="s">
        <v>1799</v>
      </c>
      <c r="G115" s="1">
        <v>1962.1087</v>
      </c>
      <c r="H115" s="2">
        <v>1102</v>
      </c>
      <c r="I115" s="2">
        <v>4</v>
      </c>
      <c r="J115" s="1">
        <v>1962.1258</v>
      </c>
      <c r="K115" s="1">
        <v>491.53449999999998</v>
      </c>
      <c r="L115" s="9" t="s">
        <v>1800</v>
      </c>
      <c r="M115" s="2">
        <v>10.48</v>
      </c>
      <c r="N115" s="4">
        <v>1890.02</v>
      </c>
      <c r="O115" s="1">
        <v>8.6972531938246451</v>
      </c>
      <c r="P115" s="6">
        <v>44.6</v>
      </c>
      <c r="Q115" s="6">
        <v>34.4</v>
      </c>
      <c r="R115" s="6">
        <v>10.9</v>
      </c>
      <c r="S115" s="6">
        <v>12.9</v>
      </c>
      <c r="T115" s="5">
        <v>5.5000000000000003E-4</v>
      </c>
      <c r="U115" s="1">
        <v>1.7100000000000001E-2</v>
      </c>
      <c r="V115" s="1">
        <v>4.8163</v>
      </c>
    </row>
    <row r="116" spans="1:22" x14ac:dyDescent="0.25">
      <c r="A116" s="1">
        <v>0.98850000000000005</v>
      </c>
      <c r="B116" s="9" t="s">
        <v>3602</v>
      </c>
      <c r="C116" s="2">
        <v>7111</v>
      </c>
      <c r="D116" s="3" t="s">
        <v>149</v>
      </c>
      <c r="E116" s="9" t="s">
        <v>720</v>
      </c>
      <c r="F116" s="9" t="s">
        <v>721</v>
      </c>
      <c r="G116" s="1">
        <v>1323.7663</v>
      </c>
      <c r="H116" s="2">
        <v>648</v>
      </c>
      <c r="I116" s="2">
        <v>3</v>
      </c>
      <c r="J116" s="1">
        <v>1323.7747999999999</v>
      </c>
      <c r="K116" s="1">
        <v>442.2627</v>
      </c>
      <c r="L116" s="9" t="s">
        <v>118</v>
      </c>
      <c r="M116" s="2">
        <v>8.6</v>
      </c>
      <c r="N116" s="4">
        <v>3019.24</v>
      </c>
      <c r="O116" s="1">
        <v>6.4064487765604774</v>
      </c>
      <c r="P116" s="6">
        <v>30.9</v>
      </c>
      <c r="Q116" s="6">
        <v>23.4</v>
      </c>
      <c r="R116" s="6">
        <v>11.2</v>
      </c>
      <c r="S116" s="6">
        <v>8.5</v>
      </c>
      <c r="T116" s="5">
        <v>6.5000000000000002E-2</v>
      </c>
      <c r="U116" s="1">
        <v>8.5000000000000006E-3</v>
      </c>
      <c r="V116" s="1">
        <v>3.3119000000000001</v>
      </c>
    </row>
    <row r="117" spans="1:22" x14ac:dyDescent="0.25">
      <c r="A117" s="1">
        <v>0.99519999999999997</v>
      </c>
      <c r="B117" s="9" t="s">
        <v>3603</v>
      </c>
      <c r="C117" s="2">
        <v>7118</v>
      </c>
      <c r="D117" s="3" t="s">
        <v>723</v>
      </c>
      <c r="E117" s="9" t="s">
        <v>724</v>
      </c>
      <c r="F117" s="9" t="s">
        <v>647</v>
      </c>
      <c r="G117" s="1">
        <v>1439.85</v>
      </c>
      <c r="H117" s="2">
        <v>650</v>
      </c>
      <c r="I117" s="2">
        <v>3</v>
      </c>
      <c r="J117" s="1">
        <v>1439.8530000000001</v>
      </c>
      <c r="K117" s="1">
        <v>480.95729999999998</v>
      </c>
      <c r="L117" s="9" t="s">
        <v>118</v>
      </c>
      <c r="M117" s="2">
        <v>8.48</v>
      </c>
      <c r="N117" s="4">
        <v>3109.14</v>
      </c>
      <c r="O117" s="1">
        <v>2.0791866554473755</v>
      </c>
      <c r="P117" s="6">
        <v>25</v>
      </c>
      <c r="Q117" s="6">
        <v>16.600000000000001</v>
      </c>
      <c r="R117" s="6">
        <v>2.2999999999999998</v>
      </c>
      <c r="S117" s="6">
        <v>10.4</v>
      </c>
      <c r="T117" s="5">
        <v>6.7000000000000004E-2</v>
      </c>
      <c r="U117" s="1">
        <v>3.0000000000000001E-3</v>
      </c>
      <c r="V117" s="1">
        <v>3.8561999999999999</v>
      </c>
    </row>
    <row r="118" spans="1:22" x14ac:dyDescent="0.25">
      <c r="A118" s="1">
        <v>0.99860000000000004</v>
      </c>
      <c r="B118" s="9" t="s">
        <v>3604</v>
      </c>
      <c r="C118" s="2">
        <v>7129</v>
      </c>
      <c r="D118" s="3" t="s">
        <v>201</v>
      </c>
      <c r="E118" s="9" t="s">
        <v>79</v>
      </c>
      <c r="F118" s="9" t="s">
        <v>80</v>
      </c>
      <c r="G118" s="1">
        <v>1140.5239999999999</v>
      </c>
      <c r="H118" s="2">
        <v>618</v>
      </c>
      <c r="I118" s="2">
        <v>2</v>
      </c>
      <c r="J118" s="1">
        <v>1140.5237</v>
      </c>
      <c r="K118" s="1">
        <v>571.26930000000004</v>
      </c>
      <c r="L118" s="9" t="s">
        <v>81</v>
      </c>
      <c r="M118" s="2">
        <v>5.47</v>
      </c>
      <c r="N118" s="4">
        <v>3311.44</v>
      </c>
      <c r="O118" s="1">
        <v>-0.26257318571118732</v>
      </c>
      <c r="P118" s="6">
        <v>46.9</v>
      </c>
      <c r="Q118" s="6">
        <v>28.2</v>
      </c>
      <c r="R118" s="6">
        <v>10.8</v>
      </c>
      <c r="S118" s="6">
        <v>11.4</v>
      </c>
      <c r="T118" s="5">
        <v>1.1999999999999999E-3</v>
      </c>
      <c r="U118" s="1">
        <v>-2.9999999999999997E-4</v>
      </c>
      <c r="V118" s="1">
        <v>5.8201999999999998</v>
      </c>
    </row>
    <row r="119" spans="1:22" x14ac:dyDescent="0.25">
      <c r="A119" s="1">
        <v>0.99419999999999997</v>
      </c>
      <c r="B119" s="9" t="s">
        <v>3605</v>
      </c>
      <c r="C119" s="2">
        <v>7156</v>
      </c>
      <c r="D119" s="3" t="s">
        <v>2973</v>
      </c>
      <c r="E119" s="9" t="s">
        <v>3606</v>
      </c>
      <c r="F119" s="9" t="s">
        <v>3607</v>
      </c>
      <c r="G119" s="1">
        <v>847.26570000000004</v>
      </c>
      <c r="H119" s="2">
        <v>621</v>
      </c>
      <c r="I119" s="2">
        <v>2</v>
      </c>
      <c r="J119" s="1">
        <v>847.1857</v>
      </c>
      <c r="K119" s="1">
        <v>424.64010000000002</v>
      </c>
      <c r="L119" s="9" t="s">
        <v>3608</v>
      </c>
      <c r="M119" s="2">
        <v>3.42</v>
      </c>
      <c r="N119" s="4">
        <v>3892.4</v>
      </c>
      <c r="O119" s="1">
        <v>-94.197415646803023</v>
      </c>
      <c r="P119" s="6">
        <v>19.399999999999999</v>
      </c>
      <c r="Q119" s="6">
        <v>16.600000000000001</v>
      </c>
      <c r="R119" s="6">
        <v>0</v>
      </c>
      <c r="S119" s="6">
        <v>13.9</v>
      </c>
      <c r="T119" s="5">
        <v>1.3999999999999999E-4</v>
      </c>
      <c r="U119" s="1">
        <v>-0.08</v>
      </c>
      <c r="V119" s="1">
        <v>6.2363</v>
      </c>
    </row>
    <row r="120" spans="1:22" x14ac:dyDescent="0.25">
      <c r="A120" s="1">
        <v>0.99970000000000003</v>
      </c>
      <c r="B120" s="9" t="s">
        <v>3609</v>
      </c>
      <c r="C120" s="2">
        <v>7206</v>
      </c>
      <c r="D120" s="3" t="s">
        <v>133</v>
      </c>
      <c r="E120" s="9" t="s">
        <v>2013</v>
      </c>
      <c r="F120" s="9" t="s">
        <v>860</v>
      </c>
      <c r="G120" s="1">
        <v>2047.0657000000001</v>
      </c>
      <c r="H120" s="2">
        <v>654</v>
      </c>
      <c r="I120" s="2">
        <v>3</v>
      </c>
      <c r="J120" s="1">
        <v>2047.0952</v>
      </c>
      <c r="K120" s="1">
        <v>683.36249999999995</v>
      </c>
      <c r="L120" s="9" t="s">
        <v>673</v>
      </c>
      <c r="M120" s="2">
        <v>6.24</v>
      </c>
      <c r="N120" s="4">
        <v>4716.47</v>
      </c>
      <c r="O120" s="1">
        <v>14.389629710926974</v>
      </c>
      <c r="P120" s="6">
        <v>41.3</v>
      </c>
      <c r="Q120" s="6">
        <v>20.9</v>
      </c>
      <c r="R120" s="6">
        <v>10.5</v>
      </c>
      <c r="S120" s="6">
        <v>11.7</v>
      </c>
      <c r="T120" s="5">
        <v>3.4E-5</v>
      </c>
      <c r="U120" s="1">
        <v>2.9499999999999998E-2</v>
      </c>
      <c r="V120" s="1">
        <v>7.5869999999999997</v>
      </c>
    </row>
    <row r="121" spans="1:22" x14ac:dyDescent="0.25">
      <c r="A121" s="1">
        <v>0.99770000000000003</v>
      </c>
      <c r="B121" s="9" t="s">
        <v>3610</v>
      </c>
      <c r="C121" s="2">
        <v>7209</v>
      </c>
      <c r="D121" s="3" t="s">
        <v>154</v>
      </c>
      <c r="E121" s="9" t="s">
        <v>155</v>
      </c>
      <c r="F121" s="9" t="s">
        <v>156</v>
      </c>
      <c r="G121" s="1">
        <v>1064.5291</v>
      </c>
      <c r="H121" s="2">
        <v>118</v>
      </c>
      <c r="I121" s="2">
        <v>2</v>
      </c>
      <c r="J121" s="1">
        <v>1064.5328999999999</v>
      </c>
      <c r="K121" s="1">
        <v>533.27179999999998</v>
      </c>
      <c r="L121" s="9" t="s">
        <v>157</v>
      </c>
      <c r="M121" s="2">
        <v>6.46</v>
      </c>
      <c r="N121" s="4">
        <v>4741.22</v>
      </c>
      <c r="O121" s="1">
        <v>3.5629110708648013</v>
      </c>
      <c r="P121" s="6">
        <v>35.5</v>
      </c>
      <c r="Q121" s="6">
        <v>23.6</v>
      </c>
      <c r="R121" s="6">
        <v>11.9</v>
      </c>
      <c r="S121" s="6">
        <v>10.1</v>
      </c>
      <c r="T121" s="5">
        <v>3.8999999999999998E-3</v>
      </c>
      <c r="U121" s="1">
        <v>3.8E-3</v>
      </c>
      <c r="V121" s="1">
        <v>5.1460999999999997</v>
      </c>
    </row>
    <row r="122" spans="1:22" x14ac:dyDescent="0.25">
      <c r="A122" s="1">
        <v>0.97450000000000003</v>
      </c>
      <c r="B122" s="9" t="s">
        <v>3611</v>
      </c>
      <c r="C122" s="2">
        <v>7223</v>
      </c>
      <c r="D122" s="3" t="s">
        <v>3612</v>
      </c>
      <c r="E122" s="9" t="s">
        <v>3199</v>
      </c>
      <c r="F122" s="9" t="s">
        <v>3200</v>
      </c>
      <c r="G122" s="1">
        <v>3067.6876999999999</v>
      </c>
      <c r="H122" s="2">
        <v>1106</v>
      </c>
      <c r="I122" s="2">
        <v>4</v>
      </c>
      <c r="J122" s="1">
        <v>3067.7276000000002</v>
      </c>
      <c r="K122" s="1">
        <v>767.92920000000004</v>
      </c>
      <c r="L122" s="9" t="s">
        <v>3195</v>
      </c>
      <c r="M122" s="2">
        <v>6.39</v>
      </c>
      <c r="N122" s="4">
        <v>4896.43</v>
      </c>
      <c r="O122" s="1">
        <v>12.989478717569275</v>
      </c>
      <c r="P122" s="6">
        <v>42.7</v>
      </c>
      <c r="Q122" s="6">
        <v>32.9</v>
      </c>
      <c r="R122" s="6">
        <v>11</v>
      </c>
      <c r="S122" s="6">
        <v>12.2</v>
      </c>
      <c r="T122" s="5">
        <v>9.2000000000000003E-4</v>
      </c>
      <c r="U122" s="1">
        <v>3.9899999999999998E-2</v>
      </c>
      <c r="V122" s="1">
        <v>3.8424</v>
      </c>
    </row>
    <row r="123" spans="1:22" x14ac:dyDescent="0.25">
      <c r="A123" s="1">
        <v>0.95550000000000002</v>
      </c>
      <c r="B123" s="9" t="s">
        <v>3613</v>
      </c>
      <c r="C123" s="2">
        <v>7231</v>
      </c>
      <c r="D123" s="3" t="s">
        <v>2463</v>
      </c>
      <c r="E123" s="9" t="s">
        <v>3216</v>
      </c>
      <c r="F123" s="9" t="s">
        <v>647</v>
      </c>
      <c r="G123" s="1">
        <v>1895.0266999999999</v>
      </c>
      <c r="H123" s="2">
        <v>656</v>
      </c>
      <c r="I123" s="2">
        <v>3</v>
      </c>
      <c r="J123" s="1">
        <v>1895.0492999999999</v>
      </c>
      <c r="K123" s="1">
        <v>632.68280000000004</v>
      </c>
      <c r="L123" s="9" t="s">
        <v>118</v>
      </c>
      <c r="M123" s="2">
        <v>6.77</v>
      </c>
      <c r="N123" s="4">
        <v>4998.68</v>
      </c>
      <c r="O123" s="1">
        <v>11.906967177443946</v>
      </c>
      <c r="P123" s="6">
        <v>32.200000000000003</v>
      </c>
      <c r="Q123" s="6">
        <v>29.2</v>
      </c>
      <c r="R123" s="6">
        <v>11.2</v>
      </c>
      <c r="S123" s="6">
        <v>9.8000000000000007</v>
      </c>
      <c r="T123" s="5">
        <v>9.9000000000000008E-3</v>
      </c>
      <c r="U123" s="1">
        <v>2.2599999999999999E-2</v>
      </c>
      <c r="V123" s="1">
        <v>2.8906000000000001</v>
      </c>
    </row>
    <row r="124" spans="1:22" x14ac:dyDescent="0.25">
      <c r="A124" s="1">
        <v>0.98680000000000001</v>
      </c>
      <c r="B124" s="9" t="s">
        <v>3614</v>
      </c>
      <c r="C124" s="2">
        <v>7238</v>
      </c>
      <c r="D124" s="3" t="s">
        <v>105</v>
      </c>
      <c r="E124" s="9" t="s">
        <v>194</v>
      </c>
      <c r="F124" s="9" t="s">
        <v>1262</v>
      </c>
      <c r="G124" s="1">
        <v>1531.8643</v>
      </c>
      <c r="H124" s="2">
        <v>1086</v>
      </c>
      <c r="I124" s="2">
        <v>2</v>
      </c>
      <c r="J124" s="1">
        <v>1531.8603000000001</v>
      </c>
      <c r="K124" s="1">
        <v>766.93939999999998</v>
      </c>
      <c r="L124" s="9" t="s">
        <v>1263</v>
      </c>
      <c r="M124" s="2">
        <v>10</v>
      </c>
      <c r="N124" s="4">
        <v>5139.7299999999996</v>
      </c>
      <c r="O124" s="1">
        <v>-2.6077679670649339</v>
      </c>
      <c r="P124" s="6">
        <v>44.9</v>
      </c>
      <c r="Q124" s="6">
        <v>31.5</v>
      </c>
      <c r="R124" s="6">
        <v>10.8</v>
      </c>
      <c r="S124" s="6">
        <v>10</v>
      </c>
      <c r="T124" s="5">
        <v>1.6999999999999999E-3</v>
      </c>
      <c r="U124" s="1">
        <v>-4.0000000000000001E-3</v>
      </c>
      <c r="V124" s="1">
        <v>4.4032</v>
      </c>
    </row>
    <row r="125" spans="1:22" x14ac:dyDescent="0.25">
      <c r="A125" s="1">
        <v>0.99590000000000001</v>
      </c>
      <c r="B125" s="9" t="s">
        <v>3615</v>
      </c>
      <c r="C125" s="2">
        <v>7258</v>
      </c>
      <c r="D125" s="3" t="s">
        <v>214</v>
      </c>
      <c r="E125" s="9" t="s">
        <v>215</v>
      </c>
      <c r="F125" s="9" t="s">
        <v>216</v>
      </c>
      <c r="G125" s="1">
        <v>1374.6424</v>
      </c>
      <c r="H125" s="2">
        <v>630</v>
      </c>
      <c r="I125" s="2">
        <v>2</v>
      </c>
      <c r="J125" s="1">
        <v>1374.6488999999999</v>
      </c>
      <c r="K125" s="1">
        <v>688.32849999999996</v>
      </c>
      <c r="L125" s="9" t="s">
        <v>91</v>
      </c>
      <c r="M125" s="2">
        <v>6.75</v>
      </c>
      <c r="N125" s="4">
        <v>5432.24</v>
      </c>
      <c r="O125" s="1">
        <v>4.7215827907750443</v>
      </c>
      <c r="P125" s="6">
        <v>55.9</v>
      </c>
      <c r="Q125" s="6">
        <v>36.1</v>
      </c>
      <c r="R125" s="6">
        <v>11.1</v>
      </c>
      <c r="S125" s="6">
        <v>12.1</v>
      </c>
      <c r="T125" s="5">
        <v>7.2999999999999996E-4</v>
      </c>
      <c r="U125" s="1">
        <v>6.4999999999999997E-3</v>
      </c>
      <c r="V125" s="1">
        <v>5.593</v>
      </c>
    </row>
    <row r="126" spans="1:22" x14ac:dyDescent="0.25">
      <c r="A126" s="1">
        <v>0.99</v>
      </c>
      <c r="B126" s="9" t="s">
        <v>3616</v>
      </c>
      <c r="C126" s="2">
        <v>7286</v>
      </c>
      <c r="D126" s="3" t="s">
        <v>370</v>
      </c>
      <c r="E126" s="9" t="s">
        <v>869</v>
      </c>
      <c r="F126" s="9" t="s">
        <v>870</v>
      </c>
      <c r="G126" s="1">
        <v>1146.5707</v>
      </c>
      <c r="H126" s="2">
        <v>633</v>
      </c>
      <c r="I126" s="2">
        <v>2</v>
      </c>
      <c r="J126" s="1">
        <v>1146.5917999999999</v>
      </c>
      <c r="K126" s="1">
        <v>574.29259999999999</v>
      </c>
      <c r="L126" s="9" t="s">
        <v>871</v>
      </c>
      <c r="M126" s="2">
        <v>5.94</v>
      </c>
      <c r="N126" s="4">
        <v>5954.31</v>
      </c>
      <c r="O126" s="1">
        <v>18.370426503841422</v>
      </c>
      <c r="P126" s="6">
        <v>42.4</v>
      </c>
      <c r="Q126" s="6">
        <v>31.7</v>
      </c>
      <c r="R126" s="6">
        <v>10.5</v>
      </c>
      <c r="S126" s="6">
        <v>10.7</v>
      </c>
      <c r="T126" s="5">
        <v>1.5E-3</v>
      </c>
      <c r="U126" s="1">
        <v>2.1100000000000001E-2</v>
      </c>
      <c r="V126" s="1">
        <v>4.7542</v>
      </c>
    </row>
    <row r="127" spans="1:22" x14ac:dyDescent="0.25">
      <c r="A127" s="1">
        <v>0.95509999999999995</v>
      </c>
      <c r="B127" s="9" t="s">
        <v>3617</v>
      </c>
      <c r="C127" s="2">
        <v>7293</v>
      </c>
      <c r="D127" s="3" t="s">
        <v>479</v>
      </c>
      <c r="E127" s="9" t="s">
        <v>3257</v>
      </c>
      <c r="F127" s="9" t="s">
        <v>3116</v>
      </c>
      <c r="G127" s="1">
        <v>1428.7037</v>
      </c>
      <c r="H127" s="2">
        <v>634</v>
      </c>
      <c r="I127" s="2">
        <v>2</v>
      </c>
      <c r="J127" s="1">
        <v>1428.7044000000001</v>
      </c>
      <c r="K127" s="1">
        <v>715.35910000000001</v>
      </c>
      <c r="L127" s="9" t="s">
        <v>3117</v>
      </c>
      <c r="M127" s="2">
        <v>5.08</v>
      </c>
      <c r="N127" s="4">
        <v>6037.01</v>
      </c>
      <c r="O127" s="1">
        <v>0.48926476227114468</v>
      </c>
      <c r="P127" s="6">
        <v>31.4</v>
      </c>
      <c r="Q127" s="6">
        <v>22.3</v>
      </c>
      <c r="R127" s="6">
        <v>14.2</v>
      </c>
      <c r="S127" s="6">
        <v>10.9</v>
      </c>
      <c r="T127" s="5">
        <v>1.2999999999999999E-2</v>
      </c>
      <c r="U127" s="1">
        <v>6.9999999999999999E-4</v>
      </c>
      <c r="V127" s="1">
        <v>3.6132</v>
      </c>
    </row>
    <row r="128" spans="1:22" x14ac:dyDescent="0.25">
      <c r="A128" s="1">
        <v>0.99960000000000004</v>
      </c>
      <c r="B128" s="9" t="s">
        <v>3618</v>
      </c>
      <c r="C128" s="2">
        <v>7312</v>
      </c>
      <c r="D128" s="3" t="s">
        <v>333</v>
      </c>
      <c r="E128" s="9" t="s">
        <v>289</v>
      </c>
      <c r="F128" s="9" t="s">
        <v>290</v>
      </c>
      <c r="G128" s="1">
        <v>1831.9757</v>
      </c>
      <c r="H128" s="2">
        <v>664</v>
      </c>
      <c r="I128" s="2">
        <v>3</v>
      </c>
      <c r="J128" s="1">
        <v>1831.9906000000001</v>
      </c>
      <c r="K128" s="1">
        <v>611.66579999999999</v>
      </c>
      <c r="L128" s="9" t="s">
        <v>291</v>
      </c>
      <c r="M128" s="2">
        <v>6.17</v>
      </c>
      <c r="N128" s="4">
        <v>6354.63</v>
      </c>
      <c r="O128" s="1">
        <v>8.1199025132133702</v>
      </c>
      <c r="P128" s="6">
        <v>42</v>
      </c>
      <c r="Q128" s="6">
        <v>26.2</v>
      </c>
      <c r="R128" s="6">
        <v>11.7</v>
      </c>
      <c r="S128" s="6">
        <v>11.1</v>
      </c>
      <c r="T128" s="5">
        <v>6.0000000000000002E-5</v>
      </c>
      <c r="U128" s="1">
        <v>1.49E-2</v>
      </c>
      <c r="V128" s="1">
        <v>7.407</v>
      </c>
    </row>
    <row r="129" spans="1:22" x14ac:dyDescent="0.25">
      <c r="A129" s="1">
        <v>0.99809999999999999</v>
      </c>
      <c r="B129" s="9" t="s">
        <v>3619</v>
      </c>
      <c r="C129" s="2">
        <v>7350</v>
      </c>
      <c r="D129" s="3" t="s">
        <v>105</v>
      </c>
      <c r="E129" s="9" t="s">
        <v>1422</v>
      </c>
      <c r="F129" s="9" t="s">
        <v>340</v>
      </c>
      <c r="G129" s="1">
        <v>1774.9539</v>
      </c>
      <c r="H129" s="2">
        <v>639</v>
      </c>
      <c r="I129" s="2">
        <v>2</v>
      </c>
      <c r="J129" s="1">
        <v>1774.9561000000001</v>
      </c>
      <c r="K129" s="1">
        <v>888.48419999999999</v>
      </c>
      <c r="L129" s="9" t="s">
        <v>341</v>
      </c>
      <c r="M129" s="2">
        <v>6.24</v>
      </c>
      <c r="N129" s="4">
        <v>7115.75</v>
      </c>
      <c r="O129" s="1">
        <v>1.2380636594325483</v>
      </c>
      <c r="P129" s="6">
        <v>46.2</v>
      </c>
      <c r="Q129" s="6">
        <v>25.8</v>
      </c>
      <c r="R129" s="6">
        <v>11.9</v>
      </c>
      <c r="S129" s="6">
        <v>11.6</v>
      </c>
      <c r="T129" s="5">
        <v>5.3999999999999998E-5</v>
      </c>
      <c r="U129" s="1">
        <v>2.2000000000000001E-3</v>
      </c>
      <c r="V129" s="1">
        <v>6.4901999999999997</v>
      </c>
    </row>
    <row r="130" spans="1:22" x14ac:dyDescent="0.25">
      <c r="A130" s="1">
        <v>0.98850000000000005</v>
      </c>
      <c r="B130" s="9" t="s">
        <v>3620</v>
      </c>
      <c r="C130" s="2">
        <v>7353</v>
      </c>
      <c r="D130" s="3" t="s">
        <v>493</v>
      </c>
      <c r="E130" s="9" t="s">
        <v>407</v>
      </c>
      <c r="F130" s="9" t="s">
        <v>290</v>
      </c>
      <c r="G130" s="1">
        <v>1645.8596</v>
      </c>
      <c r="H130" s="2">
        <v>641</v>
      </c>
      <c r="I130" s="2">
        <v>2</v>
      </c>
      <c r="J130" s="1">
        <v>1645.8521000000001</v>
      </c>
      <c r="K130" s="1">
        <v>823.93709999999999</v>
      </c>
      <c r="L130" s="9" t="s">
        <v>291</v>
      </c>
      <c r="M130" s="2">
        <v>4.8499999999999996</v>
      </c>
      <c r="N130" s="4">
        <v>7189.3</v>
      </c>
      <c r="O130" s="1">
        <v>-4.5513182984477822</v>
      </c>
      <c r="P130" s="6">
        <v>49.1</v>
      </c>
      <c r="Q130" s="6">
        <v>35.9</v>
      </c>
      <c r="R130" s="6">
        <v>10.199999999999999</v>
      </c>
      <c r="S130" s="6">
        <v>11.4</v>
      </c>
      <c r="T130" s="5">
        <v>1.6000000000000001E-4</v>
      </c>
      <c r="U130" s="1">
        <v>-7.4999999999999997E-3</v>
      </c>
      <c r="V130" s="1">
        <v>5.4715999999999996</v>
      </c>
    </row>
    <row r="131" spans="1:22" x14ac:dyDescent="0.25">
      <c r="A131" s="1">
        <v>0.99990000000000001</v>
      </c>
      <c r="B131" s="9" t="s">
        <v>3621</v>
      </c>
      <c r="C131" s="2">
        <v>7363</v>
      </c>
      <c r="D131" s="3" t="s">
        <v>3403</v>
      </c>
      <c r="E131" s="9" t="s">
        <v>3356</v>
      </c>
      <c r="F131" s="9" t="s">
        <v>3357</v>
      </c>
      <c r="G131" s="1">
        <v>3194.9845999999998</v>
      </c>
      <c r="H131" s="2">
        <v>676</v>
      </c>
      <c r="I131" s="2">
        <v>4</v>
      </c>
      <c r="J131" s="1">
        <v>3194.9845</v>
      </c>
      <c r="K131" s="1">
        <v>799.75340000000006</v>
      </c>
      <c r="L131" s="9" t="s">
        <v>2161</v>
      </c>
      <c r="M131" s="2">
        <v>10.29</v>
      </c>
      <c r="N131" s="4">
        <v>7373.31</v>
      </c>
      <c r="O131" s="1">
        <v>-3.1259635782730028E-2</v>
      </c>
      <c r="P131" s="6">
        <v>44.5</v>
      </c>
      <c r="Q131" s="6">
        <v>44.5</v>
      </c>
      <c r="R131" s="6">
        <v>9.9</v>
      </c>
      <c r="S131" s="6">
        <v>13.2</v>
      </c>
      <c r="T131" s="5">
        <v>6.7999999999999995E-7</v>
      </c>
      <c r="U131" s="1">
        <v>-1E-4</v>
      </c>
      <c r="V131" s="1">
        <v>5.4741999999999997</v>
      </c>
    </row>
    <row r="132" spans="1:22" x14ac:dyDescent="0.25">
      <c r="A132" s="1">
        <v>0.98180000000000001</v>
      </c>
      <c r="B132" s="9" t="s">
        <v>3622</v>
      </c>
      <c r="C132" s="2">
        <v>7364</v>
      </c>
      <c r="D132" s="3" t="s">
        <v>1000</v>
      </c>
      <c r="E132" s="9" t="s">
        <v>438</v>
      </c>
      <c r="F132" s="9" t="s">
        <v>439</v>
      </c>
      <c r="G132" s="1">
        <v>1462.7675999999999</v>
      </c>
      <c r="H132" s="2">
        <v>1092</v>
      </c>
      <c r="I132" s="2">
        <v>2</v>
      </c>
      <c r="J132" s="1">
        <v>1462.7659000000001</v>
      </c>
      <c r="K132" s="1">
        <v>732.39110000000005</v>
      </c>
      <c r="L132" s="9" t="s">
        <v>440</v>
      </c>
      <c r="M132" s="2">
        <v>9.99</v>
      </c>
      <c r="N132" s="4">
        <v>7408.36</v>
      </c>
      <c r="O132" s="1">
        <v>-1.1605820988267059</v>
      </c>
      <c r="P132" s="6">
        <v>40.4</v>
      </c>
      <c r="Q132" s="6">
        <v>26.7</v>
      </c>
      <c r="R132" s="6">
        <v>9.6</v>
      </c>
      <c r="S132" s="6">
        <v>9.5</v>
      </c>
      <c r="T132" s="5">
        <v>9.4000000000000004E-3</v>
      </c>
      <c r="U132" s="1">
        <v>-1.6999999999999999E-3</v>
      </c>
      <c r="V132" s="1">
        <v>4.1219000000000001</v>
      </c>
    </row>
    <row r="133" spans="1:22" x14ac:dyDescent="0.25">
      <c r="A133" s="1">
        <v>0.9859</v>
      </c>
      <c r="B133" s="9" t="s">
        <v>3623</v>
      </c>
      <c r="C133" s="2">
        <v>7368</v>
      </c>
      <c r="D133" s="3" t="s">
        <v>115</v>
      </c>
      <c r="E133" s="9" t="s">
        <v>454</v>
      </c>
      <c r="F133" s="9" t="s">
        <v>455</v>
      </c>
      <c r="G133" s="1">
        <v>1340.7121999999999</v>
      </c>
      <c r="H133" s="2">
        <v>123</v>
      </c>
      <c r="I133" s="2">
        <v>2</v>
      </c>
      <c r="J133" s="1">
        <v>1340.7184999999999</v>
      </c>
      <c r="K133" s="1">
        <v>671.36339999999996</v>
      </c>
      <c r="L133" s="9" t="s">
        <v>456</v>
      </c>
      <c r="M133" s="2">
        <v>6.22</v>
      </c>
      <c r="N133" s="4">
        <v>7502.66</v>
      </c>
      <c r="O133" s="1">
        <v>4.6919447798316085</v>
      </c>
      <c r="P133" s="6">
        <v>46.6</v>
      </c>
      <c r="Q133" s="6">
        <v>28.9</v>
      </c>
      <c r="R133" s="6">
        <v>9.5</v>
      </c>
      <c r="S133" s="6">
        <v>12.7</v>
      </c>
      <c r="T133" s="5">
        <v>4.5999999999999999E-3</v>
      </c>
      <c r="U133" s="1">
        <v>6.3E-3</v>
      </c>
      <c r="V133" s="1">
        <v>4.4737</v>
      </c>
    </row>
    <row r="134" spans="1:22" x14ac:dyDescent="0.25">
      <c r="A134" s="1">
        <v>0.99029999999999996</v>
      </c>
      <c r="B134" s="9" t="s">
        <v>3624</v>
      </c>
      <c r="C134" s="2">
        <v>7369</v>
      </c>
      <c r="D134" s="3" t="s">
        <v>220</v>
      </c>
      <c r="E134" s="9" t="s">
        <v>1493</v>
      </c>
      <c r="F134" s="9" t="s">
        <v>659</v>
      </c>
      <c r="G134" s="1">
        <v>1400.7697000000001</v>
      </c>
      <c r="H134" s="2">
        <v>1093</v>
      </c>
      <c r="I134" s="2">
        <v>2</v>
      </c>
      <c r="J134" s="1">
        <v>1400.7745</v>
      </c>
      <c r="K134" s="1">
        <v>701.39210000000003</v>
      </c>
      <c r="L134" s="9" t="s">
        <v>660</v>
      </c>
      <c r="M134" s="2">
        <v>5.96</v>
      </c>
      <c r="N134" s="4">
        <v>7591.91</v>
      </c>
      <c r="O134" s="1">
        <v>3.4217665126253913</v>
      </c>
      <c r="P134" s="6">
        <v>56.8</v>
      </c>
      <c r="Q134" s="6">
        <v>42.3</v>
      </c>
      <c r="R134" s="6">
        <v>9.9</v>
      </c>
      <c r="S134" s="6">
        <v>11.6</v>
      </c>
      <c r="T134" s="5">
        <v>0.03</v>
      </c>
      <c r="U134" s="1">
        <v>4.7999999999999996E-3</v>
      </c>
      <c r="V134" s="1">
        <v>3.3231999999999999</v>
      </c>
    </row>
    <row r="135" spans="1:22" x14ac:dyDescent="0.25">
      <c r="A135" s="1">
        <v>0.99860000000000004</v>
      </c>
      <c r="B135" s="9" t="s">
        <v>3625</v>
      </c>
      <c r="C135" s="2">
        <v>7370</v>
      </c>
      <c r="D135" s="3" t="s">
        <v>270</v>
      </c>
      <c r="E135" s="9" t="s">
        <v>452</v>
      </c>
      <c r="F135" s="9" t="s">
        <v>222</v>
      </c>
      <c r="G135" s="1">
        <v>1715.7936999999999</v>
      </c>
      <c r="H135" s="2">
        <v>644</v>
      </c>
      <c r="I135" s="2">
        <v>2</v>
      </c>
      <c r="J135" s="1">
        <v>1715.8086000000001</v>
      </c>
      <c r="K135" s="1">
        <v>858.90409999999997</v>
      </c>
      <c r="L135" s="9" t="s">
        <v>223</v>
      </c>
      <c r="M135" s="2">
        <v>4.54</v>
      </c>
      <c r="N135" s="4">
        <v>7606.51</v>
      </c>
      <c r="O135" s="1">
        <v>8.6738437969966622</v>
      </c>
      <c r="P135" s="6">
        <v>43.8</v>
      </c>
      <c r="Q135" s="6">
        <v>25.4</v>
      </c>
      <c r="R135" s="6">
        <v>13.7</v>
      </c>
      <c r="S135" s="6">
        <v>10.199999999999999</v>
      </c>
      <c r="T135" s="5">
        <v>1.5E-5</v>
      </c>
      <c r="U135" s="1">
        <v>1.49E-2</v>
      </c>
      <c r="V135" s="1">
        <v>6.9461000000000004</v>
      </c>
    </row>
    <row r="136" spans="1:22" x14ac:dyDescent="0.25">
      <c r="A136" s="1">
        <v>0.99270000000000003</v>
      </c>
      <c r="B136" s="9" t="s">
        <v>3626</v>
      </c>
      <c r="C136" s="2">
        <v>7373</v>
      </c>
      <c r="D136" s="3" t="s">
        <v>493</v>
      </c>
      <c r="E136" s="9" t="s">
        <v>494</v>
      </c>
      <c r="F136" s="9" t="s">
        <v>495</v>
      </c>
      <c r="G136" s="1">
        <v>1368.7327</v>
      </c>
      <c r="H136" s="2">
        <v>645</v>
      </c>
      <c r="I136" s="2">
        <v>2</v>
      </c>
      <c r="J136" s="1">
        <v>1368.7544</v>
      </c>
      <c r="K136" s="1">
        <v>685.37360000000001</v>
      </c>
      <c r="L136" s="9" t="s">
        <v>157</v>
      </c>
      <c r="M136" s="2">
        <v>4.75</v>
      </c>
      <c r="N136" s="4">
        <v>7732.01</v>
      </c>
      <c r="O136" s="1">
        <v>15.830781926820642</v>
      </c>
      <c r="P136" s="6">
        <v>49.7</v>
      </c>
      <c r="Q136" s="6">
        <v>34.700000000000003</v>
      </c>
      <c r="R136" s="6">
        <v>12.1</v>
      </c>
      <c r="S136" s="6">
        <v>11</v>
      </c>
      <c r="T136" s="5">
        <v>5.9999999999999995E-4</v>
      </c>
      <c r="U136" s="1">
        <v>2.1700000000000001E-2</v>
      </c>
      <c r="V136" s="1">
        <v>5.0313999999999997</v>
      </c>
    </row>
    <row r="137" spans="1:22" x14ac:dyDescent="0.25">
      <c r="A137" s="1">
        <v>0.99970000000000003</v>
      </c>
      <c r="B137" s="9" t="s">
        <v>3627</v>
      </c>
      <c r="C137" s="2">
        <v>2195</v>
      </c>
      <c r="D137" s="3" t="s">
        <v>3628</v>
      </c>
      <c r="E137" s="9" t="s">
        <v>3030</v>
      </c>
      <c r="F137" s="9" t="s">
        <v>1799</v>
      </c>
      <c r="G137" s="1">
        <v>2345.3980999999999</v>
      </c>
      <c r="H137" s="2">
        <v>677</v>
      </c>
      <c r="I137" s="2">
        <v>4</v>
      </c>
      <c r="J137" s="1">
        <v>2345.3924999999999</v>
      </c>
      <c r="K137" s="1">
        <v>587.35680000000002</v>
      </c>
      <c r="L137" s="9" t="s">
        <v>1800</v>
      </c>
      <c r="M137" s="2">
        <v>10.7</v>
      </c>
      <c r="N137" s="4">
        <v>2305.85</v>
      </c>
      <c r="O137" s="1">
        <v>-2.3835597034034506</v>
      </c>
      <c r="P137" s="6">
        <v>41</v>
      </c>
      <c r="Q137" s="6">
        <v>27.3</v>
      </c>
      <c r="R137" s="6">
        <v>10.7</v>
      </c>
      <c r="S137" s="6">
        <v>12.3</v>
      </c>
      <c r="T137" s="5">
        <v>3.6999999999999998E-5</v>
      </c>
      <c r="U137" s="1">
        <v>-5.5999999999999999E-3</v>
      </c>
      <c r="V137" s="1">
        <v>6.1120000000000001</v>
      </c>
    </row>
    <row r="138" spans="1:22" x14ac:dyDescent="0.25">
      <c r="A138" s="1">
        <v>0.98440000000000005</v>
      </c>
      <c r="B138" s="9" t="s">
        <v>3629</v>
      </c>
      <c r="C138" s="2">
        <v>2361</v>
      </c>
      <c r="D138" s="3" t="s">
        <v>522</v>
      </c>
      <c r="E138" s="9" t="s">
        <v>3630</v>
      </c>
      <c r="F138" s="9" t="s">
        <v>3631</v>
      </c>
      <c r="G138" s="1">
        <v>1658.8407</v>
      </c>
      <c r="H138" s="2">
        <v>1111</v>
      </c>
      <c r="I138" s="2">
        <v>2</v>
      </c>
      <c r="J138" s="1">
        <v>1658.8072999999999</v>
      </c>
      <c r="K138" s="1">
        <v>830.42759999999998</v>
      </c>
      <c r="L138" s="9" t="s">
        <v>1813</v>
      </c>
      <c r="M138" s="2">
        <v>9.99</v>
      </c>
      <c r="N138" s="4">
        <v>2497.35</v>
      </c>
      <c r="O138" s="1">
        <v>-20.110121580737442</v>
      </c>
      <c r="P138" s="6">
        <v>36.200000000000003</v>
      </c>
      <c r="Q138" s="6">
        <v>26.3</v>
      </c>
      <c r="R138" s="6">
        <v>8.9</v>
      </c>
      <c r="S138" s="6">
        <v>8.5</v>
      </c>
      <c r="T138" s="5">
        <v>1E-3</v>
      </c>
      <c r="U138" s="1">
        <v>-3.3399999999999999E-2</v>
      </c>
      <c r="V138" s="1">
        <v>4.2569999999999997</v>
      </c>
    </row>
    <row r="139" spans="1:22" x14ac:dyDescent="0.25">
      <c r="A139" s="1">
        <v>0.9909</v>
      </c>
      <c r="B139" s="9" t="s">
        <v>3632</v>
      </c>
      <c r="C139" s="2">
        <v>2378</v>
      </c>
      <c r="D139" s="3" t="s">
        <v>384</v>
      </c>
      <c r="E139" s="9" t="s">
        <v>3633</v>
      </c>
      <c r="F139" s="9" t="s">
        <v>1968</v>
      </c>
      <c r="G139" s="1">
        <v>1448.8177000000001</v>
      </c>
      <c r="H139" s="2">
        <v>1597</v>
      </c>
      <c r="I139" s="2">
        <v>3</v>
      </c>
      <c r="J139" s="1">
        <v>1448.7918999999999</v>
      </c>
      <c r="K139" s="1">
        <v>483.94650000000001</v>
      </c>
      <c r="L139" s="9" t="s">
        <v>1969</v>
      </c>
      <c r="M139" s="2">
        <v>10.3</v>
      </c>
      <c r="N139" s="4">
        <v>2524.15</v>
      </c>
      <c r="O139" s="1">
        <v>-17.770559349018949</v>
      </c>
      <c r="P139" s="6">
        <v>33.299999999999997</v>
      </c>
      <c r="Q139" s="6">
        <v>23.7</v>
      </c>
      <c r="R139" s="6">
        <v>11.4</v>
      </c>
      <c r="S139" s="6">
        <v>10.8</v>
      </c>
      <c r="T139" s="5">
        <v>1.7999999999999999E-2</v>
      </c>
      <c r="U139" s="1">
        <v>-2.58E-2</v>
      </c>
      <c r="V139" s="1">
        <v>4.0275999999999996</v>
      </c>
    </row>
    <row r="140" spans="1:22" x14ac:dyDescent="0.25">
      <c r="A140" s="1">
        <v>0.98829999999999996</v>
      </c>
      <c r="B140" s="9" t="s">
        <v>3634</v>
      </c>
      <c r="C140" s="2">
        <v>2423</v>
      </c>
      <c r="D140" s="3" t="s">
        <v>770</v>
      </c>
      <c r="E140" s="9" t="s">
        <v>3635</v>
      </c>
      <c r="F140" s="9" t="s">
        <v>1799</v>
      </c>
      <c r="G140" s="1">
        <v>1537.8647000000001</v>
      </c>
      <c r="H140" s="2">
        <v>1755</v>
      </c>
      <c r="I140" s="2">
        <v>3</v>
      </c>
      <c r="J140" s="1">
        <v>1537.8364999999999</v>
      </c>
      <c r="K140" s="1">
        <v>513.62879999999996</v>
      </c>
      <c r="L140" s="9" t="s">
        <v>1800</v>
      </c>
      <c r="M140" s="2">
        <v>10.3</v>
      </c>
      <c r="N140" s="4">
        <v>2580.5</v>
      </c>
      <c r="O140" s="1">
        <v>-18.301154452398308</v>
      </c>
      <c r="P140" s="6">
        <v>33</v>
      </c>
      <c r="Q140" s="6">
        <v>26.9</v>
      </c>
      <c r="R140" s="6">
        <v>11.8</v>
      </c>
      <c r="S140" s="6">
        <v>12.4</v>
      </c>
      <c r="T140" s="5">
        <v>6.6E-3</v>
      </c>
      <c r="U140" s="1">
        <v>-2.8199999999999999E-2</v>
      </c>
      <c r="V140" s="1">
        <v>3.8717000000000001</v>
      </c>
    </row>
    <row r="141" spans="1:22" x14ac:dyDescent="0.25">
      <c r="A141" s="1">
        <v>0.9577</v>
      </c>
      <c r="B141" s="9" t="s">
        <v>3636</v>
      </c>
      <c r="C141" s="2">
        <v>2483</v>
      </c>
      <c r="D141" s="3" t="s">
        <v>797</v>
      </c>
      <c r="E141" s="9" t="s">
        <v>3637</v>
      </c>
      <c r="F141" s="9" t="s">
        <v>3638</v>
      </c>
      <c r="G141" s="1">
        <v>1389.6237000000001</v>
      </c>
      <c r="H141" s="2">
        <v>681</v>
      </c>
      <c r="I141" s="2">
        <v>3</v>
      </c>
      <c r="J141" s="1">
        <v>1389.6679999999999</v>
      </c>
      <c r="K141" s="1">
        <v>464.21519999999998</v>
      </c>
      <c r="L141" s="9" t="s">
        <v>3639</v>
      </c>
      <c r="M141" s="2">
        <v>4.25</v>
      </c>
      <c r="N141" s="4">
        <v>2663.5</v>
      </c>
      <c r="O141" s="1">
        <v>31.809959403885667</v>
      </c>
      <c r="P141" s="6">
        <v>32.200000000000003</v>
      </c>
      <c r="Q141" s="6">
        <v>25.2</v>
      </c>
      <c r="R141" s="6">
        <v>10.6</v>
      </c>
      <c r="S141" s="6">
        <v>11.7</v>
      </c>
      <c r="T141" s="5">
        <v>1.7000000000000001E-2</v>
      </c>
      <c r="U141" s="1">
        <v>4.4299999999999999E-2</v>
      </c>
      <c r="V141" s="1">
        <v>3.8075000000000001</v>
      </c>
    </row>
    <row r="142" spans="1:22" x14ac:dyDescent="0.25">
      <c r="A142" s="1">
        <v>0.99990000000000001</v>
      </c>
      <c r="B142" s="9" t="s">
        <v>3640</v>
      </c>
      <c r="C142" s="2">
        <v>2519</v>
      </c>
      <c r="D142" s="3" t="s">
        <v>1254</v>
      </c>
      <c r="E142" s="9" t="s">
        <v>3641</v>
      </c>
      <c r="F142" s="9" t="s">
        <v>2454</v>
      </c>
      <c r="G142" s="1">
        <v>2265.1057000000001</v>
      </c>
      <c r="H142" s="2">
        <v>1113</v>
      </c>
      <c r="I142" s="2">
        <v>3</v>
      </c>
      <c r="J142" s="1">
        <v>2265.0852</v>
      </c>
      <c r="K142" s="1">
        <v>756.04250000000002</v>
      </c>
      <c r="L142" s="9" t="s">
        <v>2455</v>
      </c>
      <c r="M142" s="2">
        <v>8.33</v>
      </c>
      <c r="N142" s="4">
        <v>2712.1</v>
      </c>
      <c r="O142" s="1">
        <v>-9.0382926003939374</v>
      </c>
      <c r="P142" s="6">
        <v>41.5</v>
      </c>
      <c r="Q142" s="6">
        <v>23.5</v>
      </c>
      <c r="R142" s="6">
        <v>9.6</v>
      </c>
      <c r="S142" s="6">
        <v>11.7</v>
      </c>
      <c r="T142" s="5">
        <v>3.1999999999999999E-5</v>
      </c>
      <c r="U142" s="1">
        <v>-2.0500000000000001E-2</v>
      </c>
      <c r="V142" s="1">
        <v>6.7683</v>
      </c>
    </row>
    <row r="143" spans="1:22" x14ac:dyDescent="0.25">
      <c r="A143" s="1">
        <v>0.98150000000000004</v>
      </c>
      <c r="B143" s="9" t="s">
        <v>3642</v>
      </c>
      <c r="C143" s="2">
        <v>2565</v>
      </c>
      <c r="D143" s="3" t="s">
        <v>511</v>
      </c>
      <c r="E143" s="9" t="s">
        <v>3643</v>
      </c>
      <c r="F143" s="9" t="s">
        <v>282</v>
      </c>
      <c r="G143" s="1">
        <v>1115.5977</v>
      </c>
      <c r="H143" s="2">
        <v>1115</v>
      </c>
      <c r="I143" s="2">
        <v>2</v>
      </c>
      <c r="J143" s="1">
        <v>1115.5777</v>
      </c>
      <c r="K143" s="1">
        <v>558.80610000000001</v>
      </c>
      <c r="L143" s="9" t="s">
        <v>283</v>
      </c>
      <c r="M143" s="2">
        <v>8.6300000000000008</v>
      </c>
      <c r="N143" s="4">
        <v>2766.71</v>
      </c>
      <c r="O143" s="1">
        <v>-17.89529498693733</v>
      </c>
      <c r="P143" s="6">
        <v>34.1</v>
      </c>
      <c r="Q143" s="6">
        <v>25.3</v>
      </c>
      <c r="R143" s="6">
        <v>7.7</v>
      </c>
      <c r="S143" s="6">
        <v>11.7</v>
      </c>
      <c r="T143" s="5">
        <v>8.6999999999999994E-3</v>
      </c>
      <c r="U143" s="1">
        <v>-0.02</v>
      </c>
      <c r="V143" s="1">
        <v>4.1062000000000003</v>
      </c>
    </row>
    <row r="144" spans="1:22" x14ac:dyDescent="0.25">
      <c r="A144" s="1">
        <v>0.99760000000000004</v>
      </c>
      <c r="B144" s="9" t="s">
        <v>3644</v>
      </c>
      <c r="C144" s="2">
        <v>2594</v>
      </c>
      <c r="D144" s="3" t="s">
        <v>2045</v>
      </c>
      <c r="E144" s="9" t="s">
        <v>3645</v>
      </c>
      <c r="F144" s="9" t="s">
        <v>1799</v>
      </c>
      <c r="G144" s="1">
        <v>1253.6796999999999</v>
      </c>
      <c r="H144" s="2">
        <v>1517</v>
      </c>
      <c r="I144" s="2">
        <v>2</v>
      </c>
      <c r="J144" s="1">
        <v>1253.6585</v>
      </c>
      <c r="K144" s="1">
        <v>627.84709999999995</v>
      </c>
      <c r="L144" s="9" t="s">
        <v>1800</v>
      </c>
      <c r="M144" s="2">
        <v>10</v>
      </c>
      <c r="N144" s="4">
        <v>2807.51</v>
      </c>
      <c r="O144" s="1">
        <v>-16.883091440575264</v>
      </c>
      <c r="P144" s="6">
        <v>51.7</v>
      </c>
      <c r="Q144" s="6">
        <v>29.7</v>
      </c>
      <c r="R144" s="6">
        <v>11.1</v>
      </c>
      <c r="S144" s="6">
        <v>12.3</v>
      </c>
      <c r="T144" s="5">
        <v>2.0000000000000002E-5</v>
      </c>
      <c r="U144" s="1">
        <v>-2.12E-2</v>
      </c>
      <c r="V144" s="1">
        <v>7.3628999999999998</v>
      </c>
    </row>
    <row r="145" spans="1:22" x14ac:dyDescent="0.25">
      <c r="A145" s="1">
        <v>0.99880000000000002</v>
      </c>
      <c r="B145" s="9" t="s">
        <v>3646</v>
      </c>
      <c r="C145" s="2">
        <v>2643</v>
      </c>
      <c r="D145" s="3" t="s">
        <v>285</v>
      </c>
      <c r="E145" s="9" t="s">
        <v>3647</v>
      </c>
      <c r="F145" s="9" t="s">
        <v>2595</v>
      </c>
      <c r="G145" s="1">
        <v>1352.7117000000001</v>
      </c>
      <c r="H145" s="2">
        <v>682</v>
      </c>
      <c r="I145" s="2">
        <v>2</v>
      </c>
      <c r="J145" s="1">
        <v>1352.6714999999999</v>
      </c>
      <c r="K145" s="1">
        <v>677.36310000000003</v>
      </c>
      <c r="L145" s="9" t="s">
        <v>2596</v>
      </c>
      <c r="M145" s="2">
        <v>8.69</v>
      </c>
      <c r="N145" s="4">
        <v>2866.26</v>
      </c>
      <c r="O145" s="1">
        <v>-29.673892776267262</v>
      </c>
      <c r="P145" s="6">
        <v>45.9</v>
      </c>
      <c r="Q145" s="6">
        <v>27.4</v>
      </c>
      <c r="R145" s="6">
        <v>10.9</v>
      </c>
      <c r="S145" s="6">
        <v>11.2</v>
      </c>
      <c r="T145" s="5">
        <v>2.5000000000000001E-5</v>
      </c>
      <c r="U145" s="1">
        <v>-4.02E-2</v>
      </c>
      <c r="V145" s="1">
        <v>7.1559999999999997</v>
      </c>
    </row>
    <row r="146" spans="1:22" x14ac:dyDescent="0.25">
      <c r="A146" s="1">
        <v>0.97399999999999998</v>
      </c>
      <c r="B146" s="9" t="s">
        <v>3648</v>
      </c>
      <c r="C146" s="2">
        <v>2922</v>
      </c>
      <c r="D146" s="3" t="s">
        <v>41</v>
      </c>
      <c r="E146" s="9" t="s">
        <v>3649</v>
      </c>
      <c r="F146" s="9" t="s">
        <v>1839</v>
      </c>
      <c r="G146" s="1">
        <v>1554.8547000000001</v>
      </c>
      <c r="H146" s="2">
        <v>1119</v>
      </c>
      <c r="I146" s="2">
        <v>3</v>
      </c>
      <c r="J146" s="1">
        <v>1554.836</v>
      </c>
      <c r="K146" s="1">
        <v>519.29219999999998</v>
      </c>
      <c r="L146" s="9" t="s">
        <v>1840</v>
      </c>
      <c r="M146" s="2">
        <v>11.17</v>
      </c>
      <c r="N146" s="4">
        <v>3255.03</v>
      </c>
      <c r="O146" s="1">
        <v>-12.003518122038679</v>
      </c>
      <c r="P146" s="6">
        <v>31.6</v>
      </c>
      <c r="Q146" s="6">
        <v>26.5</v>
      </c>
      <c r="R146" s="6">
        <v>9.1</v>
      </c>
      <c r="S146" s="6">
        <v>11.1</v>
      </c>
      <c r="T146" s="5">
        <v>1.9E-2</v>
      </c>
      <c r="U146" s="1">
        <v>-1.8700000000000001E-2</v>
      </c>
      <c r="V146" s="1">
        <v>3.0800999999999998</v>
      </c>
    </row>
    <row r="147" spans="1:22" x14ac:dyDescent="0.25">
      <c r="A147" s="1">
        <v>0.99950000000000006</v>
      </c>
      <c r="B147" s="9" t="s">
        <v>3650</v>
      </c>
      <c r="C147" s="2">
        <v>2940</v>
      </c>
      <c r="D147" s="3" t="s">
        <v>1903</v>
      </c>
      <c r="E147" s="9" t="s">
        <v>3649</v>
      </c>
      <c r="F147" s="9" t="s">
        <v>1839</v>
      </c>
      <c r="G147" s="1">
        <v>1554.8547000000001</v>
      </c>
      <c r="H147" s="2">
        <v>1120</v>
      </c>
      <c r="I147" s="2">
        <v>3</v>
      </c>
      <c r="J147" s="1">
        <v>1554.8181999999999</v>
      </c>
      <c r="K147" s="1">
        <v>519.29219999999998</v>
      </c>
      <c r="L147" s="9" t="s">
        <v>1840</v>
      </c>
      <c r="M147" s="2">
        <v>11.17</v>
      </c>
      <c r="N147" s="4">
        <v>3278.98</v>
      </c>
      <c r="O147" s="1">
        <v>-23.429326815743945</v>
      </c>
      <c r="P147" s="6">
        <v>41.3</v>
      </c>
      <c r="Q147" s="6">
        <v>28.2</v>
      </c>
      <c r="R147" s="6">
        <v>9.4</v>
      </c>
      <c r="S147" s="6">
        <v>10.8</v>
      </c>
      <c r="T147" s="5">
        <v>5.9999999999999995E-4</v>
      </c>
      <c r="U147" s="1">
        <v>-3.6499999999999998E-2</v>
      </c>
      <c r="V147" s="1">
        <v>5.6688999999999998</v>
      </c>
    </row>
    <row r="148" spans="1:22" x14ac:dyDescent="0.25">
      <c r="A148" s="1">
        <v>0.995</v>
      </c>
      <c r="B148" s="9" t="s">
        <v>3651</v>
      </c>
      <c r="C148" s="2">
        <v>2981</v>
      </c>
      <c r="D148" s="3" t="s">
        <v>333</v>
      </c>
      <c r="E148" s="9" t="s">
        <v>3652</v>
      </c>
      <c r="F148" s="9" t="s">
        <v>2595</v>
      </c>
      <c r="G148" s="1">
        <v>1621.9227000000001</v>
      </c>
      <c r="H148" s="2">
        <v>139</v>
      </c>
      <c r="I148" s="2">
        <v>3</v>
      </c>
      <c r="J148" s="1">
        <v>1621.8915999999999</v>
      </c>
      <c r="K148" s="1">
        <v>541.64819999999997</v>
      </c>
      <c r="L148" s="9" t="s">
        <v>2596</v>
      </c>
      <c r="M148" s="2">
        <v>9.7100000000000009</v>
      </c>
      <c r="N148" s="4">
        <v>3334.28</v>
      </c>
      <c r="O148" s="1">
        <v>-19.139114035026182</v>
      </c>
      <c r="P148" s="6">
        <v>34.4</v>
      </c>
      <c r="Q148" s="6">
        <v>24.2</v>
      </c>
      <c r="R148" s="6">
        <v>10.8</v>
      </c>
      <c r="S148" s="6">
        <v>10.8</v>
      </c>
      <c r="T148" s="5">
        <v>2.3999999999999998E-3</v>
      </c>
      <c r="U148" s="1">
        <v>-3.1099999999999999E-2</v>
      </c>
      <c r="V148" s="1">
        <v>5.0092999999999996</v>
      </c>
    </row>
    <row r="149" spans="1:22" x14ac:dyDescent="0.25">
      <c r="A149" s="1">
        <v>0.98480000000000001</v>
      </c>
      <c r="B149" s="9" t="s">
        <v>3653</v>
      </c>
      <c r="C149" s="2">
        <v>3000</v>
      </c>
      <c r="D149" s="3" t="s">
        <v>3469</v>
      </c>
      <c r="E149" s="9" t="s">
        <v>1910</v>
      </c>
      <c r="F149" s="9" t="s">
        <v>1911</v>
      </c>
      <c r="G149" s="1">
        <v>2653.0376999999999</v>
      </c>
      <c r="H149" s="2">
        <v>1121</v>
      </c>
      <c r="I149" s="2">
        <v>3</v>
      </c>
      <c r="J149" s="1">
        <v>2653.0405000000001</v>
      </c>
      <c r="K149" s="1">
        <v>885.35320000000002</v>
      </c>
      <c r="L149" s="9" t="s">
        <v>1912</v>
      </c>
      <c r="M149" s="2">
        <v>8.27</v>
      </c>
      <c r="N149" s="4">
        <v>3359.39</v>
      </c>
      <c r="O149" s="1">
        <v>1.0541932116282329</v>
      </c>
      <c r="P149" s="6">
        <v>26.9</v>
      </c>
      <c r="Q149" s="6">
        <v>19.600000000000001</v>
      </c>
      <c r="R149" s="6">
        <v>5.6</v>
      </c>
      <c r="S149" s="6">
        <v>6.2</v>
      </c>
      <c r="T149" s="5">
        <v>4.3999999999999997E-2</v>
      </c>
      <c r="U149" s="1">
        <v>2.8E-3</v>
      </c>
      <c r="V149" s="1">
        <v>2.7475999999999998</v>
      </c>
    </row>
    <row r="150" spans="1:22" x14ac:dyDescent="0.25">
      <c r="A150" s="1">
        <v>1</v>
      </c>
      <c r="B150" s="9" t="s">
        <v>3654</v>
      </c>
      <c r="C150" s="2">
        <v>3007</v>
      </c>
      <c r="D150" s="3" t="s">
        <v>3655</v>
      </c>
      <c r="E150" s="9" t="s">
        <v>3656</v>
      </c>
      <c r="F150" s="9" t="s">
        <v>3657</v>
      </c>
      <c r="G150" s="1">
        <v>1878.9984999999999</v>
      </c>
      <c r="H150" s="2">
        <v>1122</v>
      </c>
      <c r="I150" s="2">
        <v>3</v>
      </c>
      <c r="J150" s="1">
        <v>1878.9922999999999</v>
      </c>
      <c r="K150" s="1">
        <v>627.34010000000001</v>
      </c>
      <c r="L150" s="9" t="s">
        <v>2596</v>
      </c>
      <c r="M150" s="2">
        <v>8.64</v>
      </c>
      <c r="N150" s="4">
        <v>3368.99</v>
      </c>
      <c r="O150" s="1">
        <v>-3.2943321599666064</v>
      </c>
      <c r="P150" s="6">
        <v>50.2</v>
      </c>
      <c r="Q150" s="6">
        <v>33.299999999999997</v>
      </c>
      <c r="R150" s="6">
        <v>11.9</v>
      </c>
      <c r="S150" s="6">
        <v>11.2</v>
      </c>
      <c r="T150" s="5">
        <v>2.3999999999999999E-6</v>
      </c>
      <c r="U150" s="1">
        <v>-6.1999999999999998E-3</v>
      </c>
      <c r="V150" s="1">
        <v>8.1098999999999997</v>
      </c>
    </row>
    <row r="151" spans="1:22" x14ac:dyDescent="0.25">
      <c r="A151" s="1">
        <v>0.95860000000000001</v>
      </c>
      <c r="B151" s="9" t="s">
        <v>3658</v>
      </c>
      <c r="C151" s="2">
        <v>3009</v>
      </c>
      <c r="D151" s="3" t="s">
        <v>183</v>
      </c>
      <c r="E151" s="9" t="s">
        <v>3659</v>
      </c>
      <c r="F151" s="9" t="s">
        <v>3660</v>
      </c>
      <c r="G151" s="1">
        <v>1246.6457</v>
      </c>
      <c r="H151" s="2">
        <v>141</v>
      </c>
      <c r="I151" s="2">
        <v>2</v>
      </c>
      <c r="J151" s="1">
        <v>1246.6343999999999</v>
      </c>
      <c r="K151" s="1">
        <v>624.33010000000002</v>
      </c>
      <c r="L151" s="9" t="s">
        <v>3661</v>
      </c>
      <c r="M151" s="2">
        <v>6.92</v>
      </c>
      <c r="N151" s="4">
        <v>3374.29</v>
      </c>
      <c r="O151" s="1">
        <v>-9.0496998302660714</v>
      </c>
      <c r="P151" s="6">
        <v>28.5</v>
      </c>
      <c r="Q151" s="6">
        <v>22.1</v>
      </c>
      <c r="R151" s="6">
        <v>7.2</v>
      </c>
      <c r="S151" s="6">
        <v>7.9</v>
      </c>
      <c r="T151" s="5">
        <v>1.4999999999999999E-2</v>
      </c>
      <c r="U151" s="1">
        <v>-1.1299999999999999E-2</v>
      </c>
      <c r="V151" s="1">
        <v>3.6610999999999998</v>
      </c>
    </row>
    <row r="152" spans="1:22" x14ac:dyDescent="0.25">
      <c r="A152" s="1">
        <v>0.99990000000000001</v>
      </c>
      <c r="B152" s="9" t="s">
        <v>3662</v>
      </c>
      <c r="C152" s="2">
        <v>3022</v>
      </c>
      <c r="D152" s="3" t="s">
        <v>2158</v>
      </c>
      <c r="E152" s="9" t="s">
        <v>1918</v>
      </c>
      <c r="F152" s="9" t="s">
        <v>1919</v>
      </c>
      <c r="G152" s="1">
        <v>2623.0272</v>
      </c>
      <c r="H152" s="2">
        <v>1123</v>
      </c>
      <c r="I152" s="2">
        <v>3</v>
      </c>
      <c r="J152" s="1">
        <v>2623.0351000000001</v>
      </c>
      <c r="K152" s="1">
        <v>875.34969999999998</v>
      </c>
      <c r="L152" s="9" t="s">
        <v>1920</v>
      </c>
      <c r="M152" s="2">
        <v>8.27</v>
      </c>
      <c r="N152" s="4">
        <v>3393.69</v>
      </c>
      <c r="O152" s="1">
        <v>3.0083215123433908</v>
      </c>
      <c r="P152" s="6">
        <v>36.299999999999997</v>
      </c>
      <c r="Q152" s="6">
        <v>22</v>
      </c>
      <c r="R152" s="6">
        <v>6.3</v>
      </c>
      <c r="S152" s="6">
        <v>6.6</v>
      </c>
      <c r="T152" s="5">
        <v>1.2E-4</v>
      </c>
      <c r="U152" s="1">
        <v>7.9000000000000008E-3</v>
      </c>
      <c r="V152" s="1">
        <v>5.8593999999999999</v>
      </c>
    </row>
    <row r="153" spans="1:22" x14ac:dyDescent="0.25">
      <c r="A153" s="1">
        <v>0.99709999999999999</v>
      </c>
      <c r="B153" s="9" t="s">
        <v>3663</v>
      </c>
      <c r="C153" s="2">
        <v>3097</v>
      </c>
      <c r="D153" s="3" t="s">
        <v>558</v>
      </c>
      <c r="E153" s="9" t="s">
        <v>3664</v>
      </c>
      <c r="F153" s="9" t="s">
        <v>3665</v>
      </c>
      <c r="G153" s="1">
        <v>1703.8525</v>
      </c>
      <c r="H153" s="2">
        <v>689</v>
      </c>
      <c r="I153" s="2">
        <v>3</v>
      </c>
      <c r="J153" s="1">
        <v>1703.8474000000001</v>
      </c>
      <c r="K153" s="1">
        <v>568.95809999999994</v>
      </c>
      <c r="L153" s="9" t="s">
        <v>3666</v>
      </c>
      <c r="M153" s="2">
        <v>11.71</v>
      </c>
      <c r="N153" s="4">
        <v>3494.69</v>
      </c>
      <c r="O153" s="1">
        <v>-2.9879177394609555</v>
      </c>
      <c r="P153" s="6">
        <v>31.9</v>
      </c>
      <c r="Q153" s="6">
        <v>21.4</v>
      </c>
      <c r="R153" s="6">
        <v>10.3</v>
      </c>
      <c r="S153" s="6">
        <v>8.4</v>
      </c>
      <c r="T153" s="5">
        <v>2.3999999999999998E-3</v>
      </c>
      <c r="U153" s="1">
        <v>-5.1000000000000004E-3</v>
      </c>
      <c r="V153" s="1">
        <v>5.1837999999999997</v>
      </c>
    </row>
    <row r="154" spans="1:22" x14ac:dyDescent="0.25">
      <c r="A154" s="1">
        <v>0.99550000000000005</v>
      </c>
      <c r="B154" s="9" t="s">
        <v>3667</v>
      </c>
      <c r="C154" s="2">
        <v>3229</v>
      </c>
      <c r="D154" s="3" t="s">
        <v>154</v>
      </c>
      <c r="E154" s="9" t="s">
        <v>3668</v>
      </c>
      <c r="F154" s="9" t="s">
        <v>1924</v>
      </c>
      <c r="G154" s="1">
        <v>1069.5047</v>
      </c>
      <c r="H154" s="2">
        <v>1130</v>
      </c>
      <c r="I154" s="2">
        <v>2</v>
      </c>
      <c r="J154" s="1">
        <v>1069.4912999999999</v>
      </c>
      <c r="K154" s="1">
        <v>535.75959999999998</v>
      </c>
      <c r="L154" s="9" t="s">
        <v>898</v>
      </c>
      <c r="M154" s="2">
        <v>8.23</v>
      </c>
      <c r="N154" s="4">
        <v>3688.6</v>
      </c>
      <c r="O154" s="1">
        <v>-12.505608858898658</v>
      </c>
      <c r="P154" s="6">
        <v>34.299999999999997</v>
      </c>
      <c r="Q154" s="6">
        <v>25.6</v>
      </c>
      <c r="R154" s="6">
        <v>9.9</v>
      </c>
      <c r="S154" s="6">
        <v>10</v>
      </c>
      <c r="T154" s="5">
        <v>7.5000000000000002E-4</v>
      </c>
      <c r="U154" s="1">
        <v>-1.34E-2</v>
      </c>
      <c r="V154" s="1">
        <v>5.5903</v>
      </c>
    </row>
    <row r="155" spans="1:22" x14ac:dyDescent="0.25">
      <c r="A155" s="1">
        <v>0.99160000000000004</v>
      </c>
      <c r="B155" s="9" t="s">
        <v>3669</v>
      </c>
      <c r="C155" s="2">
        <v>3258</v>
      </c>
      <c r="D155" s="3" t="s">
        <v>146</v>
      </c>
      <c r="E155" s="9" t="s">
        <v>3670</v>
      </c>
      <c r="F155" s="9" t="s">
        <v>3671</v>
      </c>
      <c r="G155" s="1">
        <v>1315.6696999999999</v>
      </c>
      <c r="H155" s="2">
        <v>1132</v>
      </c>
      <c r="I155" s="2">
        <v>2</v>
      </c>
      <c r="J155" s="1">
        <v>1315.6387</v>
      </c>
      <c r="K155" s="1">
        <v>658.84209999999996</v>
      </c>
      <c r="L155" s="9" t="s">
        <v>3672</v>
      </c>
      <c r="M155" s="2">
        <v>6.07</v>
      </c>
      <c r="N155" s="4">
        <v>3736.8</v>
      </c>
      <c r="O155" s="1">
        <v>-23.526122571705727</v>
      </c>
      <c r="P155" s="6">
        <v>42.3</v>
      </c>
      <c r="Q155" s="6">
        <v>27.4</v>
      </c>
      <c r="R155" s="6">
        <v>12.8</v>
      </c>
      <c r="S155" s="6">
        <v>13.7</v>
      </c>
      <c r="T155" s="5">
        <v>3.3999999999999998E-3</v>
      </c>
      <c r="U155" s="1">
        <v>-3.1E-2</v>
      </c>
      <c r="V155" s="1">
        <v>4.8414000000000001</v>
      </c>
    </row>
    <row r="156" spans="1:22" x14ac:dyDescent="0.25">
      <c r="A156" s="1">
        <v>0.99980000000000002</v>
      </c>
      <c r="B156" s="9" t="s">
        <v>3673</v>
      </c>
      <c r="C156" s="2">
        <v>3286</v>
      </c>
      <c r="D156" s="3" t="s">
        <v>1903</v>
      </c>
      <c r="E156" s="9" t="s">
        <v>3674</v>
      </c>
      <c r="F156" s="9" t="s">
        <v>3675</v>
      </c>
      <c r="G156" s="1">
        <v>1982.9627</v>
      </c>
      <c r="H156" s="2">
        <v>1133</v>
      </c>
      <c r="I156" s="2">
        <v>3</v>
      </c>
      <c r="J156" s="1">
        <v>1982.9309000000001</v>
      </c>
      <c r="K156" s="1">
        <v>661.99480000000005</v>
      </c>
      <c r="L156" s="9" t="s">
        <v>3676</v>
      </c>
      <c r="M156" s="2">
        <v>8.82</v>
      </c>
      <c r="N156" s="4">
        <v>3783.96</v>
      </c>
      <c r="O156" s="1">
        <v>-16.012210367815577</v>
      </c>
      <c r="P156" s="6">
        <v>39.200000000000003</v>
      </c>
      <c r="Q156" s="6">
        <v>24.1</v>
      </c>
      <c r="R156" s="6">
        <v>8.8000000000000007</v>
      </c>
      <c r="S156" s="6">
        <v>9</v>
      </c>
      <c r="T156" s="5">
        <v>2.1000000000000001E-4</v>
      </c>
      <c r="U156" s="1">
        <v>-3.1800000000000002E-2</v>
      </c>
      <c r="V156" s="1">
        <v>6.5621999999999998</v>
      </c>
    </row>
    <row r="157" spans="1:22" x14ac:dyDescent="0.25">
      <c r="A157" s="1">
        <v>0.9919</v>
      </c>
      <c r="B157" s="9" t="s">
        <v>3677</v>
      </c>
      <c r="C157" s="2">
        <v>3321</v>
      </c>
      <c r="D157" s="3" t="s">
        <v>183</v>
      </c>
      <c r="E157" s="9" t="s">
        <v>3678</v>
      </c>
      <c r="F157" s="9" t="s">
        <v>3679</v>
      </c>
      <c r="G157" s="1">
        <v>1359.5887</v>
      </c>
      <c r="H157" s="2">
        <v>142</v>
      </c>
      <c r="I157" s="2">
        <v>2</v>
      </c>
      <c r="J157" s="1">
        <v>1359.5735</v>
      </c>
      <c r="K157" s="1">
        <v>680.80160000000001</v>
      </c>
      <c r="L157" s="9" t="s">
        <v>456</v>
      </c>
      <c r="M157" s="2">
        <v>8.08</v>
      </c>
      <c r="N157" s="4">
        <v>3831.21</v>
      </c>
      <c r="O157" s="1">
        <v>-11.163311014545206</v>
      </c>
      <c r="P157" s="6">
        <v>30.9</v>
      </c>
      <c r="Q157" s="6">
        <v>21.2</v>
      </c>
      <c r="R157" s="6">
        <v>9</v>
      </c>
      <c r="S157" s="6">
        <v>10.6</v>
      </c>
      <c r="T157" s="5">
        <v>2.8999999999999998E-3</v>
      </c>
      <c r="U157" s="1">
        <v>-1.52E-2</v>
      </c>
      <c r="V157" s="1">
        <v>4.9447000000000001</v>
      </c>
    </row>
    <row r="158" spans="1:22" x14ac:dyDescent="0.25">
      <c r="A158" s="1">
        <v>0.95379999999999998</v>
      </c>
      <c r="B158" s="9" t="s">
        <v>3680</v>
      </c>
      <c r="C158" s="2">
        <v>3371</v>
      </c>
      <c r="D158" s="3" t="s">
        <v>46</v>
      </c>
      <c r="E158" s="9" t="s">
        <v>3681</v>
      </c>
      <c r="F158" s="9" t="s">
        <v>2838</v>
      </c>
      <c r="G158" s="1">
        <v>1615.8726999999999</v>
      </c>
      <c r="H158" s="2">
        <v>442</v>
      </c>
      <c r="I158" s="2">
        <v>3</v>
      </c>
      <c r="J158" s="1">
        <v>1615.8516999999999</v>
      </c>
      <c r="K158" s="1">
        <v>539.63149999999996</v>
      </c>
      <c r="L158" s="9" t="s">
        <v>2839</v>
      </c>
      <c r="M158" s="2">
        <v>12.3</v>
      </c>
      <c r="N158" s="4">
        <v>3909.31</v>
      </c>
      <c r="O158" s="1">
        <v>-12.97181502562397</v>
      </c>
      <c r="P158" s="6">
        <v>30.6</v>
      </c>
      <c r="Q158" s="6">
        <v>25.1</v>
      </c>
      <c r="R158" s="6">
        <v>12.5</v>
      </c>
      <c r="S158" s="6">
        <v>12.3</v>
      </c>
      <c r="T158" s="5">
        <v>2.5999999999999999E-2</v>
      </c>
      <c r="U158" s="1">
        <v>-2.1000000000000001E-2</v>
      </c>
      <c r="V158" s="1">
        <v>3.2214999999999998</v>
      </c>
    </row>
    <row r="159" spans="1:22" x14ac:dyDescent="0.25">
      <c r="A159" s="1">
        <v>0.97019999999999995</v>
      </c>
      <c r="B159" s="9" t="s">
        <v>3682</v>
      </c>
      <c r="C159" s="2">
        <v>3376</v>
      </c>
      <c r="D159" s="3" t="s">
        <v>3683</v>
      </c>
      <c r="E159" s="9" t="s">
        <v>3684</v>
      </c>
      <c r="F159" s="9" t="s">
        <v>3685</v>
      </c>
      <c r="G159" s="1">
        <v>2997.3996999999999</v>
      </c>
      <c r="H159" s="2">
        <v>1669</v>
      </c>
      <c r="I159" s="2">
        <v>4</v>
      </c>
      <c r="J159" s="1">
        <v>2997.3191000000002</v>
      </c>
      <c r="K159" s="1">
        <v>750.35720000000003</v>
      </c>
      <c r="L159" s="9" t="s">
        <v>3088</v>
      </c>
      <c r="M159" s="2">
        <v>5.45</v>
      </c>
      <c r="N159" s="4">
        <v>3920.06</v>
      </c>
      <c r="O159" s="1">
        <v>-26.853877060152151</v>
      </c>
      <c r="P159" s="6">
        <v>41.5</v>
      </c>
      <c r="Q159" s="6">
        <v>29.5</v>
      </c>
      <c r="R159" s="6">
        <v>0</v>
      </c>
      <c r="S159" s="6">
        <v>12.1</v>
      </c>
      <c r="T159" s="5">
        <v>2.5999999999999999E-3</v>
      </c>
      <c r="U159" s="1">
        <v>-8.0600000000000005E-2</v>
      </c>
      <c r="V159" s="1">
        <v>3.8105000000000002</v>
      </c>
    </row>
    <row r="160" spans="1:22" x14ac:dyDescent="0.25">
      <c r="A160" s="1">
        <v>0.98070000000000002</v>
      </c>
      <c r="B160" s="9" t="s">
        <v>3686</v>
      </c>
      <c r="C160" s="2">
        <v>3383</v>
      </c>
      <c r="D160" s="3" t="s">
        <v>370</v>
      </c>
      <c r="E160" s="9" t="s">
        <v>3687</v>
      </c>
      <c r="F160" s="9" t="s">
        <v>282</v>
      </c>
      <c r="G160" s="1">
        <v>1215.6396999999999</v>
      </c>
      <c r="H160" s="2">
        <v>1136</v>
      </c>
      <c r="I160" s="2">
        <v>2</v>
      </c>
      <c r="J160" s="1">
        <v>1215.6120000000001</v>
      </c>
      <c r="K160" s="1">
        <v>608.82709999999997</v>
      </c>
      <c r="L160" s="9" t="s">
        <v>283</v>
      </c>
      <c r="M160" s="2">
        <v>11</v>
      </c>
      <c r="N160" s="4">
        <v>3929.71</v>
      </c>
      <c r="O160" s="1">
        <v>-22.748658855691541</v>
      </c>
      <c r="P160" s="6">
        <v>42</v>
      </c>
      <c r="Q160" s="6">
        <v>28.6</v>
      </c>
      <c r="R160" s="6">
        <v>9.6999999999999993</v>
      </c>
      <c r="S160" s="6">
        <v>11.9</v>
      </c>
      <c r="T160" s="5">
        <v>1.2E-2</v>
      </c>
      <c r="U160" s="1">
        <v>-2.7699999999999999E-2</v>
      </c>
      <c r="V160" s="1">
        <v>4.0728</v>
      </c>
    </row>
    <row r="161" spans="1:22" x14ac:dyDescent="0.25">
      <c r="A161" s="1">
        <v>0.96260000000000001</v>
      </c>
      <c r="B161" s="9" t="s">
        <v>3688</v>
      </c>
      <c r="C161" s="2">
        <v>3421</v>
      </c>
      <c r="D161" s="3" t="s">
        <v>980</v>
      </c>
      <c r="E161" s="9" t="s">
        <v>3689</v>
      </c>
      <c r="F161" s="9" t="s">
        <v>3657</v>
      </c>
      <c r="G161" s="1">
        <v>1722.8723</v>
      </c>
      <c r="H161" s="2">
        <v>1611</v>
      </c>
      <c r="I161" s="2">
        <v>3</v>
      </c>
      <c r="J161" s="1">
        <v>1722.8648000000001</v>
      </c>
      <c r="K161" s="1">
        <v>575.298</v>
      </c>
      <c r="L161" s="9" t="s">
        <v>2596</v>
      </c>
      <c r="M161" s="2">
        <v>6.8</v>
      </c>
      <c r="N161" s="4">
        <v>3997.51</v>
      </c>
      <c r="O161" s="1">
        <v>-4.3455739460244951</v>
      </c>
      <c r="P161" s="6">
        <v>35</v>
      </c>
      <c r="Q161" s="6">
        <v>27.2</v>
      </c>
      <c r="R161" s="6">
        <v>11.8</v>
      </c>
      <c r="S161" s="6">
        <v>11.5</v>
      </c>
      <c r="T161" s="5">
        <v>2.3E-2</v>
      </c>
      <c r="U161" s="1">
        <v>-7.4999999999999997E-3</v>
      </c>
      <c r="V161" s="1">
        <v>3.2004000000000001</v>
      </c>
    </row>
    <row r="162" spans="1:22" x14ac:dyDescent="0.25">
      <c r="A162" s="1">
        <v>0.99990000000000001</v>
      </c>
      <c r="B162" s="9" t="s">
        <v>3690</v>
      </c>
      <c r="C162" s="2">
        <v>3490</v>
      </c>
      <c r="D162" s="3" t="s">
        <v>469</v>
      </c>
      <c r="E162" s="9" t="s">
        <v>3691</v>
      </c>
      <c r="F162" s="9" t="s">
        <v>3692</v>
      </c>
      <c r="G162" s="1">
        <v>1799.0227</v>
      </c>
      <c r="H162" s="2">
        <v>1142</v>
      </c>
      <c r="I162" s="2">
        <v>3</v>
      </c>
      <c r="J162" s="1">
        <v>1798.9912999999999</v>
      </c>
      <c r="K162" s="1">
        <v>600.68150000000003</v>
      </c>
      <c r="L162" s="9" t="s">
        <v>161</v>
      </c>
      <c r="M162" s="2">
        <v>9.6999999999999993</v>
      </c>
      <c r="N162" s="4">
        <v>4109.96</v>
      </c>
      <c r="O162" s="1">
        <v>-17.424652942810233</v>
      </c>
      <c r="P162" s="6">
        <v>44.4</v>
      </c>
      <c r="Q162" s="6">
        <v>27.2</v>
      </c>
      <c r="R162" s="6">
        <v>5.8</v>
      </c>
      <c r="S162" s="6">
        <v>11.3</v>
      </c>
      <c r="T162" s="5">
        <v>1.7E-5</v>
      </c>
      <c r="U162" s="1">
        <v>-3.1399999999999997E-2</v>
      </c>
      <c r="V162" s="1">
        <v>7.4062999999999999</v>
      </c>
    </row>
    <row r="163" spans="1:22" x14ac:dyDescent="0.25">
      <c r="A163" s="1">
        <v>0.99550000000000005</v>
      </c>
      <c r="B163" s="9" t="s">
        <v>3693</v>
      </c>
      <c r="C163" s="2">
        <v>3595</v>
      </c>
      <c r="D163" s="3" t="s">
        <v>3694</v>
      </c>
      <c r="E163" s="9" t="s">
        <v>3695</v>
      </c>
      <c r="F163" s="9" t="s">
        <v>3696</v>
      </c>
      <c r="G163" s="1">
        <v>1246.5947000000001</v>
      </c>
      <c r="H163" s="2">
        <v>1767</v>
      </c>
      <c r="I163" s="2">
        <v>3</v>
      </c>
      <c r="J163" s="1">
        <v>1246.5696</v>
      </c>
      <c r="K163" s="1">
        <v>416.53879999999998</v>
      </c>
      <c r="L163" s="9" t="s">
        <v>3697</v>
      </c>
      <c r="M163" s="2">
        <v>8.23</v>
      </c>
      <c r="N163" s="4">
        <v>4272.72</v>
      </c>
      <c r="O163" s="1">
        <v>-20.086164042021217</v>
      </c>
      <c r="P163" s="6">
        <v>21.5</v>
      </c>
      <c r="Q163" s="6">
        <v>18</v>
      </c>
      <c r="R163" s="6">
        <v>9.1999999999999993</v>
      </c>
      <c r="S163" s="6">
        <v>9.4</v>
      </c>
      <c r="T163" s="5">
        <v>0.15</v>
      </c>
      <c r="U163" s="1">
        <v>-2.5100000000000001E-2</v>
      </c>
      <c r="V163" s="1">
        <v>2.5499999999999998</v>
      </c>
    </row>
    <row r="164" spans="1:22" x14ac:dyDescent="0.25">
      <c r="A164" s="1">
        <v>0.99670000000000003</v>
      </c>
      <c r="B164" s="9" t="s">
        <v>3698</v>
      </c>
      <c r="C164" s="2">
        <v>3640</v>
      </c>
      <c r="D164" s="3" t="s">
        <v>493</v>
      </c>
      <c r="E164" s="9" t="s">
        <v>3699</v>
      </c>
      <c r="F164" s="9" t="s">
        <v>2838</v>
      </c>
      <c r="G164" s="1">
        <v>1556.7257</v>
      </c>
      <c r="H164" s="2">
        <v>1146</v>
      </c>
      <c r="I164" s="2">
        <v>2</v>
      </c>
      <c r="J164" s="1">
        <v>1556.7082</v>
      </c>
      <c r="K164" s="1">
        <v>779.37009999999998</v>
      </c>
      <c r="L164" s="9" t="s">
        <v>2839</v>
      </c>
      <c r="M164" s="2">
        <v>4.41</v>
      </c>
      <c r="N164" s="4">
        <v>4336.67</v>
      </c>
      <c r="O164" s="1">
        <v>-11.227015252445534</v>
      </c>
      <c r="P164" s="6">
        <v>50.6</v>
      </c>
      <c r="Q164" s="6">
        <v>31.9</v>
      </c>
      <c r="R164" s="6">
        <v>10.8</v>
      </c>
      <c r="S164" s="6">
        <v>13.2</v>
      </c>
      <c r="T164" s="5">
        <v>1.2E-4</v>
      </c>
      <c r="U164" s="1">
        <v>-1.7500000000000002E-2</v>
      </c>
      <c r="V164" s="1">
        <v>6.0462999999999996</v>
      </c>
    </row>
    <row r="165" spans="1:22" x14ac:dyDescent="0.25">
      <c r="A165" s="1">
        <v>0.99750000000000005</v>
      </c>
      <c r="B165" s="9" t="s">
        <v>3700</v>
      </c>
      <c r="C165" s="2">
        <v>3658</v>
      </c>
      <c r="D165" s="3" t="s">
        <v>770</v>
      </c>
      <c r="E165" s="9" t="s">
        <v>3701</v>
      </c>
      <c r="F165" s="9" t="s">
        <v>3585</v>
      </c>
      <c r="G165" s="1">
        <v>1712.0266999999999</v>
      </c>
      <c r="H165" s="2">
        <v>46</v>
      </c>
      <c r="I165" s="2">
        <v>3</v>
      </c>
      <c r="J165" s="1">
        <v>1711.9865</v>
      </c>
      <c r="K165" s="1">
        <v>571.68280000000004</v>
      </c>
      <c r="L165" s="9" t="s">
        <v>3586</v>
      </c>
      <c r="M165" s="2">
        <v>9.5299999999999994</v>
      </c>
      <c r="N165" s="4">
        <v>4369.97</v>
      </c>
      <c r="O165" s="1">
        <v>-23.439571734535306</v>
      </c>
      <c r="P165" s="6">
        <v>31.6</v>
      </c>
      <c r="Q165" s="6">
        <v>22.6</v>
      </c>
      <c r="R165" s="6">
        <v>10.7</v>
      </c>
      <c r="S165" s="6">
        <v>10.7</v>
      </c>
      <c r="T165" s="5">
        <v>7.6000000000000004E-4</v>
      </c>
      <c r="U165" s="1">
        <v>-4.02E-2</v>
      </c>
      <c r="V165" s="1">
        <v>5.5613999999999999</v>
      </c>
    </row>
    <row r="166" spans="1:22" x14ac:dyDescent="0.25">
      <c r="A166" s="1">
        <v>0.997</v>
      </c>
      <c r="B166" s="9" t="s">
        <v>3702</v>
      </c>
      <c r="C166" s="2">
        <v>3663</v>
      </c>
      <c r="D166" s="3" t="s">
        <v>349</v>
      </c>
      <c r="E166" s="9" t="s">
        <v>3703</v>
      </c>
      <c r="F166" s="9" t="s">
        <v>2595</v>
      </c>
      <c r="G166" s="1">
        <v>1768.9907000000001</v>
      </c>
      <c r="H166" s="2">
        <v>702</v>
      </c>
      <c r="I166" s="2">
        <v>3</v>
      </c>
      <c r="J166" s="1">
        <v>1768.9543000000001</v>
      </c>
      <c r="K166" s="1">
        <v>590.67079999999999</v>
      </c>
      <c r="L166" s="9" t="s">
        <v>2596</v>
      </c>
      <c r="M166" s="2">
        <v>9.7100000000000009</v>
      </c>
      <c r="N166" s="4">
        <v>4377.47</v>
      </c>
      <c r="O166" s="1">
        <v>-20.541616977398128</v>
      </c>
      <c r="P166" s="6">
        <v>30.8</v>
      </c>
      <c r="Q166" s="6">
        <v>20.2</v>
      </c>
      <c r="R166" s="6">
        <v>11.3</v>
      </c>
      <c r="S166" s="6">
        <v>11.6</v>
      </c>
      <c r="T166" s="5">
        <v>2.0999999999999999E-3</v>
      </c>
      <c r="U166" s="1">
        <v>-3.6400000000000002E-2</v>
      </c>
      <c r="V166" s="1">
        <v>5.1612</v>
      </c>
    </row>
    <row r="167" spans="1:22" x14ac:dyDescent="0.25">
      <c r="A167" s="1">
        <v>0.99770000000000003</v>
      </c>
      <c r="B167" s="9" t="s">
        <v>3704</v>
      </c>
      <c r="C167" s="2">
        <v>3683</v>
      </c>
      <c r="D167" s="3" t="s">
        <v>349</v>
      </c>
      <c r="E167" s="9" t="s">
        <v>3705</v>
      </c>
      <c r="F167" s="9" t="s">
        <v>2838</v>
      </c>
      <c r="G167" s="1">
        <v>1843.8667</v>
      </c>
      <c r="H167" s="2">
        <v>1769</v>
      </c>
      <c r="I167" s="2">
        <v>3</v>
      </c>
      <c r="J167" s="1">
        <v>1843.8172</v>
      </c>
      <c r="K167" s="1">
        <v>615.62950000000001</v>
      </c>
      <c r="L167" s="9" t="s">
        <v>2839</v>
      </c>
      <c r="M167" s="2">
        <v>4.87</v>
      </c>
      <c r="N167" s="4">
        <v>4408.92</v>
      </c>
      <c r="O167" s="1">
        <v>-26.801834544965764</v>
      </c>
      <c r="P167" s="6">
        <v>39.9</v>
      </c>
      <c r="Q167" s="6">
        <v>31.5</v>
      </c>
      <c r="R167" s="6">
        <v>11.5</v>
      </c>
      <c r="S167" s="6">
        <v>13.1</v>
      </c>
      <c r="T167" s="5">
        <v>5.5999999999999995E-4</v>
      </c>
      <c r="U167" s="1">
        <v>-4.9500000000000002E-2</v>
      </c>
      <c r="V167" s="1">
        <v>5.1536999999999997</v>
      </c>
    </row>
    <row r="168" spans="1:22" x14ac:dyDescent="0.25">
      <c r="A168" s="1">
        <v>0.98939999999999995</v>
      </c>
      <c r="B168" s="9" t="s">
        <v>3706</v>
      </c>
      <c r="C168" s="2">
        <v>3694</v>
      </c>
      <c r="D168" s="3" t="s">
        <v>206</v>
      </c>
      <c r="E168" s="9" t="s">
        <v>3705</v>
      </c>
      <c r="F168" s="9" t="s">
        <v>2838</v>
      </c>
      <c r="G168" s="1">
        <v>1843.8667</v>
      </c>
      <c r="H168" s="2">
        <v>1615</v>
      </c>
      <c r="I168" s="2">
        <v>3</v>
      </c>
      <c r="J168" s="1">
        <v>1843.8557000000001</v>
      </c>
      <c r="K168" s="1">
        <v>615.62950000000001</v>
      </c>
      <c r="L168" s="9" t="s">
        <v>2839</v>
      </c>
      <c r="M168" s="2">
        <v>4.87</v>
      </c>
      <c r="N168" s="4">
        <v>4435.62</v>
      </c>
      <c r="O168" s="1">
        <v>-5.9559632322146134</v>
      </c>
      <c r="P168" s="6">
        <v>34.9</v>
      </c>
      <c r="Q168" s="6">
        <v>28.2</v>
      </c>
      <c r="R168" s="6">
        <v>11</v>
      </c>
      <c r="S168" s="6">
        <v>13.6</v>
      </c>
      <c r="T168" s="5">
        <v>4.8999999999999998E-3</v>
      </c>
      <c r="U168" s="1">
        <v>-1.0999999999999999E-2</v>
      </c>
      <c r="V168" s="1">
        <v>3.9378000000000002</v>
      </c>
    </row>
    <row r="169" spans="1:22" x14ac:dyDescent="0.25">
      <c r="A169" s="1">
        <v>0.96960000000000002</v>
      </c>
      <c r="B169" s="9" t="s">
        <v>3707</v>
      </c>
      <c r="C169" s="2">
        <v>3698</v>
      </c>
      <c r="D169" s="3" t="s">
        <v>3124</v>
      </c>
      <c r="E169" s="9" t="s">
        <v>3708</v>
      </c>
      <c r="F169" s="9" t="s">
        <v>3709</v>
      </c>
      <c r="G169" s="1">
        <v>1992.0387000000001</v>
      </c>
      <c r="H169" s="2">
        <v>1150</v>
      </c>
      <c r="I169" s="2">
        <v>3</v>
      </c>
      <c r="J169" s="1">
        <v>1991.9905000000001</v>
      </c>
      <c r="K169" s="1">
        <v>665.02020000000005</v>
      </c>
      <c r="L169" s="9" t="s">
        <v>3710</v>
      </c>
      <c r="M169" s="2">
        <v>6.85</v>
      </c>
      <c r="N169" s="4">
        <v>4438.7700000000004</v>
      </c>
      <c r="O169" s="1">
        <v>-24.159667129910741</v>
      </c>
      <c r="P169" s="6">
        <v>32.1</v>
      </c>
      <c r="Q169" s="6">
        <v>23.8</v>
      </c>
      <c r="R169" s="6">
        <v>12.3</v>
      </c>
      <c r="S169" s="6">
        <v>8.1</v>
      </c>
      <c r="T169" s="5">
        <v>0.05</v>
      </c>
      <c r="U169" s="1">
        <v>-4.82E-2</v>
      </c>
      <c r="V169" s="1">
        <v>2.9906999999999999</v>
      </c>
    </row>
    <row r="170" spans="1:22" x14ac:dyDescent="0.25">
      <c r="A170" s="1">
        <v>0.99870000000000003</v>
      </c>
      <c r="B170" s="9" t="s">
        <v>3711</v>
      </c>
      <c r="C170" s="2">
        <v>3771</v>
      </c>
      <c r="D170" s="3" t="s">
        <v>2601</v>
      </c>
      <c r="E170" s="9" t="s">
        <v>3712</v>
      </c>
      <c r="F170" s="9" t="s">
        <v>282</v>
      </c>
      <c r="G170" s="1">
        <v>1803.9887000000001</v>
      </c>
      <c r="H170" s="2">
        <v>1152</v>
      </c>
      <c r="I170" s="2">
        <v>3</v>
      </c>
      <c r="J170" s="1">
        <v>1803.9377999999999</v>
      </c>
      <c r="K170" s="1">
        <v>602.33680000000004</v>
      </c>
      <c r="L170" s="9" t="s">
        <v>283</v>
      </c>
      <c r="M170" s="2">
        <v>6.41</v>
      </c>
      <c r="N170" s="4">
        <v>4560.83</v>
      </c>
      <c r="O170" s="1">
        <v>-28.16807252465177</v>
      </c>
      <c r="P170" s="6">
        <v>36.799999999999997</v>
      </c>
      <c r="Q170" s="6">
        <v>27.2</v>
      </c>
      <c r="R170" s="6">
        <v>9.8000000000000007</v>
      </c>
      <c r="S170" s="6">
        <v>13.1</v>
      </c>
      <c r="T170" s="5">
        <v>9.6000000000000002E-4</v>
      </c>
      <c r="U170" s="1">
        <v>-5.0900000000000001E-2</v>
      </c>
      <c r="V170" s="1">
        <v>4.9786000000000001</v>
      </c>
    </row>
    <row r="171" spans="1:22" x14ac:dyDescent="0.25">
      <c r="A171" s="1">
        <v>0.99850000000000005</v>
      </c>
      <c r="B171" s="9" t="s">
        <v>3713</v>
      </c>
      <c r="C171" s="2">
        <v>3775</v>
      </c>
      <c r="D171" s="3" t="s">
        <v>2979</v>
      </c>
      <c r="E171" s="9" t="s">
        <v>3714</v>
      </c>
      <c r="F171" s="9" t="s">
        <v>3657</v>
      </c>
      <c r="G171" s="1">
        <v>2295.2777000000001</v>
      </c>
      <c r="H171" s="2">
        <v>1153</v>
      </c>
      <c r="I171" s="2">
        <v>4</v>
      </c>
      <c r="J171" s="1">
        <v>2295.2503999999999</v>
      </c>
      <c r="K171" s="1">
        <v>574.82669999999996</v>
      </c>
      <c r="L171" s="9" t="s">
        <v>2596</v>
      </c>
      <c r="M171" s="2">
        <v>9.6999999999999993</v>
      </c>
      <c r="N171" s="4">
        <v>4566.2299999999996</v>
      </c>
      <c r="O171" s="1">
        <v>-11.873143679651625</v>
      </c>
      <c r="P171" s="6">
        <v>39.1</v>
      </c>
      <c r="Q171" s="6">
        <v>27.4</v>
      </c>
      <c r="R171" s="6">
        <v>11.2</v>
      </c>
      <c r="S171" s="6">
        <v>10.5</v>
      </c>
      <c r="T171" s="5">
        <v>1.4E-3</v>
      </c>
      <c r="U171" s="1">
        <v>-2.7300000000000001E-2</v>
      </c>
      <c r="V171" s="1">
        <v>4.4770000000000003</v>
      </c>
    </row>
    <row r="172" spans="1:22" x14ac:dyDescent="0.25">
      <c r="A172" s="1">
        <v>0.99450000000000005</v>
      </c>
      <c r="B172" s="9" t="s">
        <v>3715</v>
      </c>
      <c r="C172" s="2">
        <v>3783</v>
      </c>
      <c r="D172" s="3" t="s">
        <v>980</v>
      </c>
      <c r="E172" s="9" t="s">
        <v>3712</v>
      </c>
      <c r="F172" s="9" t="s">
        <v>282</v>
      </c>
      <c r="G172" s="1">
        <v>1803.9887000000001</v>
      </c>
      <c r="H172" s="2">
        <v>1155</v>
      </c>
      <c r="I172" s="2">
        <v>3</v>
      </c>
      <c r="J172" s="1">
        <v>1803.9458999999999</v>
      </c>
      <c r="K172" s="1">
        <v>602.33680000000004</v>
      </c>
      <c r="L172" s="9" t="s">
        <v>283</v>
      </c>
      <c r="M172" s="2">
        <v>6.41</v>
      </c>
      <c r="N172" s="4">
        <v>4582.33</v>
      </c>
      <c r="O172" s="1">
        <v>-23.68553053153429</v>
      </c>
      <c r="P172" s="6">
        <v>38.700000000000003</v>
      </c>
      <c r="Q172" s="6">
        <v>28.5</v>
      </c>
      <c r="R172" s="6">
        <v>10.6</v>
      </c>
      <c r="S172" s="6">
        <v>13</v>
      </c>
      <c r="T172" s="5">
        <v>7.0000000000000001E-3</v>
      </c>
      <c r="U172" s="1">
        <v>-4.2799999999999998E-2</v>
      </c>
      <c r="V172" s="1">
        <v>3.9988000000000001</v>
      </c>
    </row>
    <row r="173" spans="1:22" x14ac:dyDescent="0.25">
      <c r="A173" s="1">
        <v>0.98240000000000005</v>
      </c>
      <c r="B173" s="9" t="s">
        <v>3716</v>
      </c>
      <c r="C173" s="2">
        <v>3789</v>
      </c>
      <c r="D173" s="3" t="s">
        <v>1977</v>
      </c>
      <c r="E173" s="9" t="s">
        <v>3717</v>
      </c>
      <c r="F173" s="9" t="s">
        <v>282</v>
      </c>
      <c r="G173" s="1">
        <v>2074.1206999999999</v>
      </c>
      <c r="H173" s="2">
        <v>1157</v>
      </c>
      <c r="I173" s="2">
        <v>3</v>
      </c>
      <c r="J173" s="1">
        <v>2074.0808999999999</v>
      </c>
      <c r="K173" s="1">
        <v>692.38080000000002</v>
      </c>
      <c r="L173" s="9" t="s">
        <v>283</v>
      </c>
      <c r="M173" s="2">
        <v>6.79</v>
      </c>
      <c r="N173" s="4">
        <v>4595.13</v>
      </c>
      <c r="O173" s="1">
        <v>-19.160939567744609</v>
      </c>
      <c r="P173" s="6">
        <v>35.1</v>
      </c>
      <c r="Q173" s="6">
        <v>26.1</v>
      </c>
      <c r="R173" s="6">
        <v>10.7</v>
      </c>
      <c r="S173" s="6">
        <v>12.4</v>
      </c>
      <c r="T173" s="5">
        <v>1.4999999999999999E-2</v>
      </c>
      <c r="U173" s="1">
        <v>-3.9800000000000002E-2</v>
      </c>
      <c r="V173" s="1">
        <v>3.3033999999999999</v>
      </c>
    </row>
    <row r="174" spans="1:22" x14ac:dyDescent="0.25">
      <c r="A174" s="1">
        <v>0.98429999999999995</v>
      </c>
      <c r="B174" s="9" t="s">
        <v>3718</v>
      </c>
      <c r="C174" s="2">
        <v>3793</v>
      </c>
      <c r="D174" s="3" t="s">
        <v>302</v>
      </c>
      <c r="E174" s="9" t="s">
        <v>3719</v>
      </c>
      <c r="F174" s="9" t="s">
        <v>3720</v>
      </c>
      <c r="G174" s="1">
        <v>1255.6057000000001</v>
      </c>
      <c r="H174" s="2">
        <v>937</v>
      </c>
      <c r="I174" s="2">
        <v>2</v>
      </c>
      <c r="J174" s="1">
        <v>1255.6178</v>
      </c>
      <c r="K174" s="1">
        <v>628.81010000000003</v>
      </c>
      <c r="L174" s="9" t="s">
        <v>3721</v>
      </c>
      <c r="M174" s="2">
        <v>6.74</v>
      </c>
      <c r="N174" s="4">
        <v>4604.83</v>
      </c>
      <c r="O174" s="1">
        <v>9.621346730912876</v>
      </c>
      <c r="P174" s="6">
        <v>33.1</v>
      </c>
      <c r="Q174" s="6">
        <v>21.8</v>
      </c>
      <c r="R174" s="6">
        <v>10.6</v>
      </c>
      <c r="S174" s="6">
        <v>12.2</v>
      </c>
      <c r="T174" s="5">
        <v>4.0000000000000001E-3</v>
      </c>
      <c r="U174" s="1">
        <v>1.21E-2</v>
      </c>
      <c r="V174" s="1">
        <v>4.7106000000000003</v>
      </c>
    </row>
    <row r="175" spans="1:22" x14ac:dyDescent="0.25">
      <c r="A175" s="1">
        <v>0.97089999999999999</v>
      </c>
      <c r="B175" s="9" t="s">
        <v>3722</v>
      </c>
      <c r="C175" s="2">
        <v>3813</v>
      </c>
      <c r="D175" s="3" t="s">
        <v>41</v>
      </c>
      <c r="E175" s="9" t="s">
        <v>3723</v>
      </c>
      <c r="F175" s="9" t="s">
        <v>340</v>
      </c>
      <c r="G175" s="1">
        <v>1738.8667</v>
      </c>
      <c r="H175" s="2">
        <v>1158</v>
      </c>
      <c r="I175" s="2">
        <v>3</v>
      </c>
      <c r="J175" s="1">
        <v>1738.8257000000001</v>
      </c>
      <c r="K175" s="1">
        <v>580.62950000000001</v>
      </c>
      <c r="L175" s="9" t="s">
        <v>341</v>
      </c>
      <c r="M175" s="2">
        <v>8.7899999999999991</v>
      </c>
      <c r="N175" s="4">
        <v>4637.88</v>
      </c>
      <c r="O175" s="1">
        <v>-23.53767190035413</v>
      </c>
      <c r="P175" s="6">
        <v>30.9</v>
      </c>
      <c r="Q175" s="6">
        <v>23.5</v>
      </c>
      <c r="R175" s="6">
        <v>9.4</v>
      </c>
      <c r="S175" s="6">
        <v>9.9</v>
      </c>
      <c r="T175" s="5">
        <v>4.7E-2</v>
      </c>
      <c r="U175" s="1">
        <v>-4.1000000000000002E-2</v>
      </c>
      <c r="V175" s="1">
        <v>3.0156000000000001</v>
      </c>
    </row>
    <row r="176" spans="1:22" x14ac:dyDescent="0.25">
      <c r="A176" s="1">
        <v>0.99629999999999996</v>
      </c>
      <c r="B176" s="9" t="s">
        <v>3724</v>
      </c>
      <c r="C176" s="2">
        <v>3840</v>
      </c>
      <c r="D176" s="3" t="s">
        <v>469</v>
      </c>
      <c r="E176" s="9" t="s">
        <v>3725</v>
      </c>
      <c r="F176" s="9" t="s">
        <v>3726</v>
      </c>
      <c r="G176" s="1">
        <v>2224.2537000000002</v>
      </c>
      <c r="H176" s="2">
        <v>1162</v>
      </c>
      <c r="I176" s="2">
        <v>3</v>
      </c>
      <c r="J176" s="1">
        <v>2224.2154999999998</v>
      </c>
      <c r="K176" s="1">
        <v>742.42520000000002</v>
      </c>
      <c r="L176" s="9" t="s">
        <v>3727</v>
      </c>
      <c r="M176" s="2">
        <v>9.23</v>
      </c>
      <c r="N176" s="4">
        <v>4685.29</v>
      </c>
      <c r="O176" s="1">
        <v>-17.150998286875677</v>
      </c>
      <c r="P176" s="6">
        <v>35</v>
      </c>
      <c r="Q176" s="6">
        <v>25.1</v>
      </c>
      <c r="R176" s="6">
        <v>8</v>
      </c>
      <c r="S176" s="6">
        <v>6.3</v>
      </c>
      <c r="T176" s="5">
        <v>3.8999999999999998E-3</v>
      </c>
      <c r="U176" s="1">
        <v>-3.8199999999999998E-2</v>
      </c>
      <c r="V176" s="1">
        <v>4.2625999999999999</v>
      </c>
    </row>
    <row r="177" spans="1:22" x14ac:dyDescent="0.25">
      <c r="A177" s="1">
        <v>0.9889</v>
      </c>
      <c r="B177" s="9" t="s">
        <v>3728</v>
      </c>
      <c r="C177" s="2">
        <v>3884</v>
      </c>
      <c r="D177" s="3" t="s">
        <v>3287</v>
      </c>
      <c r="E177" s="9" t="s">
        <v>3729</v>
      </c>
      <c r="F177" s="9" t="s">
        <v>3660</v>
      </c>
      <c r="G177" s="1">
        <v>2782.4616999999998</v>
      </c>
      <c r="H177" s="2">
        <v>1165</v>
      </c>
      <c r="I177" s="2">
        <v>4</v>
      </c>
      <c r="J177" s="1">
        <v>2782.4351000000001</v>
      </c>
      <c r="K177" s="1">
        <v>696.62270000000001</v>
      </c>
      <c r="L177" s="9" t="s">
        <v>3661</v>
      </c>
      <c r="M177" s="2">
        <v>8.5</v>
      </c>
      <c r="N177" s="4">
        <v>4761.6400000000003</v>
      </c>
      <c r="O177" s="1">
        <v>-9.546056997568412</v>
      </c>
      <c r="P177" s="6">
        <v>41.4</v>
      </c>
      <c r="Q177" s="6">
        <v>30.1</v>
      </c>
      <c r="R177" s="6">
        <v>11.6</v>
      </c>
      <c r="S177" s="6">
        <v>11.4</v>
      </c>
      <c r="T177" s="5">
        <v>3.8E-3</v>
      </c>
      <c r="U177" s="1">
        <v>-2.6599999999999999E-2</v>
      </c>
      <c r="V177" s="1">
        <v>3.3955000000000002</v>
      </c>
    </row>
    <row r="178" spans="1:22" x14ac:dyDescent="0.25">
      <c r="A178" s="1">
        <v>0.95430000000000004</v>
      </c>
      <c r="B178" s="9" t="s">
        <v>3730</v>
      </c>
      <c r="C178" s="2">
        <v>3932</v>
      </c>
      <c r="D178" s="3" t="s">
        <v>3731</v>
      </c>
      <c r="E178" s="9" t="s">
        <v>3199</v>
      </c>
      <c r="F178" s="9" t="s">
        <v>3200</v>
      </c>
      <c r="G178" s="1">
        <v>3067.6876999999999</v>
      </c>
      <c r="H178" s="2">
        <v>1777</v>
      </c>
      <c r="I178" s="2">
        <v>4</v>
      </c>
      <c r="J178" s="1">
        <v>3067.6286</v>
      </c>
      <c r="K178" s="1">
        <v>767.92920000000004</v>
      </c>
      <c r="L178" s="9" t="s">
        <v>3195</v>
      </c>
      <c r="M178" s="2">
        <v>6.39</v>
      </c>
      <c r="N178" s="4">
        <v>4835.1499999999996</v>
      </c>
      <c r="O178" s="1">
        <v>-19.240054942565017</v>
      </c>
      <c r="P178" s="6">
        <v>33.299999999999997</v>
      </c>
      <c r="Q178" s="6">
        <v>26.3</v>
      </c>
      <c r="R178" s="6">
        <v>12.7</v>
      </c>
      <c r="S178" s="6">
        <v>11.8</v>
      </c>
      <c r="T178" s="5">
        <v>7.0000000000000007E-2</v>
      </c>
      <c r="U178" s="1">
        <v>-5.91E-2</v>
      </c>
      <c r="V178" s="1">
        <v>2.0676000000000001</v>
      </c>
    </row>
    <row r="179" spans="1:22" x14ac:dyDescent="0.25">
      <c r="A179" s="1">
        <v>0.99209999999999998</v>
      </c>
      <c r="B179" s="9" t="s">
        <v>3732</v>
      </c>
      <c r="C179" s="2">
        <v>3957</v>
      </c>
      <c r="D179" s="3" t="s">
        <v>260</v>
      </c>
      <c r="E179" s="9" t="s">
        <v>3733</v>
      </c>
      <c r="F179" s="9" t="s">
        <v>112</v>
      </c>
      <c r="G179" s="1">
        <v>1102.5146999999999</v>
      </c>
      <c r="H179" s="2">
        <v>1544</v>
      </c>
      <c r="I179" s="2">
        <v>2</v>
      </c>
      <c r="J179" s="1">
        <v>1102.4835</v>
      </c>
      <c r="K179" s="1">
        <v>552.26459999999997</v>
      </c>
      <c r="L179" s="9" t="s">
        <v>113</v>
      </c>
      <c r="M179" s="2">
        <v>5.83</v>
      </c>
      <c r="N179" s="4">
        <v>4873.75</v>
      </c>
      <c r="O179" s="1">
        <v>-28.247329269339371</v>
      </c>
      <c r="P179" s="6">
        <v>34.5</v>
      </c>
      <c r="Q179" s="6">
        <v>22.8</v>
      </c>
      <c r="R179" s="6">
        <v>13.8</v>
      </c>
      <c r="S179" s="6">
        <v>11.4</v>
      </c>
      <c r="T179" s="5">
        <v>2.0999999999999999E-3</v>
      </c>
      <c r="U179" s="1">
        <v>-3.1199999999999999E-2</v>
      </c>
      <c r="V179" s="1">
        <v>5.4970999999999997</v>
      </c>
    </row>
    <row r="180" spans="1:22" x14ac:dyDescent="0.25">
      <c r="A180" s="1">
        <v>0.99080000000000001</v>
      </c>
      <c r="B180" s="9" t="s">
        <v>3734</v>
      </c>
      <c r="C180" s="2">
        <v>3982</v>
      </c>
      <c r="D180" s="3" t="s">
        <v>1316</v>
      </c>
      <c r="E180" s="9" t="s">
        <v>3735</v>
      </c>
      <c r="F180" s="9" t="s">
        <v>2425</v>
      </c>
      <c r="G180" s="1">
        <v>2074.0587</v>
      </c>
      <c r="H180" s="2">
        <v>1621</v>
      </c>
      <c r="I180" s="2">
        <v>3</v>
      </c>
      <c r="J180" s="1">
        <v>2074.0313000000001</v>
      </c>
      <c r="K180" s="1">
        <v>692.36019999999996</v>
      </c>
      <c r="L180" s="9" t="s">
        <v>2426</v>
      </c>
      <c r="M180" s="2">
        <v>6.74</v>
      </c>
      <c r="N180" s="4">
        <v>4912.95</v>
      </c>
      <c r="O180" s="1">
        <v>-13.191592083619675</v>
      </c>
      <c r="P180" s="6">
        <v>33.4</v>
      </c>
      <c r="Q180" s="6">
        <v>23.9</v>
      </c>
      <c r="R180" s="6">
        <v>11.2</v>
      </c>
      <c r="S180" s="6">
        <v>13.2</v>
      </c>
      <c r="T180" s="5">
        <v>5.1999999999999998E-3</v>
      </c>
      <c r="U180" s="1">
        <v>-2.7400000000000001E-2</v>
      </c>
      <c r="V180" s="1">
        <v>4.0199999999999996</v>
      </c>
    </row>
    <row r="181" spans="1:22" x14ac:dyDescent="0.25">
      <c r="A181" s="1">
        <v>0.96209999999999996</v>
      </c>
      <c r="B181" s="9" t="s">
        <v>3736</v>
      </c>
      <c r="C181" s="2">
        <v>4013</v>
      </c>
      <c r="D181" s="3" t="s">
        <v>1304</v>
      </c>
      <c r="E181" s="9" t="s">
        <v>3737</v>
      </c>
      <c r="F181" s="9" t="s">
        <v>2454</v>
      </c>
      <c r="G181" s="1">
        <v>1622.7607</v>
      </c>
      <c r="H181" s="2">
        <v>1170</v>
      </c>
      <c r="I181" s="2">
        <v>2</v>
      </c>
      <c r="J181" s="1">
        <v>1622.7298000000001</v>
      </c>
      <c r="K181" s="1">
        <v>812.38760000000002</v>
      </c>
      <c r="L181" s="9" t="s">
        <v>2455</v>
      </c>
      <c r="M181" s="2">
        <v>4.53</v>
      </c>
      <c r="N181" s="4">
        <v>4966.45</v>
      </c>
      <c r="O181" s="1">
        <v>-19.018015538395712</v>
      </c>
      <c r="P181" s="6">
        <v>32</v>
      </c>
      <c r="Q181" s="6">
        <v>22.7</v>
      </c>
      <c r="R181" s="6">
        <v>7.1</v>
      </c>
      <c r="S181" s="6">
        <v>12.2</v>
      </c>
      <c r="T181" s="5">
        <v>9.2999999999999992E-3</v>
      </c>
      <c r="U181" s="1">
        <v>-3.09E-2</v>
      </c>
      <c r="V181" s="1">
        <v>3.5331000000000001</v>
      </c>
    </row>
    <row r="182" spans="1:22" x14ac:dyDescent="0.25">
      <c r="A182" s="1">
        <v>0.99809999999999999</v>
      </c>
      <c r="B182" s="9" t="s">
        <v>3738</v>
      </c>
      <c r="C182" s="2">
        <v>4038</v>
      </c>
      <c r="D182" s="3" t="s">
        <v>1768</v>
      </c>
      <c r="E182" s="9" t="s">
        <v>3739</v>
      </c>
      <c r="F182" s="9" t="s">
        <v>1014</v>
      </c>
      <c r="G182" s="1">
        <v>1766.8477</v>
      </c>
      <c r="H182" s="2">
        <v>1172</v>
      </c>
      <c r="I182" s="2">
        <v>2</v>
      </c>
      <c r="J182" s="1">
        <v>1766.8205</v>
      </c>
      <c r="K182" s="1">
        <v>884.43110000000001</v>
      </c>
      <c r="L182" s="9" t="s">
        <v>1015</v>
      </c>
      <c r="M182" s="2">
        <v>3.93</v>
      </c>
      <c r="N182" s="4">
        <v>5007.3500000000004</v>
      </c>
      <c r="O182" s="1">
        <v>-15.377116431116002</v>
      </c>
      <c r="P182" s="6">
        <v>50.8</v>
      </c>
      <c r="Q182" s="6">
        <v>28</v>
      </c>
      <c r="R182" s="6">
        <v>11.2</v>
      </c>
      <c r="S182" s="6">
        <v>10.5</v>
      </c>
      <c r="T182" s="5">
        <v>2.2000000000000001E-6</v>
      </c>
      <c r="U182" s="1">
        <v>-2.7199999999999998E-2</v>
      </c>
      <c r="V182" s="1">
        <v>7.4061000000000003</v>
      </c>
    </row>
    <row r="183" spans="1:22" x14ac:dyDescent="0.25">
      <c r="A183" s="1">
        <v>0.998</v>
      </c>
      <c r="B183" s="9" t="s">
        <v>3740</v>
      </c>
      <c r="C183" s="2">
        <v>4079</v>
      </c>
      <c r="D183" s="3" t="s">
        <v>280</v>
      </c>
      <c r="E183" s="9" t="s">
        <v>3741</v>
      </c>
      <c r="F183" s="9" t="s">
        <v>340</v>
      </c>
      <c r="G183" s="1">
        <v>1511.7286999999999</v>
      </c>
      <c r="H183" s="2">
        <v>1178</v>
      </c>
      <c r="I183" s="2">
        <v>2</v>
      </c>
      <c r="J183" s="1">
        <v>1511.6976</v>
      </c>
      <c r="K183" s="1">
        <v>756.87159999999994</v>
      </c>
      <c r="L183" s="9" t="s">
        <v>341</v>
      </c>
      <c r="M183" s="2">
        <v>6.07</v>
      </c>
      <c r="N183" s="4">
        <v>5084.21</v>
      </c>
      <c r="O183" s="1">
        <v>-20.545096420581775</v>
      </c>
      <c r="P183" s="6">
        <v>40.9</v>
      </c>
      <c r="Q183" s="6">
        <v>23.3</v>
      </c>
      <c r="R183" s="6">
        <v>8.5</v>
      </c>
      <c r="S183" s="6">
        <v>10.7</v>
      </c>
      <c r="T183" s="5">
        <v>1.2999999999999999E-5</v>
      </c>
      <c r="U183" s="1">
        <v>-3.1099999999999999E-2</v>
      </c>
      <c r="V183" s="1">
        <v>7.3021000000000003</v>
      </c>
    </row>
    <row r="184" spans="1:22" x14ac:dyDescent="0.25">
      <c r="A184" s="1">
        <v>0.99519999999999997</v>
      </c>
      <c r="B184" s="9" t="s">
        <v>3742</v>
      </c>
      <c r="C184" s="2">
        <v>4084</v>
      </c>
      <c r="D184" s="3" t="s">
        <v>2069</v>
      </c>
      <c r="E184" s="9" t="s">
        <v>3743</v>
      </c>
      <c r="F184" s="9" t="s">
        <v>3744</v>
      </c>
      <c r="G184" s="1">
        <v>1652.9396999999999</v>
      </c>
      <c r="H184" s="2">
        <v>1180</v>
      </c>
      <c r="I184" s="2">
        <v>3</v>
      </c>
      <c r="J184" s="1">
        <v>1652.9050999999999</v>
      </c>
      <c r="K184" s="1">
        <v>551.98720000000003</v>
      </c>
      <c r="L184" s="9" t="s">
        <v>3745</v>
      </c>
      <c r="M184" s="2">
        <v>10.84</v>
      </c>
      <c r="N184" s="4">
        <v>5091.66</v>
      </c>
      <c r="O184" s="1">
        <v>-20.894204310051631</v>
      </c>
      <c r="P184" s="6">
        <v>39.1</v>
      </c>
      <c r="Q184" s="6">
        <v>27.6</v>
      </c>
      <c r="R184" s="6">
        <v>9.6</v>
      </c>
      <c r="S184" s="6">
        <v>12.8</v>
      </c>
      <c r="T184" s="5">
        <v>1.2999999999999999E-2</v>
      </c>
      <c r="U184" s="1">
        <v>-3.4599999999999999E-2</v>
      </c>
      <c r="V184" s="1">
        <v>4.0934999999999997</v>
      </c>
    </row>
    <row r="185" spans="1:22" x14ac:dyDescent="0.25">
      <c r="A185" s="1">
        <v>0.98099999999999998</v>
      </c>
      <c r="B185" s="9" t="s">
        <v>3746</v>
      </c>
      <c r="C185" s="2">
        <v>4095</v>
      </c>
      <c r="D185" s="3" t="s">
        <v>2069</v>
      </c>
      <c r="E185" s="9" t="s">
        <v>3743</v>
      </c>
      <c r="F185" s="9" t="s">
        <v>3744</v>
      </c>
      <c r="G185" s="1">
        <v>1652.9396999999999</v>
      </c>
      <c r="H185" s="2">
        <v>1181</v>
      </c>
      <c r="I185" s="2">
        <v>3</v>
      </c>
      <c r="J185" s="1">
        <v>1652.9113</v>
      </c>
      <c r="K185" s="1">
        <v>551.98720000000003</v>
      </c>
      <c r="L185" s="9" t="s">
        <v>3745</v>
      </c>
      <c r="M185" s="2">
        <v>10.84</v>
      </c>
      <c r="N185" s="4">
        <v>5114.01</v>
      </c>
      <c r="O185" s="1">
        <v>-17.150156138886313</v>
      </c>
      <c r="P185" s="6">
        <v>38.4</v>
      </c>
      <c r="Q185" s="6">
        <v>28</v>
      </c>
      <c r="R185" s="6">
        <v>10.1</v>
      </c>
      <c r="S185" s="6">
        <v>12.4</v>
      </c>
      <c r="T185" s="5">
        <v>4.9000000000000002E-2</v>
      </c>
      <c r="U185" s="1">
        <v>-2.8400000000000002E-2</v>
      </c>
      <c r="V185" s="1">
        <v>3.2597999999999998</v>
      </c>
    </row>
    <row r="186" spans="1:22" x14ac:dyDescent="0.25">
      <c r="A186" s="1">
        <v>0.99980000000000002</v>
      </c>
      <c r="B186" s="9" t="s">
        <v>3747</v>
      </c>
      <c r="C186" s="2">
        <v>4099</v>
      </c>
      <c r="D186" s="3" t="s">
        <v>784</v>
      </c>
      <c r="E186" s="9" t="s">
        <v>3748</v>
      </c>
      <c r="F186" s="9" t="s">
        <v>2639</v>
      </c>
      <c r="G186" s="1">
        <v>1429.8326999999999</v>
      </c>
      <c r="H186" s="2">
        <v>709</v>
      </c>
      <c r="I186" s="2">
        <v>3</v>
      </c>
      <c r="J186" s="1">
        <v>1429.8145999999999</v>
      </c>
      <c r="K186" s="1">
        <v>477.6182</v>
      </c>
      <c r="L186" s="9" t="s">
        <v>2586</v>
      </c>
      <c r="M186" s="2">
        <v>9.99</v>
      </c>
      <c r="N186" s="4">
        <v>5121.51</v>
      </c>
      <c r="O186" s="1">
        <v>-12.632126106863881</v>
      </c>
      <c r="P186" s="6">
        <v>48.1</v>
      </c>
      <c r="Q186" s="6">
        <v>28.1</v>
      </c>
      <c r="R186" s="6">
        <v>8.1999999999999993</v>
      </c>
      <c r="S186" s="6">
        <v>12.8</v>
      </c>
      <c r="T186" s="5">
        <v>2.1000000000000001E-4</v>
      </c>
      <c r="U186" s="1">
        <v>-1.8100000000000002E-2</v>
      </c>
      <c r="V186" s="1">
        <v>7.4898999999999996</v>
      </c>
    </row>
    <row r="187" spans="1:22" x14ac:dyDescent="0.25">
      <c r="A187" s="1">
        <v>0.98650000000000004</v>
      </c>
      <c r="B187" s="9" t="s">
        <v>3749</v>
      </c>
      <c r="C187" s="2">
        <v>4107</v>
      </c>
      <c r="D187" s="3" t="s">
        <v>3750</v>
      </c>
      <c r="E187" s="9" t="s">
        <v>3751</v>
      </c>
      <c r="F187" s="9" t="s">
        <v>3752</v>
      </c>
      <c r="G187" s="1">
        <v>2134.1426999999999</v>
      </c>
      <c r="H187" s="2">
        <v>710</v>
      </c>
      <c r="I187" s="2">
        <v>4</v>
      </c>
      <c r="J187" s="1">
        <v>2134.1217000000001</v>
      </c>
      <c r="K187" s="1">
        <v>534.54300000000001</v>
      </c>
      <c r="L187" s="9" t="s">
        <v>3753</v>
      </c>
      <c r="M187" s="2">
        <v>9.99</v>
      </c>
      <c r="N187" s="4">
        <v>5136.41</v>
      </c>
      <c r="O187" s="1">
        <v>-9.8214736700321588</v>
      </c>
      <c r="P187" s="6">
        <v>31.3</v>
      </c>
      <c r="Q187" s="6">
        <v>21.2</v>
      </c>
      <c r="R187" s="6">
        <v>10.9</v>
      </c>
      <c r="S187" s="6">
        <v>7.9</v>
      </c>
      <c r="T187" s="5">
        <v>3.7000000000000002E-3</v>
      </c>
      <c r="U187" s="1">
        <v>-2.1000000000000001E-2</v>
      </c>
      <c r="V187" s="1">
        <v>4.3606999999999996</v>
      </c>
    </row>
    <row r="188" spans="1:22" x14ac:dyDescent="0.25">
      <c r="A188" s="1">
        <v>0.99860000000000004</v>
      </c>
      <c r="B188" s="9" t="s">
        <v>3754</v>
      </c>
      <c r="C188" s="2">
        <v>4116</v>
      </c>
      <c r="D188" s="3" t="s">
        <v>275</v>
      </c>
      <c r="E188" s="9" t="s">
        <v>3748</v>
      </c>
      <c r="F188" s="9" t="s">
        <v>2639</v>
      </c>
      <c r="G188" s="1">
        <v>1429.8326999999999</v>
      </c>
      <c r="H188" s="2">
        <v>984</v>
      </c>
      <c r="I188" s="2">
        <v>3</v>
      </c>
      <c r="J188" s="1">
        <v>1429.8041000000001</v>
      </c>
      <c r="K188" s="1">
        <v>477.6182</v>
      </c>
      <c r="L188" s="9" t="s">
        <v>2586</v>
      </c>
      <c r="M188" s="2">
        <v>9.99</v>
      </c>
      <c r="N188" s="4">
        <v>5155.6099999999997</v>
      </c>
      <c r="O188" s="1">
        <v>-19.960155063884358</v>
      </c>
      <c r="P188" s="6">
        <v>37.5</v>
      </c>
      <c r="Q188" s="6">
        <v>24.4</v>
      </c>
      <c r="R188" s="6">
        <v>9.6</v>
      </c>
      <c r="S188" s="6">
        <v>11.9</v>
      </c>
      <c r="T188" s="5">
        <v>1.6000000000000001E-3</v>
      </c>
      <c r="U188" s="1">
        <v>-2.86E-2</v>
      </c>
      <c r="V188" s="1">
        <v>5.9337</v>
      </c>
    </row>
    <row r="189" spans="1:22" x14ac:dyDescent="0.25">
      <c r="A189" s="1">
        <v>0.99229999999999996</v>
      </c>
      <c r="B189" s="9" t="s">
        <v>3755</v>
      </c>
      <c r="C189" s="2">
        <v>4138</v>
      </c>
      <c r="D189" s="3" t="s">
        <v>568</v>
      </c>
      <c r="E189" s="9" t="s">
        <v>3756</v>
      </c>
      <c r="F189" s="9" t="s">
        <v>3726</v>
      </c>
      <c r="G189" s="1">
        <v>1869.8277</v>
      </c>
      <c r="H189" s="2">
        <v>711</v>
      </c>
      <c r="I189" s="2">
        <v>2</v>
      </c>
      <c r="J189" s="1">
        <v>1869.7822000000001</v>
      </c>
      <c r="K189" s="1">
        <v>935.92110000000002</v>
      </c>
      <c r="L189" s="9" t="s">
        <v>3727</v>
      </c>
      <c r="M189" s="2">
        <v>4.93</v>
      </c>
      <c r="N189" s="4">
        <v>5193.96</v>
      </c>
      <c r="O189" s="1">
        <v>-24.307604561965746</v>
      </c>
      <c r="P189" s="6">
        <v>30.4</v>
      </c>
      <c r="Q189" s="6">
        <v>19.100000000000001</v>
      </c>
      <c r="R189" s="6">
        <v>6.4</v>
      </c>
      <c r="S189" s="6">
        <v>9.8000000000000007</v>
      </c>
      <c r="T189" s="5">
        <v>8.5999999999999998E-4</v>
      </c>
      <c r="U189" s="1">
        <v>-4.5499999999999999E-2</v>
      </c>
      <c r="V189" s="1">
        <v>5.0079000000000002</v>
      </c>
    </row>
    <row r="190" spans="1:22" x14ac:dyDescent="0.25">
      <c r="A190" s="1">
        <v>0.96089999999999998</v>
      </c>
      <c r="B190" s="9" t="s">
        <v>3757</v>
      </c>
      <c r="C190" s="2">
        <v>4180</v>
      </c>
      <c r="D190" s="3" t="s">
        <v>1439</v>
      </c>
      <c r="E190" s="9" t="s">
        <v>3758</v>
      </c>
      <c r="F190" s="9" t="s">
        <v>1014</v>
      </c>
      <c r="G190" s="1">
        <v>1867.8947000000001</v>
      </c>
      <c r="H190" s="2">
        <v>1183</v>
      </c>
      <c r="I190" s="2">
        <v>2</v>
      </c>
      <c r="J190" s="1">
        <v>1867.8441</v>
      </c>
      <c r="K190" s="1">
        <v>934.95460000000003</v>
      </c>
      <c r="L190" s="9" t="s">
        <v>1015</v>
      </c>
      <c r="M190" s="2">
        <v>3.93</v>
      </c>
      <c r="N190" s="4">
        <v>5260.32</v>
      </c>
      <c r="O190" s="1">
        <v>-27.060137465498322</v>
      </c>
      <c r="P190" s="6">
        <v>35.700000000000003</v>
      </c>
      <c r="Q190" s="6">
        <v>25.6</v>
      </c>
      <c r="R190" s="6">
        <v>11.7</v>
      </c>
      <c r="S190" s="6">
        <v>10.9</v>
      </c>
      <c r="T190" s="5">
        <v>5.5999999999999999E-3</v>
      </c>
      <c r="U190" s="1">
        <v>-5.0599999999999999E-2</v>
      </c>
      <c r="V190" s="1">
        <v>3.5099</v>
      </c>
    </row>
    <row r="191" spans="1:22" x14ac:dyDescent="0.25">
      <c r="A191" s="1">
        <v>0.99260000000000004</v>
      </c>
      <c r="B191" s="9" t="s">
        <v>3759</v>
      </c>
      <c r="C191" s="2">
        <v>4245</v>
      </c>
      <c r="D191" s="3" t="s">
        <v>280</v>
      </c>
      <c r="E191" s="9" t="s">
        <v>3760</v>
      </c>
      <c r="F191" s="9" t="s">
        <v>3761</v>
      </c>
      <c r="G191" s="1">
        <v>1281.6496999999999</v>
      </c>
      <c r="H191" s="2">
        <v>1184</v>
      </c>
      <c r="I191" s="2">
        <v>2</v>
      </c>
      <c r="J191" s="1">
        <v>1281.6271999999999</v>
      </c>
      <c r="K191" s="1">
        <v>641.83209999999997</v>
      </c>
      <c r="L191" s="9" t="s">
        <v>3762</v>
      </c>
      <c r="M191" s="2">
        <v>9.75</v>
      </c>
      <c r="N191" s="4">
        <v>5354.18</v>
      </c>
      <c r="O191" s="1">
        <v>-17.527948508652031</v>
      </c>
      <c r="P191" s="6">
        <v>41.7</v>
      </c>
      <c r="Q191" s="6">
        <v>31.8</v>
      </c>
      <c r="R191" s="6">
        <v>8.6</v>
      </c>
      <c r="S191" s="6">
        <v>11.6</v>
      </c>
      <c r="T191" s="5">
        <v>3.6000000000000002E-4</v>
      </c>
      <c r="U191" s="1">
        <v>-2.2499999999999999E-2</v>
      </c>
      <c r="V191" s="1">
        <v>4.9722999999999997</v>
      </c>
    </row>
    <row r="192" spans="1:22" x14ac:dyDescent="0.25">
      <c r="A192" s="1">
        <v>0.96189999999999998</v>
      </c>
      <c r="B192" s="9" t="s">
        <v>3763</v>
      </c>
      <c r="C192" s="2">
        <v>4250</v>
      </c>
      <c r="D192" s="3" t="s">
        <v>2045</v>
      </c>
      <c r="E192" s="9" t="s">
        <v>3764</v>
      </c>
      <c r="F192" s="9" t="s">
        <v>257</v>
      </c>
      <c r="G192" s="1">
        <v>1271.7017000000001</v>
      </c>
      <c r="H192" s="2">
        <v>157</v>
      </c>
      <c r="I192" s="2">
        <v>2</v>
      </c>
      <c r="J192" s="1">
        <v>1271.6501000000001</v>
      </c>
      <c r="K192" s="1">
        <v>636.85810000000004</v>
      </c>
      <c r="L192" s="9" t="s">
        <v>258</v>
      </c>
      <c r="M192" s="2">
        <v>11</v>
      </c>
      <c r="N192" s="4">
        <v>5363.93</v>
      </c>
      <c r="O192" s="1">
        <v>-40.511379222467298</v>
      </c>
      <c r="P192" s="6">
        <v>50.3</v>
      </c>
      <c r="Q192" s="6">
        <v>37.299999999999997</v>
      </c>
      <c r="R192" s="6">
        <v>9.1</v>
      </c>
      <c r="S192" s="6">
        <v>11.2</v>
      </c>
      <c r="T192" s="5">
        <v>0.01</v>
      </c>
      <c r="U192" s="1">
        <v>-5.16E-2</v>
      </c>
      <c r="V192" s="1">
        <v>3.7208000000000001</v>
      </c>
    </row>
    <row r="193" spans="1:22" x14ac:dyDescent="0.25">
      <c r="A193" s="1">
        <v>0.99490000000000001</v>
      </c>
      <c r="B193" s="9" t="s">
        <v>3765</v>
      </c>
      <c r="C193" s="2">
        <v>4253</v>
      </c>
      <c r="D193" s="2" t="s">
        <v>1977</v>
      </c>
      <c r="E193" s="9" t="s">
        <v>3766</v>
      </c>
      <c r="F193" s="9" t="s">
        <v>3692</v>
      </c>
      <c r="G193" s="1">
        <v>2011.1747</v>
      </c>
      <c r="H193" s="2">
        <v>1185</v>
      </c>
      <c r="I193" s="2">
        <v>3</v>
      </c>
      <c r="J193" s="1">
        <v>2011.1391000000001</v>
      </c>
      <c r="K193" s="1">
        <v>671.39880000000005</v>
      </c>
      <c r="L193" s="9" t="s">
        <v>161</v>
      </c>
      <c r="M193" s="2">
        <v>9.6999999999999993</v>
      </c>
      <c r="N193" s="4">
        <v>5369.33</v>
      </c>
      <c r="O193" s="1">
        <v>-17.674542561986506</v>
      </c>
      <c r="P193" s="6">
        <v>32.5</v>
      </c>
      <c r="Q193" s="6">
        <v>22.6</v>
      </c>
      <c r="R193" s="6">
        <v>7.3</v>
      </c>
      <c r="S193" s="6">
        <v>9.6</v>
      </c>
      <c r="T193" s="5">
        <v>4.7000000000000002E-3</v>
      </c>
      <c r="U193" s="1">
        <v>-3.56E-2</v>
      </c>
      <c r="V193" s="1">
        <v>4.0571000000000002</v>
      </c>
    </row>
    <row r="194" spans="1:22" x14ac:dyDescent="0.25">
      <c r="A194" s="1">
        <v>0.99509999999999998</v>
      </c>
      <c r="B194" s="9" t="s">
        <v>3767</v>
      </c>
      <c r="C194" s="2">
        <v>4258</v>
      </c>
      <c r="D194" s="2" t="s">
        <v>115</v>
      </c>
      <c r="E194" s="9" t="s">
        <v>3760</v>
      </c>
      <c r="F194" s="9" t="s">
        <v>3761</v>
      </c>
      <c r="G194" s="1">
        <v>1281.6496999999999</v>
      </c>
      <c r="H194" s="2">
        <v>1186</v>
      </c>
      <c r="I194" s="2">
        <v>2</v>
      </c>
      <c r="J194" s="1">
        <v>1281.6231</v>
      </c>
      <c r="K194" s="1">
        <v>641.83209999999997</v>
      </c>
      <c r="L194" s="9" t="s">
        <v>3762</v>
      </c>
      <c r="M194" s="2">
        <v>9.75</v>
      </c>
      <c r="N194" s="4">
        <v>5377.93</v>
      </c>
      <c r="O194" s="1">
        <v>-20.72193023689529</v>
      </c>
      <c r="P194" s="6">
        <v>46.5</v>
      </c>
      <c r="Q194" s="6">
        <v>28.6</v>
      </c>
      <c r="R194" s="6">
        <v>9.6</v>
      </c>
      <c r="S194" s="6">
        <v>11.4</v>
      </c>
      <c r="T194" s="5">
        <v>5.2999999999999998E-4</v>
      </c>
      <c r="U194" s="1">
        <v>-2.6599999999999999E-2</v>
      </c>
      <c r="V194" s="1">
        <v>5.4554</v>
      </c>
    </row>
    <row r="195" spans="1:22" x14ac:dyDescent="0.25">
      <c r="A195" s="1">
        <v>0.99229999999999996</v>
      </c>
      <c r="B195" s="9" t="s">
        <v>3768</v>
      </c>
      <c r="C195" s="2">
        <v>4262</v>
      </c>
      <c r="D195" s="2" t="s">
        <v>3769</v>
      </c>
      <c r="E195" s="9" t="s">
        <v>3764</v>
      </c>
      <c r="F195" s="9" t="s">
        <v>257</v>
      </c>
      <c r="G195" s="1">
        <v>1271.7017000000001</v>
      </c>
      <c r="H195" s="2">
        <v>158</v>
      </c>
      <c r="I195" s="2">
        <v>2</v>
      </c>
      <c r="J195" s="1">
        <v>1271.6754000000001</v>
      </c>
      <c r="K195" s="1">
        <v>636.85810000000004</v>
      </c>
      <c r="L195" s="9" t="s">
        <v>258</v>
      </c>
      <c r="M195" s="2">
        <v>11</v>
      </c>
      <c r="N195" s="4">
        <v>5385.43</v>
      </c>
      <c r="O195" s="1">
        <v>-20.648241735482362</v>
      </c>
      <c r="P195" s="6">
        <v>66</v>
      </c>
      <c r="Q195" s="6">
        <v>43.9</v>
      </c>
      <c r="R195" s="6">
        <v>10</v>
      </c>
      <c r="S195" s="6">
        <v>11.4</v>
      </c>
      <c r="T195" s="5">
        <v>1.4E-3</v>
      </c>
      <c r="U195" s="1">
        <v>-2.63E-2</v>
      </c>
      <c r="V195" s="1">
        <v>4.9817</v>
      </c>
    </row>
    <row r="196" spans="1:22" x14ac:dyDescent="0.25">
      <c r="A196" s="1">
        <v>0.99409999999999998</v>
      </c>
      <c r="B196" s="9" t="s">
        <v>3770</v>
      </c>
      <c r="C196" s="2">
        <v>4265</v>
      </c>
      <c r="D196" s="2" t="s">
        <v>1872</v>
      </c>
      <c r="E196" s="9" t="s">
        <v>3766</v>
      </c>
      <c r="F196" s="9" t="s">
        <v>3692</v>
      </c>
      <c r="G196" s="1">
        <v>2011.1747</v>
      </c>
      <c r="H196" s="2">
        <v>1187</v>
      </c>
      <c r="I196" s="2">
        <v>3</v>
      </c>
      <c r="J196" s="1">
        <v>2011.1427000000001</v>
      </c>
      <c r="K196" s="1">
        <v>671.39880000000005</v>
      </c>
      <c r="L196" s="9" t="s">
        <v>161</v>
      </c>
      <c r="M196" s="2">
        <v>9.6999999999999993</v>
      </c>
      <c r="N196" s="4">
        <v>5390.78</v>
      </c>
      <c r="O196" s="1">
        <v>-15.887229269201354</v>
      </c>
      <c r="P196" s="6">
        <v>37.200000000000003</v>
      </c>
      <c r="Q196" s="6">
        <v>25.9</v>
      </c>
      <c r="R196" s="6">
        <v>8.5</v>
      </c>
      <c r="S196" s="6">
        <v>11.7</v>
      </c>
      <c r="T196" s="5">
        <v>5.7999999999999996E-3</v>
      </c>
      <c r="U196" s="1">
        <v>-3.2000000000000001E-2</v>
      </c>
      <c r="V196" s="1">
        <v>3.9567000000000001</v>
      </c>
    </row>
    <row r="197" spans="1:22" x14ac:dyDescent="0.25">
      <c r="A197" s="1">
        <v>0.97940000000000005</v>
      </c>
      <c r="B197" s="9" t="s">
        <v>3771</v>
      </c>
      <c r="C197" s="2">
        <v>4319</v>
      </c>
      <c r="D197" s="2" t="s">
        <v>665</v>
      </c>
      <c r="E197" s="9" t="s">
        <v>3772</v>
      </c>
      <c r="F197" s="9" t="s">
        <v>3631</v>
      </c>
      <c r="G197" s="1">
        <v>1974.9106999999999</v>
      </c>
      <c r="H197" s="2">
        <v>1786</v>
      </c>
      <c r="I197" s="2">
        <v>3</v>
      </c>
      <c r="J197" s="1">
        <v>1974.8583000000001</v>
      </c>
      <c r="K197" s="1">
        <v>659.31079999999997</v>
      </c>
      <c r="L197" s="9" t="s">
        <v>1813</v>
      </c>
      <c r="M197" s="2">
        <v>4.83</v>
      </c>
      <c r="N197" s="4">
        <v>5467.24</v>
      </c>
      <c r="O197" s="1">
        <v>-26.492310859562242</v>
      </c>
      <c r="P197" s="6">
        <v>25.6</v>
      </c>
      <c r="Q197" s="6">
        <v>19.600000000000001</v>
      </c>
      <c r="R197" s="6">
        <v>9.3000000000000007</v>
      </c>
      <c r="S197" s="6">
        <v>10.3</v>
      </c>
      <c r="T197" s="5">
        <v>1.7999999999999999E-2</v>
      </c>
      <c r="U197" s="1">
        <v>-5.2400000000000002E-2</v>
      </c>
      <c r="V197" s="1">
        <v>3.4849000000000001</v>
      </c>
    </row>
    <row r="198" spans="1:22" x14ac:dyDescent="0.25">
      <c r="A198" s="1">
        <v>0.99980000000000002</v>
      </c>
      <c r="B198" s="9" t="s">
        <v>3773</v>
      </c>
      <c r="C198" s="2">
        <v>4336</v>
      </c>
      <c r="D198" s="2" t="s">
        <v>1246</v>
      </c>
      <c r="E198" s="9" t="s">
        <v>3774</v>
      </c>
      <c r="F198" s="9" t="s">
        <v>282</v>
      </c>
      <c r="G198" s="1">
        <v>1917.0726999999999</v>
      </c>
      <c r="H198" s="2">
        <v>1194</v>
      </c>
      <c r="I198" s="2">
        <v>3</v>
      </c>
      <c r="J198" s="1">
        <v>1917.0472</v>
      </c>
      <c r="K198" s="1">
        <v>640.03150000000005</v>
      </c>
      <c r="L198" s="9" t="s">
        <v>283</v>
      </c>
      <c r="M198" s="2">
        <v>6.41</v>
      </c>
      <c r="N198" s="4">
        <v>5495.14</v>
      </c>
      <c r="O198" s="1">
        <v>-13.280596345648609</v>
      </c>
      <c r="P198" s="6">
        <v>39.9</v>
      </c>
      <c r="Q198" s="6">
        <v>25.3</v>
      </c>
      <c r="R198" s="6">
        <v>10.6</v>
      </c>
      <c r="S198" s="6">
        <v>9.1999999999999993</v>
      </c>
      <c r="T198" s="5">
        <v>7.3999999999999996E-5</v>
      </c>
      <c r="U198" s="1">
        <v>-2.5499999999999998E-2</v>
      </c>
      <c r="V198" s="1">
        <v>6.5887000000000002</v>
      </c>
    </row>
    <row r="199" spans="1:22" x14ac:dyDescent="0.25">
      <c r="A199" s="1">
        <v>0.99990000000000001</v>
      </c>
      <c r="B199" s="9" t="s">
        <v>3775</v>
      </c>
      <c r="C199" s="2">
        <v>4338</v>
      </c>
      <c r="D199" s="2" t="s">
        <v>409</v>
      </c>
      <c r="E199" s="9" t="s">
        <v>3776</v>
      </c>
      <c r="F199" s="9" t="s">
        <v>282</v>
      </c>
      <c r="G199" s="1">
        <v>2187.2046999999998</v>
      </c>
      <c r="H199" s="2">
        <v>1193</v>
      </c>
      <c r="I199" s="2">
        <v>3</v>
      </c>
      <c r="J199" s="1">
        <v>2187.1761000000001</v>
      </c>
      <c r="K199" s="1">
        <v>730.07550000000003</v>
      </c>
      <c r="L199" s="9" t="s">
        <v>283</v>
      </c>
      <c r="M199" s="2">
        <v>6.79</v>
      </c>
      <c r="N199" s="4">
        <v>5500.49</v>
      </c>
      <c r="O199" s="1">
        <v>-13.058010210359521</v>
      </c>
      <c r="P199" s="6">
        <v>41.6</v>
      </c>
      <c r="Q199" s="6">
        <v>24.1</v>
      </c>
      <c r="R199" s="6">
        <v>10.199999999999999</v>
      </c>
      <c r="S199" s="6">
        <v>12.9</v>
      </c>
      <c r="T199" s="5">
        <v>1.8E-5</v>
      </c>
      <c r="U199" s="1">
        <v>-2.86E-2</v>
      </c>
      <c r="V199" s="1">
        <v>6.9672000000000001</v>
      </c>
    </row>
    <row r="200" spans="1:22" x14ac:dyDescent="0.25">
      <c r="A200" s="1">
        <v>0.99760000000000004</v>
      </c>
      <c r="B200" s="9" t="s">
        <v>3777</v>
      </c>
      <c r="C200" s="2">
        <v>4370</v>
      </c>
      <c r="D200" s="2" t="s">
        <v>3778</v>
      </c>
      <c r="E200" s="9" t="s">
        <v>3779</v>
      </c>
      <c r="F200" s="9" t="s">
        <v>282</v>
      </c>
      <c r="G200" s="1">
        <v>1825.9286999999999</v>
      </c>
      <c r="H200" s="2">
        <v>1787</v>
      </c>
      <c r="I200" s="2">
        <v>3</v>
      </c>
      <c r="J200" s="1">
        <v>1825.8942999999999</v>
      </c>
      <c r="K200" s="1">
        <v>609.65020000000004</v>
      </c>
      <c r="L200" s="9" t="s">
        <v>283</v>
      </c>
      <c r="M200" s="2">
        <v>9.51</v>
      </c>
      <c r="N200" s="4">
        <v>5547.75</v>
      </c>
      <c r="O200" s="1">
        <v>-18.8085998604883</v>
      </c>
      <c r="P200" s="6">
        <v>30.2</v>
      </c>
      <c r="Q200" s="6">
        <v>21.1</v>
      </c>
      <c r="R200" s="6">
        <v>9.1999999999999993</v>
      </c>
      <c r="S200" s="6">
        <v>11.6</v>
      </c>
      <c r="T200" s="5">
        <v>1.1000000000000001E-3</v>
      </c>
      <c r="U200" s="1">
        <v>-3.44E-2</v>
      </c>
      <c r="V200" s="1">
        <v>5.1128</v>
      </c>
    </row>
    <row r="201" spans="1:22" x14ac:dyDescent="0.25">
      <c r="A201" s="1">
        <v>0.99950000000000006</v>
      </c>
      <c r="B201" s="9" t="s">
        <v>3780</v>
      </c>
      <c r="C201" s="2">
        <v>4378</v>
      </c>
      <c r="D201" s="2" t="s">
        <v>370</v>
      </c>
      <c r="E201" s="9" t="s">
        <v>3781</v>
      </c>
      <c r="F201" s="9" t="s">
        <v>3782</v>
      </c>
      <c r="G201" s="1">
        <v>1471.7607</v>
      </c>
      <c r="H201" s="2">
        <v>1198</v>
      </c>
      <c r="I201" s="2">
        <v>2</v>
      </c>
      <c r="J201" s="1">
        <v>1471.7361000000001</v>
      </c>
      <c r="K201" s="1">
        <v>736.88760000000002</v>
      </c>
      <c r="L201" s="9" t="s">
        <v>3783</v>
      </c>
      <c r="M201" s="2">
        <v>8.75</v>
      </c>
      <c r="N201" s="4">
        <v>5558.5</v>
      </c>
      <c r="O201" s="1">
        <v>-16.691826541795521</v>
      </c>
      <c r="P201" s="6">
        <v>42.2</v>
      </c>
      <c r="Q201" s="6">
        <v>28.5</v>
      </c>
      <c r="R201" s="6">
        <v>11</v>
      </c>
      <c r="S201" s="6">
        <v>11.3</v>
      </c>
      <c r="T201" s="5">
        <v>1.6999999999999999E-3</v>
      </c>
      <c r="U201" s="1">
        <v>-2.46E-2</v>
      </c>
      <c r="V201" s="1">
        <v>5.0426000000000002</v>
      </c>
    </row>
    <row r="202" spans="1:22" x14ac:dyDescent="0.25">
      <c r="A202" s="1">
        <v>0.97889999999999999</v>
      </c>
      <c r="B202" s="9" t="s">
        <v>3784</v>
      </c>
      <c r="C202" s="2">
        <v>4386</v>
      </c>
      <c r="D202" s="2" t="s">
        <v>2601</v>
      </c>
      <c r="E202" s="9" t="s">
        <v>3779</v>
      </c>
      <c r="F202" s="9" t="s">
        <v>282</v>
      </c>
      <c r="G202" s="1">
        <v>1825.9286999999999</v>
      </c>
      <c r="H202" s="2">
        <v>1627</v>
      </c>
      <c r="I202" s="2">
        <v>3</v>
      </c>
      <c r="J202" s="1">
        <v>1825.9011</v>
      </c>
      <c r="K202" s="1">
        <v>609.65020000000004</v>
      </c>
      <c r="L202" s="9" t="s">
        <v>283</v>
      </c>
      <c r="M202" s="2">
        <v>9.51</v>
      </c>
      <c r="N202" s="4">
        <v>5577.9</v>
      </c>
      <c r="O202" s="1">
        <v>-15.090620818298754</v>
      </c>
      <c r="P202" s="6">
        <v>32.6</v>
      </c>
      <c r="Q202" s="6">
        <v>24.8</v>
      </c>
      <c r="R202" s="6">
        <v>8.1999999999999993</v>
      </c>
      <c r="S202" s="6">
        <v>10.7</v>
      </c>
      <c r="T202" s="5">
        <v>1.4E-2</v>
      </c>
      <c r="U202" s="1">
        <v>-2.76E-2</v>
      </c>
      <c r="V202" s="1">
        <v>3.5306999999999999</v>
      </c>
    </row>
    <row r="203" spans="1:22" x14ac:dyDescent="0.25">
      <c r="A203" s="1">
        <v>0.99990000000000001</v>
      </c>
      <c r="B203" s="9" t="s">
        <v>3785</v>
      </c>
      <c r="C203" s="2">
        <v>4391</v>
      </c>
      <c r="D203" s="2" t="s">
        <v>275</v>
      </c>
      <c r="E203" s="9" t="s">
        <v>3786</v>
      </c>
      <c r="F203" s="9" t="s">
        <v>1847</v>
      </c>
      <c r="G203" s="1">
        <v>1526.8027</v>
      </c>
      <c r="H203" s="2">
        <v>1199</v>
      </c>
      <c r="I203" s="2">
        <v>3</v>
      </c>
      <c r="J203" s="1">
        <v>1526.7659000000001</v>
      </c>
      <c r="K203" s="1">
        <v>509.94150000000002</v>
      </c>
      <c r="L203" s="9" t="s">
        <v>1848</v>
      </c>
      <c r="M203" s="2">
        <v>8.75</v>
      </c>
      <c r="N203" s="4">
        <v>5583.35</v>
      </c>
      <c r="O203" s="1">
        <v>-24.055046837071835</v>
      </c>
      <c r="P203" s="6">
        <v>42.9</v>
      </c>
      <c r="Q203" s="6">
        <v>26.8</v>
      </c>
      <c r="R203" s="6">
        <v>10.7</v>
      </c>
      <c r="S203" s="6">
        <v>10.6</v>
      </c>
      <c r="T203" s="5">
        <v>2.0000000000000001E-4</v>
      </c>
      <c r="U203" s="1">
        <v>-3.6799999999999999E-2</v>
      </c>
      <c r="V203" s="1">
        <v>7.2840999999999996</v>
      </c>
    </row>
    <row r="204" spans="1:22" x14ac:dyDescent="0.25">
      <c r="A204" s="1">
        <v>0.99970000000000003</v>
      </c>
      <c r="B204" s="9" t="s">
        <v>3787</v>
      </c>
      <c r="C204" s="2">
        <v>4405</v>
      </c>
      <c r="D204" s="2" t="s">
        <v>3788</v>
      </c>
      <c r="E204" s="9" t="s">
        <v>3789</v>
      </c>
      <c r="F204" s="9" t="s">
        <v>3790</v>
      </c>
      <c r="G204" s="1">
        <v>2400.3307</v>
      </c>
      <c r="H204" s="2">
        <v>714</v>
      </c>
      <c r="I204" s="2">
        <v>4</v>
      </c>
      <c r="J204" s="1">
        <v>2400.2854000000002</v>
      </c>
      <c r="K204" s="1">
        <v>601.09</v>
      </c>
      <c r="L204" s="9" t="s">
        <v>3791</v>
      </c>
      <c r="M204" s="2">
        <v>8.51</v>
      </c>
      <c r="N204" s="4">
        <v>5604.2</v>
      </c>
      <c r="O204" s="1">
        <v>-18.840772596449781</v>
      </c>
      <c r="P204" s="6">
        <v>41.3</v>
      </c>
      <c r="Q204" s="6">
        <v>22.3</v>
      </c>
      <c r="R204" s="6">
        <v>11.7</v>
      </c>
      <c r="S204" s="6">
        <v>8.6999999999999993</v>
      </c>
      <c r="T204" s="5">
        <v>2.8E-5</v>
      </c>
      <c r="U204" s="1">
        <v>-4.53E-2</v>
      </c>
      <c r="V204" s="1">
        <v>6.9457000000000004</v>
      </c>
    </row>
    <row r="205" spans="1:22" x14ac:dyDescent="0.25">
      <c r="A205" s="1">
        <v>0.998</v>
      </c>
      <c r="B205" s="9" t="s">
        <v>3792</v>
      </c>
      <c r="C205" s="2">
        <v>4407</v>
      </c>
      <c r="D205" s="2" t="s">
        <v>814</v>
      </c>
      <c r="E205" s="9" t="s">
        <v>3786</v>
      </c>
      <c r="F205" s="9" t="s">
        <v>1847</v>
      </c>
      <c r="G205" s="1">
        <v>1526.8027</v>
      </c>
      <c r="H205" s="2">
        <v>1200</v>
      </c>
      <c r="I205" s="2">
        <v>3</v>
      </c>
      <c r="J205" s="1">
        <v>1526.7733000000001</v>
      </c>
      <c r="K205" s="1">
        <v>509.94150000000002</v>
      </c>
      <c r="L205" s="9" t="s">
        <v>1848</v>
      </c>
      <c r="M205" s="2">
        <v>8.75</v>
      </c>
      <c r="N205" s="4">
        <v>5607.45</v>
      </c>
      <c r="O205" s="1">
        <v>-19.21789067961717</v>
      </c>
      <c r="P205" s="6">
        <v>42.2</v>
      </c>
      <c r="Q205" s="6">
        <v>29.2</v>
      </c>
      <c r="R205" s="6">
        <v>11.5</v>
      </c>
      <c r="S205" s="6">
        <v>10.7</v>
      </c>
      <c r="T205" s="5">
        <v>9.4999999999999998E-3</v>
      </c>
      <c r="U205" s="1">
        <v>-2.9399999999999999E-2</v>
      </c>
      <c r="V205" s="1">
        <v>4.6669999999999998</v>
      </c>
    </row>
    <row r="206" spans="1:22" x14ac:dyDescent="0.25">
      <c r="A206" s="1">
        <v>0.99860000000000004</v>
      </c>
      <c r="B206" s="9" t="s">
        <v>3793</v>
      </c>
      <c r="C206" s="2">
        <v>4439</v>
      </c>
      <c r="D206" s="2" t="s">
        <v>41</v>
      </c>
      <c r="E206" s="9" t="s">
        <v>3794</v>
      </c>
      <c r="F206" s="9" t="s">
        <v>3631</v>
      </c>
      <c r="G206" s="1">
        <v>2034.8777</v>
      </c>
      <c r="H206" s="2">
        <v>1202</v>
      </c>
      <c r="I206" s="2">
        <v>3</v>
      </c>
      <c r="J206" s="1">
        <v>2034.8442</v>
      </c>
      <c r="K206" s="1">
        <v>679.2998</v>
      </c>
      <c r="L206" s="9" t="s">
        <v>1813</v>
      </c>
      <c r="M206" s="2">
        <v>4.83</v>
      </c>
      <c r="N206" s="4">
        <v>5661.46</v>
      </c>
      <c r="O206" s="1">
        <v>-16.43849544290557</v>
      </c>
      <c r="P206" s="6">
        <v>35.799999999999997</v>
      </c>
      <c r="Q206" s="6">
        <v>25.7</v>
      </c>
      <c r="R206" s="6">
        <v>9.8000000000000007</v>
      </c>
      <c r="S206" s="6">
        <v>11.1</v>
      </c>
      <c r="T206" s="5">
        <v>1.9E-3</v>
      </c>
      <c r="U206" s="1">
        <v>-3.3500000000000002E-2</v>
      </c>
      <c r="V206" s="1">
        <v>4.8925999999999998</v>
      </c>
    </row>
    <row r="207" spans="1:22" x14ac:dyDescent="0.25">
      <c r="A207" s="1">
        <v>0.9929</v>
      </c>
      <c r="B207" s="9" t="s">
        <v>3795</v>
      </c>
      <c r="C207" s="2">
        <v>4466</v>
      </c>
      <c r="D207" s="2" t="s">
        <v>270</v>
      </c>
      <c r="E207" s="9" t="s">
        <v>3796</v>
      </c>
      <c r="F207" s="9" t="s">
        <v>282</v>
      </c>
      <c r="G207" s="1">
        <v>1525.7556999999999</v>
      </c>
      <c r="H207" s="2">
        <v>1205</v>
      </c>
      <c r="I207" s="2">
        <v>2</v>
      </c>
      <c r="J207" s="1">
        <v>1525.7236</v>
      </c>
      <c r="K207" s="1">
        <v>763.88509999999997</v>
      </c>
      <c r="L207" s="9" t="s">
        <v>283</v>
      </c>
      <c r="M207" s="2">
        <v>5.84</v>
      </c>
      <c r="N207" s="4">
        <v>5709.71</v>
      </c>
      <c r="O207" s="1">
        <v>-21.011013305535087</v>
      </c>
      <c r="P207" s="6">
        <v>43.4</v>
      </c>
      <c r="Q207" s="6">
        <v>30.8</v>
      </c>
      <c r="R207" s="6">
        <v>9.6999999999999993</v>
      </c>
      <c r="S207" s="6">
        <v>13.3</v>
      </c>
      <c r="T207" s="5">
        <v>3.6999999999999999E-4</v>
      </c>
      <c r="U207" s="1">
        <v>-3.2099999999999997E-2</v>
      </c>
      <c r="V207" s="1">
        <v>5.0205000000000002</v>
      </c>
    </row>
    <row r="208" spans="1:22" x14ac:dyDescent="0.25">
      <c r="A208" s="1">
        <v>0.9849</v>
      </c>
      <c r="B208" s="9" t="s">
        <v>3797</v>
      </c>
      <c r="C208" s="2">
        <v>4474</v>
      </c>
      <c r="D208" s="2" t="s">
        <v>250</v>
      </c>
      <c r="E208" s="9" t="s">
        <v>3798</v>
      </c>
      <c r="F208" s="9" t="s">
        <v>3799</v>
      </c>
      <c r="G208" s="1">
        <v>1209.6287</v>
      </c>
      <c r="H208" s="2">
        <v>952</v>
      </c>
      <c r="I208" s="2">
        <v>2</v>
      </c>
      <c r="J208" s="1">
        <v>1209.5924</v>
      </c>
      <c r="K208" s="1">
        <v>605.82159999999999</v>
      </c>
      <c r="L208" s="9" t="s">
        <v>3800</v>
      </c>
      <c r="M208" s="2">
        <v>9.76</v>
      </c>
      <c r="N208" s="4">
        <v>5726.81</v>
      </c>
      <c r="O208" s="1">
        <v>-29.959314755366929</v>
      </c>
      <c r="P208" s="6">
        <v>29.9</v>
      </c>
      <c r="Q208" s="6">
        <v>19.600000000000001</v>
      </c>
      <c r="R208" s="6">
        <v>8.8000000000000007</v>
      </c>
      <c r="S208" s="6">
        <v>9.3000000000000007</v>
      </c>
      <c r="T208" s="5">
        <v>8.9999999999999993E-3</v>
      </c>
      <c r="U208" s="1">
        <v>-3.6299999999999999E-2</v>
      </c>
      <c r="V208" s="1">
        <v>4.7495000000000003</v>
      </c>
    </row>
    <row r="209" spans="1:22" x14ac:dyDescent="0.25">
      <c r="A209" s="1">
        <v>0.99299999999999999</v>
      </c>
      <c r="B209" s="9" t="s">
        <v>3801</v>
      </c>
      <c r="C209" s="2">
        <v>4475</v>
      </c>
      <c r="D209" s="2" t="s">
        <v>146</v>
      </c>
      <c r="E209" s="9" t="s">
        <v>3802</v>
      </c>
      <c r="F209" s="9" t="s">
        <v>3803</v>
      </c>
      <c r="G209" s="1">
        <v>1431.6677</v>
      </c>
      <c r="H209" s="2">
        <v>1554</v>
      </c>
      <c r="I209" s="2">
        <v>2</v>
      </c>
      <c r="J209" s="1">
        <v>1431.6337000000001</v>
      </c>
      <c r="K209" s="1">
        <v>716.84109999999998</v>
      </c>
      <c r="L209" s="9" t="s">
        <v>3804</v>
      </c>
      <c r="M209" s="2">
        <v>9.1999999999999993</v>
      </c>
      <c r="N209" s="4">
        <v>5728.91</v>
      </c>
      <c r="O209" s="1">
        <v>-23.715158073386139</v>
      </c>
      <c r="P209" s="6">
        <v>38</v>
      </c>
      <c r="Q209" s="6">
        <v>26</v>
      </c>
      <c r="R209" s="6">
        <v>10.4</v>
      </c>
      <c r="S209" s="6">
        <v>10.6</v>
      </c>
      <c r="T209" s="5">
        <v>4.4999999999999999E-4</v>
      </c>
      <c r="U209" s="1">
        <v>-3.4000000000000002E-2</v>
      </c>
      <c r="V209" s="1">
        <v>5.6410999999999998</v>
      </c>
    </row>
    <row r="210" spans="1:22" x14ac:dyDescent="0.25">
      <c r="A210" s="1">
        <v>0.95420000000000005</v>
      </c>
      <c r="B210" s="9" t="s">
        <v>3805</v>
      </c>
      <c r="C210" s="2">
        <v>4489</v>
      </c>
      <c r="D210" s="2" t="s">
        <v>1793</v>
      </c>
      <c r="E210" s="9" t="s">
        <v>3806</v>
      </c>
      <c r="F210" s="9" t="s">
        <v>3807</v>
      </c>
      <c r="G210" s="1">
        <v>1856.9206999999999</v>
      </c>
      <c r="H210" s="2">
        <v>1676</v>
      </c>
      <c r="I210" s="2">
        <v>4</v>
      </c>
      <c r="J210" s="1">
        <v>1856.8569</v>
      </c>
      <c r="K210" s="1">
        <v>465.23750000000001</v>
      </c>
      <c r="L210" s="9" t="s">
        <v>3808</v>
      </c>
      <c r="M210" s="2">
        <v>10.84</v>
      </c>
      <c r="N210" s="4">
        <v>5754.56</v>
      </c>
      <c r="O210" s="1">
        <v>-34.283564845912032</v>
      </c>
      <c r="P210" s="6">
        <v>34.799999999999997</v>
      </c>
      <c r="Q210" s="6">
        <v>26.4</v>
      </c>
      <c r="R210" s="6">
        <v>8.3000000000000007</v>
      </c>
      <c r="S210" s="6">
        <v>8.4</v>
      </c>
      <c r="T210" s="5">
        <v>9.1999999999999998E-3</v>
      </c>
      <c r="U210" s="1">
        <v>-6.3799999999999996E-2</v>
      </c>
      <c r="V210" s="1">
        <v>3.5480999999999998</v>
      </c>
    </row>
    <row r="211" spans="1:22" x14ac:dyDescent="0.25">
      <c r="A211" s="1">
        <v>0.98699999999999999</v>
      </c>
      <c r="B211" s="9" t="s">
        <v>3809</v>
      </c>
      <c r="C211" s="2">
        <v>4548</v>
      </c>
      <c r="D211" s="2" t="s">
        <v>2979</v>
      </c>
      <c r="E211" s="9" t="s">
        <v>3810</v>
      </c>
      <c r="F211" s="9" t="s">
        <v>3811</v>
      </c>
      <c r="G211" s="1">
        <v>2636.3366999999998</v>
      </c>
      <c r="H211" s="2">
        <v>1678</v>
      </c>
      <c r="I211" s="2">
        <v>4</v>
      </c>
      <c r="J211" s="1">
        <v>2637.2631000000001</v>
      </c>
      <c r="K211" s="1">
        <v>660.0915</v>
      </c>
      <c r="L211" s="9" t="s">
        <v>44</v>
      </c>
      <c r="M211" s="2">
        <v>4.59</v>
      </c>
      <c r="N211" s="4">
        <v>5853.17</v>
      </c>
      <c r="O211" s="1">
        <v>-29.145580574814247</v>
      </c>
      <c r="P211" s="6">
        <v>45.5</v>
      </c>
      <c r="Q211" s="6">
        <v>32.299999999999997</v>
      </c>
      <c r="R211" s="6">
        <v>12.3</v>
      </c>
      <c r="S211" s="6">
        <v>12.7</v>
      </c>
      <c r="T211" s="5">
        <v>4.2999999999999999E-4</v>
      </c>
      <c r="U211" s="1">
        <v>0.9264</v>
      </c>
      <c r="V211" s="1">
        <v>4.9641000000000002</v>
      </c>
    </row>
    <row r="212" spans="1:22" x14ac:dyDescent="0.25">
      <c r="A212" s="1">
        <v>0.99990000000000001</v>
      </c>
      <c r="B212" s="9" t="s">
        <v>3812</v>
      </c>
      <c r="C212" s="2">
        <v>4549</v>
      </c>
      <c r="D212" s="2" t="s">
        <v>1405</v>
      </c>
      <c r="E212" s="9" t="s">
        <v>3813</v>
      </c>
      <c r="F212" s="9" t="s">
        <v>3168</v>
      </c>
      <c r="G212" s="1">
        <v>2583.2577000000001</v>
      </c>
      <c r="H212" s="2">
        <v>1213</v>
      </c>
      <c r="I212" s="2">
        <v>3</v>
      </c>
      <c r="J212" s="1">
        <v>2583.2221</v>
      </c>
      <c r="K212" s="1">
        <v>862.09320000000002</v>
      </c>
      <c r="L212" s="9" t="s">
        <v>3169</v>
      </c>
      <c r="M212" s="2">
        <v>8.18</v>
      </c>
      <c r="N212" s="4">
        <v>5850.97</v>
      </c>
      <c r="O212" s="1">
        <v>-13.764946373160891</v>
      </c>
      <c r="P212" s="6">
        <v>46.9</v>
      </c>
      <c r="Q212" s="6">
        <v>25</v>
      </c>
      <c r="R212" s="6">
        <v>11.3</v>
      </c>
      <c r="S212" s="6">
        <v>9.5</v>
      </c>
      <c r="T212" s="5">
        <v>2.5000000000000001E-5</v>
      </c>
      <c r="U212" s="1">
        <v>-3.56E-2</v>
      </c>
      <c r="V212" s="1">
        <v>6.7095000000000002</v>
      </c>
    </row>
    <row r="213" spans="1:22" x14ac:dyDescent="0.25">
      <c r="A213" s="1">
        <v>0.99990000000000001</v>
      </c>
      <c r="B213" s="9" t="s">
        <v>3814</v>
      </c>
      <c r="C213" s="2">
        <v>4572</v>
      </c>
      <c r="D213" s="2" t="s">
        <v>1426</v>
      </c>
      <c r="E213" s="9" t="s">
        <v>3815</v>
      </c>
      <c r="F213" s="9" t="s">
        <v>672</v>
      </c>
      <c r="G213" s="1">
        <v>2004.9096999999999</v>
      </c>
      <c r="H213" s="2">
        <v>1558</v>
      </c>
      <c r="I213" s="2">
        <v>2</v>
      </c>
      <c r="J213" s="1">
        <v>2004.8614</v>
      </c>
      <c r="K213" s="1">
        <v>1003.4621</v>
      </c>
      <c r="L213" s="9" t="s">
        <v>673</v>
      </c>
      <c r="M213" s="2">
        <v>4.38</v>
      </c>
      <c r="N213" s="4">
        <v>5892.22</v>
      </c>
      <c r="O213" s="1">
        <v>-24.066678751494454</v>
      </c>
      <c r="P213" s="6">
        <v>47.1</v>
      </c>
      <c r="Q213" s="6">
        <v>22.1</v>
      </c>
      <c r="R213" s="6">
        <v>11.8</v>
      </c>
      <c r="S213" s="6">
        <v>10.8</v>
      </c>
      <c r="T213" s="5">
        <v>3.4000000000000001E-10</v>
      </c>
      <c r="U213" s="1">
        <v>-4.8300000000000003E-2</v>
      </c>
      <c r="V213" s="1">
        <v>10.0991</v>
      </c>
    </row>
    <row r="214" spans="1:22" x14ac:dyDescent="0.25">
      <c r="A214" s="1">
        <v>0.9728</v>
      </c>
      <c r="B214" s="9" t="s">
        <v>3816</v>
      </c>
      <c r="C214" s="2">
        <v>4599</v>
      </c>
      <c r="D214" s="2" t="s">
        <v>3817</v>
      </c>
      <c r="E214" s="9" t="s">
        <v>3818</v>
      </c>
      <c r="F214" s="9" t="s">
        <v>1126</v>
      </c>
      <c r="G214" s="1">
        <v>2458.3006999999998</v>
      </c>
      <c r="H214" s="2">
        <v>720</v>
      </c>
      <c r="I214" s="2">
        <v>4</v>
      </c>
      <c r="J214" s="1">
        <v>2458.2754</v>
      </c>
      <c r="K214" s="1">
        <v>615.58249999999998</v>
      </c>
      <c r="L214" s="9" t="s">
        <v>1127</v>
      </c>
      <c r="M214" s="2">
        <v>8.6</v>
      </c>
      <c r="N214" s="4">
        <v>5928.63</v>
      </c>
      <c r="O214" s="1">
        <v>-10.274821002871265</v>
      </c>
      <c r="P214" s="6">
        <v>32.6</v>
      </c>
      <c r="Q214" s="6">
        <v>21.7</v>
      </c>
      <c r="R214" s="6">
        <v>10.3</v>
      </c>
      <c r="S214" s="6">
        <v>10.5</v>
      </c>
      <c r="T214" s="5">
        <v>6.1000000000000004E-3</v>
      </c>
      <c r="U214" s="1">
        <v>-2.53E-2</v>
      </c>
      <c r="V214" s="1">
        <v>3.9758</v>
      </c>
    </row>
    <row r="215" spans="1:22" x14ac:dyDescent="0.25">
      <c r="A215" s="1">
        <v>0.99380000000000002</v>
      </c>
      <c r="B215" s="9" t="s">
        <v>3819</v>
      </c>
      <c r="C215" s="2">
        <v>4706</v>
      </c>
      <c r="D215" s="2" t="s">
        <v>41</v>
      </c>
      <c r="E215" s="9" t="s">
        <v>3820</v>
      </c>
      <c r="F215" s="9" t="s">
        <v>732</v>
      </c>
      <c r="G215" s="1">
        <v>1849.9757</v>
      </c>
      <c r="H215" s="2">
        <v>989</v>
      </c>
      <c r="I215" s="2">
        <v>3</v>
      </c>
      <c r="J215" s="1">
        <v>1849.9597000000001</v>
      </c>
      <c r="K215" s="1">
        <v>617.66579999999999</v>
      </c>
      <c r="L215" s="9" t="s">
        <v>733</v>
      </c>
      <c r="M215" s="2">
        <v>8.59</v>
      </c>
      <c r="N215" s="4">
        <v>6105.58</v>
      </c>
      <c r="O215" s="1">
        <v>-8.6346586347072041</v>
      </c>
      <c r="P215" s="6">
        <v>32.799999999999997</v>
      </c>
      <c r="Q215" s="6">
        <v>24.9</v>
      </c>
      <c r="R215" s="6">
        <v>10.9</v>
      </c>
      <c r="S215" s="6">
        <v>11.9</v>
      </c>
      <c r="T215" s="5">
        <v>7.2999999999999996E-4</v>
      </c>
      <c r="U215" s="1">
        <v>-1.6E-2</v>
      </c>
      <c r="V215" s="1">
        <v>5.1734</v>
      </c>
    </row>
    <row r="216" spans="1:22" x14ac:dyDescent="0.25">
      <c r="A216" s="1">
        <v>1</v>
      </c>
      <c r="B216" s="9" t="s">
        <v>3821</v>
      </c>
      <c r="C216" s="2">
        <v>4731</v>
      </c>
      <c r="D216" s="2" t="s">
        <v>3822</v>
      </c>
      <c r="E216" s="9" t="s">
        <v>3823</v>
      </c>
      <c r="F216" s="9" t="s">
        <v>112</v>
      </c>
      <c r="G216" s="1">
        <v>2064.2017000000001</v>
      </c>
      <c r="H216" s="2">
        <v>1221</v>
      </c>
      <c r="I216" s="2">
        <v>3</v>
      </c>
      <c r="J216" s="1">
        <v>2064.1640000000002</v>
      </c>
      <c r="K216" s="1">
        <v>689.07449999999994</v>
      </c>
      <c r="L216" s="9" t="s">
        <v>113</v>
      </c>
      <c r="M216" s="2">
        <v>8.5</v>
      </c>
      <c r="N216" s="4">
        <v>6142.54</v>
      </c>
      <c r="O216" s="1">
        <v>-18.237021783082476</v>
      </c>
      <c r="P216" s="6">
        <v>47.6</v>
      </c>
      <c r="Q216" s="6">
        <v>27.7</v>
      </c>
      <c r="R216" s="6">
        <v>10.3</v>
      </c>
      <c r="S216" s="6">
        <v>11</v>
      </c>
      <c r="T216" s="5">
        <v>2.3E-5</v>
      </c>
      <c r="U216" s="1">
        <v>-3.7699999999999997E-2</v>
      </c>
      <c r="V216" s="1">
        <v>7.2054</v>
      </c>
    </row>
    <row r="217" spans="1:22" x14ac:dyDescent="0.25">
      <c r="A217" s="1">
        <v>0.99980000000000002</v>
      </c>
      <c r="B217" s="9" t="s">
        <v>3824</v>
      </c>
      <c r="C217" s="2">
        <v>4742</v>
      </c>
      <c r="D217" s="2" t="s">
        <v>255</v>
      </c>
      <c r="E217" s="9" t="s">
        <v>3825</v>
      </c>
      <c r="F217" s="9" t="s">
        <v>3826</v>
      </c>
      <c r="G217" s="1">
        <v>1876.0277000000001</v>
      </c>
      <c r="H217" s="2">
        <v>723</v>
      </c>
      <c r="I217" s="2">
        <v>3</v>
      </c>
      <c r="J217" s="1">
        <v>1876.0021999999999</v>
      </c>
      <c r="K217" s="1">
        <v>626.34979999999996</v>
      </c>
      <c r="L217" s="9" t="s">
        <v>3827</v>
      </c>
      <c r="M217" s="2">
        <v>9.6999999999999993</v>
      </c>
      <c r="N217" s="4">
        <v>6158.94</v>
      </c>
      <c r="O217" s="1">
        <v>-13.570691648660221</v>
      </c>
      <c r="P217" s="6">
        <v>38.299999999999997</v>
      </c>
      <c r="Q217" s="6">
        <v>25.1</v>
      </c>
      <c r="R217" s="6">
        <v>10.4</v>
      </c>
      <c r="S217" s="6">
        <v>11.4</v>
      </c>
      <c r="T217" s="5">
        <v>3.4E-5</v>
      </c>
      <c r="U217" s="1">
        <v>-2.5499999999999998E-2</v>
      </c>
      <c r="V217" s="1">
        <v>7.2930000000000001</v>
      </c>
    </row>
    <row r="218" spans="1:22" x14ac:dyDescent="0.25">
      <c r="A218" s="1">
        <v>0.9708</v>
      </c>
      <c r="B218" s="9" t="s">
        <v>3828</v>
      </c>
      <c r="C218" s="2">
        <v>4743</v>
      </c>
      <c r="D218" s="2" t="s">
        <v>988</v>
      </c>
      <c r="E218" s="9" t="s">
        <v>3829</v>
      </c>
      <c r="F218" s="9" t="s">
        <v>1847</v>
      </c>
      <c r="G218" s="1">
        <v>1310.7347</v>
      </c>
      <c r="H218" s="2">
        <v>1793</v>
      </c>
      <c r="I218" s="2">
        <v>2</v>
      </c>
      <c r="J218" s="1">
        <v>1310.6692</v>
      </c>
      <c r="K218" s="1">
        <v>656.37459999999999</v>
      </c>
      <c r="L218" s="9" t="s">
        <v>1848</v>
      </c>
      <c r="M218" s="2">
        <v>6.75</v>
      </c>
      <c r="N218" s="4">
        <v>6158.94</v>
      </c>
      <c r="O218" s="1">
        <v>-49.895288452661028</v>
      </c>
      <c r="P218" s="6">
        <v>24.4</v>
      </c>
      <c r="Q218" s="6">
        <v>17.899999999999999</v>
      </c>
      <c r="R218" s="6">
        <v>10.7</v>
      </c>
      <c r="S218" s="6">
        <v>10.3</v>
      </c>
      <c r="T218" s="5">
        <v>8.3000000000000001E-3</v>
      </c>
      <c r="U218" s="1">
        <v>-6.5500000000000003E-2</v>
      </c>
      <c r="V218" s="1">
        <v>3.9965999999999999</v>
      </c>
    </row>
    <row r="219" spans="1:22" x14ac:dyDescent="0.25">
      <c r="A219" s="1">
        <v>0.99980000000000002</v>
      </c>
      <c r="B219" s="9" t="s">
        <v>3830</v>
      </c>
      <c r="C219" s="2">
        <v>4829</v>
      </c>
      <c r="D219" s="2" t="s">
        <v>2012</v>
      </c>
      <c r="E219" s="9" t="s">
        <v>3831</v>
      </c>
      <c r="F219" s="9" t="s">
        <v>3832</v>
      </c>
      <c r="G219" s="1">
        <v>1873.0707</v>
      </c>
      <c r="H219" s="2">
        <v>993</v>
      </c>
      <c r="I219" s="2">
        <v>3</v>
      </c>
      <c r="J219" s="1">
        <v>1873.0225</v>
      </c>
      <c r="K219" s="1">
        <v>625.36419999999998</v>
      </c>
      <c r="L219" s="9" t="s">
        <v>2586</v>
      </c>
      <c r="M219" s="2">
        <v>9.99</v>
      </c>
      <c r="N219" s="4">
        <v>6306.75</v>
      </c>
      <c r="O219" s="1">
        <v>-25.691695601805581</v>
      </c>
      <c r="P219" s="6">
        <v>46.9</v>
      </c>
      <c r="Q219" s="6">
        <v>26.8</v>
      </c>
      <c r="R219" s="6">
        <v>10.3</v>
      </c>
      <c r="S219" s="6">
        <v>11.7</v>
      </c>
      <c r="T219" s="5">
        <v>1.4E-5</v>
      </c>
      <c r="U219" s="1">
        <v>-4.82E-2</v>
      </c>
      <c r="V219" s="1">
        <v>7.7003000000000004</v>
      </c>
    </row>
    <row r="220" spans="1:22" x14ac:dyDescent="0.25">
      <c r="A220" s="1">
        <v>0.99960000000000004</v>
      </c>
      <c r="B220" s="9" t="s">
        <v>3833</v>
      </c>
      <c r="C220" s="2">
        <v>4843</v>
      </c>
      <c r="D220" s="2" t="s">
        <v>133</v>
      </c>
      <c r="E220" s="9" t="s">
        <v>3831</v>
      </c>
      <c r="F220" s="9" t="s">
        <v>3832</v>
      </c>
      <c r="G220" s="1">
        <v>1873.0707</v>
      </c>
      <c r="H220" s="2">
        <v>994</v>
      </c>
      <c r="I220" s="2">
        <v>3</v>
      </c>
      <c r="J220" s="1">
        <v>1873.0374999999999</v>
      </c>
      <c r="K220" s="1">
        <v>625.36419999999998</v>
      </c>
      <c r="L220" s="9" t="s">
        <v>2586</v>
      </c>
      <c r="M220" s="2">
        <v>9.99</v>
      </c>
      <c r="N220" s="4">
        <v>6330.45</v>
      </c>
      <c r="O220" s="1">
        <v>-17.696354646886835</v>
      </c>
      <c r="P220" s="6">
        <v>41.8</v>
      </c>
      <c r="Q220" s="6">
        <v>25</v>
      </c>
      <c r="R220" s="6">
        <v>10.8</v>
      </c>
      <c r="S220" s="6">
        <v>11.7</v>
      </c>
      <c r="T220" s="5">
        <v>3.0000000000000001E-5</v>
      </c>
      <c r="U220" s="1">
        <v>-3.32E-2</v>
      </c>
      <c r="V220" s="1">
        <v>7.2012999999999998</v>
      </c>
    </row>
    <row r="221" spans="1:22" x14ac:dyDescent="0.25">
      <c r="A221" s="1">
        <v>0.999</v>
      </c>
      <c r="B221" s="9" t="s">
        <v>3834</v>
      </c>
      <c r="C221" s="2">
        <v>4859</v>
      </c>
      <c r="D221" s="2" t="s">
        <v>133</v>
      </c>
      <c r="E221" s="9" t="s">
        <v>3831</v>
      </c>
      <c r="F221" s="9" t="s">
        <v>3832</v>
      </c>
      <c r="G221" s="1">
        <v>1873.0707</v>
      </c>
      <c r="H221" s="2">
        <v>725</v>
      </c>
      <c r="I221" s="2">
        <v>3</v>
      </c>
      <c r="J221" s="1">
        <v>1873.0405000000001</v>
      </c>
      <c r="K221" s="1">
        <v>625.36419999999998</v>
      </c>
      <c r="L221" s="9" t="s">
        <v>2586</v>
      </c>
      <c r="M221" s="2">
        <v>9.99</v>
      </c>
      <c r="N221" s="4">
        <v>6351.41</v>
      </c>
      <c r="O221" s="1">
        <v>-16.097286455903085</v>
      </c>
      <c r="P221" s="6">
        <v>40.6</v>
      </c>
      <c r="Q221" s="6">
        <v>23</v>
      </c>
      <c r="R221" s="6">
        <v>8.3000000000000007</v>
      </c>
      <c r="S221" s="6">
        <v>10.3</v>
      </c>
      <c r="T221" s="5">
        <v>1.6000000000000001E-4</v>
      </c>
      <c r="U221" s="1">
        <v>-3.0200000000000001E-2</v>
      </c>
      <c r="V221" s="1">
        <v>6.5425000000000004</v>
      </c>
    </row>
    <row r="222" spans="1:22" x14ac:dyDescent="0.25">
      <c r="A222" s="1">
        <v>0.9647</v>
      </c>
      <c r="B222" s="9" t="s">
        <v>3835</v>
      </c>
      <c r="C222" s="2">
        <v>4876</v>
      </c>
      <c r="D222" s="2" t="s">
        <v>2559</v>
      </c>
      <c r="E222" s="9" t="s">
        <v>3831</v>
      </c>
      <c r="F222" s="9" t="s">
        <v>3832</v>
      </c>
      <c r="G222" s="1">
        <v>1873.0707</v>
      </c>
      <c r="H222" s="2">
        <v>995</v>
      </c>
      <c r="I222" s="2">
        <v>3</v>
      </c>
      <c r="J222" s="1">
        <v>1873.0301999999999</v>
      </c>
      <c r="K222" s="1">
        <v>625.36419999999998</v>
      </c>
      <c r="L222" s="9" t="s">
        <v>2586</v>
      </c>
      <c r="M222" s="2">
        <v>9.99</v>
      </c>
      <c r="N222" s="4">
        <v>6383.61</v>
      </c>
      <c r="O222" s="1">
        <v>-21.587420578280625</v>
      </c>
      <c r="P222" s="6">
        <v>30.2</v>
      </c>
      <c r="Q222" s="6">
        <v>21.5</v>
      </c>
      <c r="R222" s="6">
        <v>10.9</v>
      </c>
      <c r="S222" s="6">
        <v>11.5</v>
      </c>
      <c r="T222" s="5">
        <v>6.7000000000000002E-3</v>
      </c>
      <c r="U222" s="1">
        <v>-4.0500000000000001E-2</v>
      </c>
      <c r="V222" s="1">
        <v>4.0255000000000001</v>
      </c>
    </row>
    <row r="223" spans="1:22" x14ac:dyDescent="0.25">
      <c r="A223" s="1">
        <v>0.95609999999999995</v>
      </c>
      <c r="B223" s="9" t="s">
        <v>3836</v>
      </c>
      <c r="C223" s="2">
        <v>4892</v>
      </c>
      <c r="D223" s="2" t="s">
        <v>2559</v>
      </c>
      <c r="E223" s="9" t="s">
        <v>3831</v>
      </c>
      <c r="F223" s="9" t="s">
        <v>3832</v>
      </c>
      <c r="G223" s="1">
        <v>1873.0707</v>
      </c>
      <c r="H223" s="2">
        <v>468</v>
      </c>
      <c r="I223" s="2">
        <v>3</v>
      </c>
      <c r="J223" s="1">
        <v>1873.0175999999999</v>
      </c>
      <c r="K223" s="1">
        <v>625.36419999999998</v>
      </c>
      <c r="L223" s="9" t="s">
        <v>2586</v>
      </c>
      <c r="M223" s="2">
        <v>9.99</v>
      </c>
      <c r="N223" s="4">
        <v>6409.16</v>
      </c>
      <c r="O223" s="1">
        <v>-28.303506980412376</v>
      </c>
      <c r="P223" s="6">
        <v>31.6</v>
      </c>
      <c r="Q223" s="6">
        <v>24.8</v>
      </c>
      <c r="R223" s="6">
        <v>10.6</v>
      </c>
      <c r="S223" s="6">
        <v>11.5</v>
      </c>
      <c r="T223" s="5">
        <v>1.2999999999999999E-2</v>
      </c>
      <c r="U223" s="1">
        <v>-5.3100000000000001E-2</v>
      </c>
      <c r="V223" s="1">
        <v>3.3504</v>
      </c>
    </row>
    <row r="224" spans="1:22" x14ac:dyDescent="0.25">
      <c r="A224" s="1">
        <v>1</v>
      </c>
      <c r="B224" s="9" t="s">
        <v>3837</v>
      </c>
      <c r="C224" s="2">
        <v>4896</v>
      </c>
      <c r="D224" s="2" t="s">
        <v>3628</v>
      </c>
      <c r="E224" s="9" t="s">
        <v>3838</v>
      </c>
      <c r="F224" s="9" t="s">
        <v>2585</v>
      </c>
      <c r="G224" s="1">
        <v>2310.2977000000001</v>
      </c>
      <c r="H224" s="2">
        <v>1795</v>
      </c>
      <c r="I224" s="2">
        <v>4</v>
      </c>
      <c r="J224" s="1">
        <v>2310.2566000000002</v>
      </c>
      <c r="K224" s="1">
        <v>578.58169999999996</v>
      </c>
      <c r="L224" s="9" t="s">
        <v>2586</v>
      </c>
      <c r="M224" s="2">
        <v>9.6999999999999993</v>
      </c>
      <c r="N224" s="4">
        <v>6416.66</v>
      </c>
      <c r="O224" s="1">
        <v>-17.758943983192005</v>
      </c>
      <c r="P224" s="6">
        <v>39.4</v>
      </c>
      <c r="Q224" s="6">
        <v>23.2</v>
      </c>
      <c r="R224" s="6">
        <v>11.5</v>
      </c>
      <c r="S224" s="6">
        <v>10.7</v>
      </c>
      <c r="T224" s="5">
        <v>2.4000000000000001E-5</v>
      </c>
      <c r="U224" s="1">
        <v>-4.1099999999999998E-2</v>
      </c>
      <c r="V224" s="1">
        <v>6.6369999999999996</v>
      </c>
    </row>
    <row r="225" spans="1:22" x14ac:dyDescent="0.25">
      <c r="A225" s="1">
        <v>0.98850000000000005</v>
      </c>
      <c r="B225" s="9" t="s">
        <v>3839</v>
      </c>
      <c r="C225" s="2">
        <v>4905</v>
      </c>
      <c r="D225" s="2" t="s">
        <v>1246</v>
      </c>
      <c r="E225" s="9" t="s">
        <v>3831</v>
      </c>
      <c r="F225" s="9" t="s">
        <v>3832</v>
      </c>
      <c r="G225" s="1">
        <v>1873.0707</v>
      </c>
      <c r="H225" s="2">
        <v>167</v>
      </c>
      <c r="I225" s="2">
        <v>3</v>
      </c>
      <c r="J225" s="1">
        <v>1873.0229999999999</v>
      </c>
      <c r="K225" s="1">
        <v>625.36419999999998</v>
      </c>
      <c r="L225" s="9" t="s">
        <v>2586</v>
      </c>
      <c r="M225" s="2">
        <v>9.99</v>
      </c>
      <c r="N225" s="4">
        <v>6430.81</v>
      </c>
      <c r="O225" s="1">
        <v>-25.425184236641627</v>
      </c>
      <c r="P225" s="6">
        <v>38.6</v>
      </c>
      <c r="Q225" s="6">
        <v>25.9</v>
      </c>
      <c r="R225" s="6">
        <v>8.1999999999999993</v>
      </c>
      <c r="S225" s="6">
        <v>10</v>
      </c>
      <c r="T225" s="5">
        <v>2.0999999999999999E-3</v>
      </c>
      <c r="U225" s="1">
        <v>-4.7699999999999999E-2</v>
      </c>
      <c r="V225" s="1">
        <v>4.7868000000000004</v>
      </c>
    </row>
    <row r="226" spans="1:22" x14ac:dyDescent="0.25">
      <c r="A226" s="1">
        <v>0.99980000000000002</v>
      </c>
      <c r="B226" s="9" t="s">
        <v>3840</v>
      </c>
      <c r="C226" s="2">
        <v>4913</v>
      </c>
      <c r="D226" s="2" t="s">
        <v>3841</v>
      </c>
      <c r="E226" s="9" t="s">
        <v>3842</v>
      </c>
      <c r="F226" s="9" t="s">
        <v>1906</v>
      </c>
      <c r="G226" s="1">
        <v>2235.2046999999998</v>
      </c>
      <c r="H226" s="2">
        <v>727</v>
      </c>
      <c r="I226" s="2">
        <v>4</v>
      </c>
      <c r="J226" s="1">
        <v>2235.1667000000002</v>
      </c>
      <c r="K226" s="1">
        <v>559.80849999999998</v>
      </c>
      <c r="L226" s="9" t="s">
        <v>1907</v>
      </c>
      <c r="M226" s="2">
        <v>6.77</v>
      </c>
      <c r="N226" s="4">
        <v>6443.81</v>
      </c>
      <c r="O226" s="1">
        <v>-16.970088878607598</v>
      </c>
      <c r="P226" s="6">
        <v>41.6</v>
      </c>
      <c r="Q226" s="6">
        <v>23.6</v>
      </c>
      <c r="R226" s="6">
        <v>10.7</v>
      </c>
      <c r="S226" s="6">
        <v>8.4</v>
      </c>
      <c r="T226" s="5">
        <v>2.5999999999999998E-5</v>
      </c>
      <c r="U226" s="1">
        <v>-3.7999999999999999E-2</v>
      </c>
      <c r="V226" s="1">
        <v>7.0293999999999999</v>
      </c>
    </row>
    <row r="227" spans="1:22" x14ac:dyDescent="0.25">
      <c r="A227" s="1">
        <v>0.99970000000000003</v>
      </c>
      <c r="B227" s="9" t="s">
        <v>3843</v>
      </c>
      <c r="C227" s="2">
        <v>4921</v>
      </c>
      <c r="D227" s="2" t="s">
        <v>1254</v>
      </c>
      <c r="E227" s="9" t="s">
        <v>3844</v>
      </c>
      <c r="F227" s="9" t="s">
        <v>552</v>
      </c>
      <c r="G227" s="1">
        <v>2346.0956999999999</v>
      </c>
      <c r="H227" s="2">
        <v>1233</v>
      </c>
      <c r="I227" s="2">
        <v>3</v>
      </c>
      <c r="J227" s="1">
        <v>2346.0455000000002</v>
      </c>
      <c r="K227" s="1">
        <v>783.03920000000005</v>
      </c>
      <c r="L227" s="9" t="s">
        <v>456</v>
      </c>
      <c r="M227" s="2">
        <v>6.9</v>
      </c>
      <c r="N227" s="4">
        <v>6458.76</v>
      </c>
      <c r="O227" s="1">
        <v>-21.369726232522371</v>
      </c>
      <c r="P227" s="6">
        <v>40.200000000000003</v>
      </c>
      <c r="Q227" s="6">
        <v>25.4</v>
      </c>
      <c r="R227" s="6">
        <v>9.1</v>
      </c>
      <c r="S227" s="6">
        <v>11.1</v>
      </c>
      <c r="T227" s="5">
        <v>5.7000000000000003E-5</v>
      </c>
      <c r="U227" s="1">
        <v>-5.0200000000000002E-2</v>
      </c>
      <c r="V227" s="1">
        <v>6.2168000000000001</v>
      </c>
    </row>
    <row r="228" spans="1:22" x14ac:dyDescent="0.25">
      <c r="A228" s="1">
        <v>1</v>
      </c>
      <c r="B228" s="9" t="s">
        <v>3845</v>
      </c>
      <c r="C228" s="2">
        <v>4926</v>
      </c>
      <c r="D228" s="2" t="s">
        <v>3846</v>
      </c>
      <c r="E228" s="9" t="s">
        <v>3842</v>
      </c>
      <c r="F228" s="9" t="s">
        <v>1906</v>
      </c>
      <c r="G228" s="1">
        <v>2235.2046999999998</v>
      </c>
      <c r="H228" s="2">
        <v>469</v>
      </c>
      <c r="I228" s="2">
        <v>4</v>
      </c>
      <c r="J228" s="1">
        <v>2235.1682999999998</v>
      </c>
      <c r="K228" s="1">
        <v>559.80849999999998</v>
      </c>
      <c r="L228" s="9" t="s">
        <v>1907</v>
      </c>
      <c r="M228" s="2">
        <v>6.77</v>
      </c>
      <c r="N228" s="4">
        <v>6466.21</v>
      </c>
      <c r="O228" s="1">
        <v>-16.25555882056096</v>
      </c>
      <c r="P228" s="6">
        <v>38.700000000000003</v>
      </c>
      <c r="Q228" s="6">
        <v>22.3</v>
      </c>
      <c r="R228" s="6">
        <v>11.8</v>
      </c>
      <c r="S228" s="6">
        <v>10.5</v>
      </c>
      <c r="T228" s="5">
        <v>4.3000000000000003E-6</v>
      </c>
      <c r="U228" s="1">
        <v>-3.6400000000000002E-2</v>
      </c>
      <c r="V228" s="1">
        <v>7.8140999999999998</v>
      </c>
    </row>
    <row r="229" spans="1:22" x14ac:dyDescent="0.25">
      <c r="A229" s="1">
        <v>1</v>
      </c>
      <c r="B229" s="9" t="s">
        <v>3847</v>
      </c>
      <c r="C229" s="2">
        <v>4930</v>
      </c>
      <c r="D229" s="2" t="s">
        <v>3848</v>
      </c>
      <c r="E229" s="9" t="s">
        <v>3849</v>
      </c>
      <c r="F229" s="9" t="s">
        <v>165</v>
      </c>
      <c r="G229" s="1">
        <v>2900.3726999999999</v>
      </c>
      <c r="H229" s="2">
        <v>1634</v>
      </c>
      <c r="I229" s="2">
        <v>3</v>
      </c>
      <c r="J229" s="1">
        <v>2900.3364000000001</v>
      </c>
      <c r="K229" s="1">
        <v>967.79819999999995</v>
      </c>
      <c r="L229" s="9" t="s">
        <v>166</v>
      </c>
      <c r="M229" s="2">
        <v>5.0599999999999996</v>
      </c>
      <c r="N229" s="4">
        <v>6479.16</v>
      </c>
      <c r="O229" s="1">
        <v>-12.502606431795389</v>
      </c>
      <c r="P229" s="6">
        <v>51.4</v>
      </c>
      <c r="Q229" s="6">
        <v>25.2</v>
      </c>
      <c r="R229" s="6">
        <v>11.8</v>
      </c>
      <c r="S229" s="6">
        <v>12.5</v>
      </c>
      <c r="T229" s="5">
        <v>2.7999999999999999E-8</v>
      </c>
      <c r="U229" s="1">
        <v>-3.6299999999999999E-2</v>
      </c>
      <c r="V229" s="1">
        <v>9.3808000000000007</v>
      </c>
    </row>
    <row r="230" spans="1:22" x14ac:dyDescent="0.25">
      <c r="A230" s="1">
        <v>0.99970000000000003</v>
      </c>
      <c r="B230" s="9" t="s">
        <v>3850</v>
      </c>
      <c r="C230" s="2">
        <v>4939</v>
      </c>
      <c r="D230" s="2" t="s">
        <v>423</v>
      </c>
      <c r="E230" s="9" t="s">
        <v>3851</v>
      </c>
      <c r="F230" s="9" t="s">
        <v>3799</v>
      </c>
      <c r="G230" s="1">
        <v>1640.7766999999999</v>
      </c>
      <c r="H230" s="2">
        <v>1564</v>
      </c>
      <c r="I230" s="2">
        <v>2</v>
      </c>
      <c r="J230" s="1">
        <v>1640.7457999999999</v>
      </c>
      <c r="K230" s="1">
        <v>821.39559999999994</v>
      </c>
      <c r="L230" s="9" t="s">
        <v>3800</v>
      </c>
      <c r="M230" s="2">
        <v>6.74</v>
      </c>
      <c r="N230" s="4">
        <v>6494.31</v>
      </c>
      <c r="O230" s="1">
        <v>-18.809450647166845</v>
      </c>
      <c r="P230" s="6">
        <v>35.6</v>
      </c>
      <c r="Q230" s="6">
        <v>21.1</v>
      </c>
      <c r="R230" s="6">
        <v>8.5</v>
      </c>
      <c r="S230" s="6">
        <v>9.4</v>
      </c>
      <c r="T230" s="5">
        <v>2.0000000000000001E-4</v>
      </c>
      <c r="U230" s="1">
        <v>-3.09E-2</v>
      </c>
      <c r="V230" s="1">
        <v>5.9870000000000001</v>
      </c>
    </row>
    <row r="231" spans="1:22" x14ac:dyDescent="0.25">
      <c r="A231" s="1">
        <v>0.99990000000000001</v>
      </c>
      <c r="B231" s="9" t="s">
        <v>3852</v>
      </c>
      <c r="C231" s="2">
        <v>4955</v>
      </c>
      <c r="D231" s="2" t="s">
        <v>1903</v>
      </c>
      <c r="E231" s="9" t="s">
        <v>3853</v>
      </c>
      <c r="F231" s="9" t="s">
        <v>112</v>
      </c>
      <c r="G231" s="1">
        <v>1724.8916999999999</v>
      </c>
      <c r="H231" s="2">
        <v>1237</v>
      </c>
      <c r="I231" s="2">
        <v>3</v>
      </c>
      <c r="J231" s="1">
        <v>1724.8471</v>
      </c>
      <c r="K231" s="1">
        <v>575.97119999999995</v>
      </c>
      <c r="L231" s="9" t="s">
        <v>113</v>
      </c>
      <c r="M231" s="2">
        <v>6.92</v>
      </c>
      <c r="N231" s="4">
        <v>6518.91</v>
      </c>
      <c r="O231" s="1">
        <v>-25.811475758973135</v>
      </c>
      <c r="P231" s="6">
        <v>43.4</v>
      </c>
      <c r="Q231" s="6">
        <v>27.4</v>
      </c>
      <c r="R231" s="6">
        <v>10.5</v>
      </c>
      <c r="S231" s="6">
        <v>9.3000000000000007</v>
      </c>
      <c r="T231" s="5">
        <v>1E-4</v>
      </c>
      <c r="U231" s="1">
        <v>-4.4600000000000001E-2</v>
      </c>
      <c r="V231" s="1">
        <v>6.86</v>
      </c>
    </row>
    <row r="232" spans="1:22" x14ac:dyDescent="0.25">
      <c r="A232" s="1">
        <v>0.98329999999999995</v>
      </c>
      <c r="B232" s="9" t="s">
        <v>3854</v>
      </c>
      <c r="C232" s="2">
        <v>4993</v>
      </c>
      <c r="D232" s="2" t="s">
        <v>2559</v>
      </c>
      <c r="E232" s="9" t="s">
        <v>3855</v>
      </c>
      <c r="F232" s="9" t="s">
        <v>122</v>
      </c>
      <c r="G232" s="1">
        <v>1895.0916999999999</v>
      </c>
      <c r="H232" s="2">
        <v>996</v>
      </c>
      <c r="I232" s="2">
        <v>3</v>
      </c>
      <c r="J232" s="1">
        <v>1895.0535</v>
      </c>
      <c r="K232" s="1">
        <v>632.70450000000005</v>
      </c>
      <c r="L232" s="9" t="s">
        <v>123</v>
      </c>
      <c r="M232" s="2">
        <v>8.69</v>
      </c>
      <c r="N232" s="4">
        <v>6581.26</v>
      </c>
      <c r="O232" s="1">
        <v>-20.125245408138131</v>
      </c>
      <c r="P232" s="6">
        <v>34.4</v>
      </c>
      <c r="Q232" s="6">
        <v>23.2</v>
      </c>
      <c r="R232" s="6">
        <v>12.6</v>
      </c>
      <c r="S232" s="6">
        <v>13.5</v>
      </c>
      <c r="T232" s="5">
        <v>6.4000000000000003E-3</v>
      </c>
      <c r="U232" s="1">
        <v>-3.8199999999999998E-2</v>
      </c>
      <c r="V232" s="1">
        <v>4.2295999999999996</v>
      </c>
    </row>
    <row r="233" spans="1:22" x14ac:dyDescent="0.25">
      <c r="A233" s="1">
        <v>0.97850000000000004</v>
      </c>
      <c r="B233" s="9" t="s">
        <v>3856</v>
      </c>
      <c r="C233" s="2">
        <v>4995</v>
      </c>
      <c r="D233" s="2" t="s">
        <v>770</v>
      </c>
      <c r="E233" s="9" t="s">
        <v>3857</v>
      </c>
      <c r="F233" s="9" t="s">
        <v>2561</v>
      </c>
      <c r="G233" s="1">
        <v>1732.9337</v>
      </c>
      <c r="H233" s="2">
        <v>169</v>
      </c>
      <c r="I233" s="2">
        <v>3</v>
      </c>
      <c r="J233" s="1">
        <v>1732.9143999999999</v>
      </c>
      <c r="K233" s="1">
        <v>578.65179999999998</v>
      </c>
      <c r="L233" s="9" t="s">
        <v>2562</v>
      </c>
      <c r="M233" s="2">
        <v>8.59</v>
      </c>
      <c r="N233" s="4">
        <v>6582.31</v>
      </c>
      <c r="O233" s="1">
        <v>-11.117797150779335</v>
      </c>
      <c r="P233" s="6">
        <v>29.8</v>
      </c>
      <c r="Q233" s="6">
        <v>21.8</v>
      </c>
      <c r="R233" s="6">
        <v>7.6</v>
      </c>
      <c r="S233" s="6">
        <v>7.7</v>
      </c>
      <c r="T233" s="5">
        <v>1.2E-2</v>
      </c>
      <c r="U233" s="1">
        <v>-1.9300000000000001E-2</v>
      </c>
      <c r="V233" s="1">
        <v>3.9990999999999999</v>
      </c>
    </row>
    <row r="234" spans="1:22" x14ac:dyDescent="0.25">
      <c r="A234" s="1">
        <v>0.99529999999999996</v>
      </c>
      <c r="B234" s="9" t="s">
        <v>3858</v>
      </c>
      <c r="C234" s="2">
        <v>4999</v>
      </c>
      <c r="D234" s="2" t="s">
        <v>802</v>
      </c>
      <c r="E234" s="9" t="s">
        <v>3859</v>
      </c>
      <c r="F234" s="9" t="s">
        <v>340</v>
      </c>
      <c r="G234" s="1">
        <v>2173.2067000000002</v>
      </c>
      <c r="H234" s="2">
        <v>60</v>
      </c>
      <c r="I234" s="2">
        <v>3</v>
      </c>
      <c r="J234" s="1">
        <v>2173.1678000000002</v>
      </c>
      <c r="K234" s="1">
        <v>725.40949999999998</v>
      </c>
      <c r="L234" s="9" t="s">
        <v>341</v>
      </c>
      <c r="M234" s="2">
        <v>6.3</v>
      </c>
      <c r="N234" s="4">
        <v>6588.81</v>
      </c>
      <c r="O234" s="1">
        <v>-17.874961200076186</v>
      </c>
      <c r="P234" s="6">
        <v>32.700000000000003</v>
      </c>
      <c r="Q234" s="6">
        <v>21.4</v>
      </c>
      <c r="R234" s="6">
        <v>9.9</v>
      </c>
      <c r="S234" s="6">
        <v>10.6</v>
      </c>
      <c r="T234" s="5">
        <v>1.5E-3</v>
      </c>
      <c r="U234" s="1">
        <v>-3.8899999999999997E-2</v>
      </c>
      <c r="V234" s="1">
        <v>5.0303000000000004</v>
      </c>
    </row>
    <row r="235" spans="1:22" x14ac:dyDescent="0.25">
      <c r="A235" s="1">
        <v>0.97840000000000005</v>
      </c>
      <c r="B235" s="9" t="s">
        <v>3860</v>
      </c>
      <c r="C235" s="2">
        <v>5102</v>
      </c>
      <c r="D235" s="2" t="s">
        <v>302</v>
      </c>
      <c r="E235" s="9" t="s">
        <v>3861</v>
      </c>
      <c r="F235" s="9" t="s">
        <v>1847</v>
      </c>
      <c r="G235" s="1">
        <v>1370.7017000000001</v>
      </c>
      <c r="H235" s="2">
        <v>1245</v>
      </c>
      <c r="I235" s="2">
        <v>2</v>
      </c>
      <c r="J235" s="1">
        <v>1370.6719000000001</v>
      </c>
      <c r="K235" s="1">
        <v>686.35810000000004</v>
      </c>
      <c r="L235" s="9" t="s">
        <v>1848</v>
      </c>
      <c r="M235" s="2">
        <v>6.75</v>
      </c>
      <c r="N235" s="4">
        <v>6750.52</v>
      </c>
      <c r="O235" s="1">
        <v>-21.708784379466053</v>
      </c>
      <c r="P235" s="6">
        <v>33.9</v>
      </c>
      <c r="Q235" s="6">
        <v>23</v>
      </c>
      <c r="R235" s="6">
        <v>10.6</v>
      </c>
      <c r="S235" s="6">
        <v>11.6</v>
      </c>
      <c r="T235" s="5">
        <v>1.4999999999999999E-2</v>
      </c>
      <c r="U235" s="1">
        <v>-2.98E-2</v>
      </c>
      <c r="V235" s="1">
        <v>3.9771999999999998</v>
      </c>
    </row>
    <row r="236" spans="1:22" x14ac:dyDescent="0.25">
      <c r="A236" s="1">
        <v>0.97619999999999996</v>
      </c>
      <c r="B236" s="9" t="s">
        <v>3862</v>
      </c>
      <c r="C236" s="2">
        <v>5120</v>
      </c>
      <c r="D236" s="2" t="s">
        <v>1148</v>
      </c>
      <c r="E236" s="9" t="s">
        <v>3863</v>
      </c>
      <c r="F236" s="9" t="s">
        <v>1847</v>
      </c>
      <c r="G236" s="1">
        <v>1598.8336999999999</v>
      </c>
      <c r="H236" s="2">
        <v>1800</v>
      </c>
      <c r="I236" s="2">
        <v>2</v>
      </c>
      <c r="J236" s="1">
        <v>1598.7833000000001</v>
      </c>
      <c r="K236" s="1">
        <v>800.42409999999995</v>
      </c>
      <c r="L236" s="9" t="s">
        <v>1848</v>
      </c>
      <c r="M236" s="2">
        <v>5.97</v>
      </c>
      <c r="N236" s="4">
        <v>6780.82</v>
      </c>
      <c r="O236" s="1">
        <v>-31.483309910333787</v>
      </c>
      <c r="P236" s="6">
        <v>28.9</v>
      </c>
      <c r="Q236" s="6">
        <v>20.5</v>
      </c>
      <c r="R236" s="6">
        <v>0</v>
      </c>
      <c r="S236" s="6">
        <v>10.5</v>
      </c>
      <c r="T236" s="5">
        <v>2.5999999999999999E-3</v>
      </c>
      <c r="U236" s="1">
        <v>-5.04E-2</v>
      </c>
      <c r="V236" s="1">
        <v>4.1882000000000001</v>
      </c>
    </row>
    <row r="237" spans="1:22" x14ac:dyDescent="0.25">
      <c r="A237" s="1">
        <v>0.99870000000000003</v>
      </c>
      <c r="B237" s="9" t="s">
        <v>3864</v>
      </c>
      <c r="C237" s="2">
        <v>5126</v>
      </c>
      <c r="D237" s="2" t="s">
        <v>2194</v>
      </c>
      <c r="E237" s="9" t="s">
        <v>3865</v>
      </c>
      <c r="F237" s="9" t="s">
        <v>732</v>
      </c>
      <c r="G237" s="1">
        <v>1963.0597</v>
      </c>
      <c r="H237" s="2">
        <v>998</v>
      </c>
      <c r="I237" s="2">
        <v>3</v>
      </c>
      <c r="J237" s="1">
        <v>1963.0196000000001</v>
      </c>
      <c r="K237" s="1">
        <v>655.3605</v>
      </c>
      <c r="L237" s="9" t="s">
        <v>733</v>
      </c>
      <c r="M237" s="2">
        <v>8.59</v>
      </c>
      <c r="N237" s="4">
        <v>6792.92</v>
      </c>
      <c r="O237" s="1">
        <v>-20.395899152705518</v>
      </c>
      <c r="P237" s="6">
        <v>39.700000000000003</v>
      </c>
      <c r="Q237" s="6">
        <v>26.9</v>
      </c>
      <c r="R237" s="6">
        <v>9</v>
      </c>
      <c r="S237" s="6">
        <v>11.9</v>
      </c>
      <c r="T237" s="5">
        <v>1.2E-4</v>
      </c>
      <c r="U237" s="1">
        <v>-4.0099999999999997E-2</v>
      </c>
      <c r="V237" s="1">
        <v>6.3261000000000003</v>
      </c>
    </row>
    <row r="238" spans="1:22" x14ac:dyDescent="0.25">
      <c r="A238" s="1">
        <v>0.99990000000000001</v>
      </c>
      <c r="B238" s="9" t="s">
        <v>3866</v>
      </c>
      <c r="C238" s="2">
        <v>5133</v>
      </c>
      <c r="D238" s="2" t="s">
        <v>3822</v>
      </c>
      <c r="E238" s="9" t="s">
        <v>3867</v>
      </c>
      <c r="F238" s="9" t="s">
        <v>3868</v>
      </c>
      <c r="G238" s="1">
        <v>2238.2067000000002</v>
      </c>
      <c r="H238" s="2">
        <v>1642</v>
      </c>
      <c r="I238" s="2">
        <v>3</v>
      </c>
      <c r="J238" s="1">
        <v>2238.1817999999998</v>
      </c>
      <c r="K238" s="1">
        <v>747.07619999999997</v>
      </c>
      <c r="L238" s="9" t="s">
        <v>3869</v>
      </c>
      <c r="M238" s="2">
        <v>4.3</v>
      </c>
      <c r="N238" s="4">
        <v>6802.87</v>
      </c>
      <c r="O238" s="1">
        <v>-11.109977804138321</v>
      </c>
      <c r="P238" s="6">
        <v>55.9</v>
      </c>
      <c r="Q238" s="6">
        <v>32.799999999999997</v>
      </c>
      <c r="R238" s="6">
        <v>13.2</v>
      </c>
      <c r="S238" s="6">
        <v>13.7</v>
      </c>
      <c r="T238" s="5">
        <v>1.2999999999999999E-5</v>
      </c>
      <c r="U238" s="1">
        <v>-2.4899999999999999E-2</v>
      </c>
      <c r="V238" s="1">
        <v>7.4516</v>
      </c>
    </row>
    <row r="239" spans="1:22" x14ac:dyDescent="0.25">
      <c r="A239" s="1">
        <v>0.99839999999999995</v>
      </c>
      <c r="B239" s="9" t="s">
        <v>3870</v>
      </c>
      <c r="C239" s="2">
        <v>5136</v>
      </c>
      <c r="D239" s="2" t="s">
        <v>3871</v>
      </c>
      <c r="E239" s="9" t="s">
        <v>3872</v>
      </c>
      <c r="F239" s="9" t="s">
        <v>3873</v>
      </c>
      <c r="G239" s="1">
        <v>3657.9877000000001</v>
      </c>
      <c r="H239" s="2">
        <v>1801</v>
      </c>
      <c r="I239" s="2">
        <v>4</v>
      </c>
      <c r="J239" s="1">
        <v>3657.8921999999998</v>
      </c>
      <c r="K239" s="1">
        <v>915.50419999999997</v>
      </c>
      <c r="L239" s="9" t="s">
        <v>1907</v>
      </c>
      <c r="M239" s="2">
        <v>8.5</v>
      </c>
      <c r="N239" s="4">
        <v>6803.92</v>
      </c>
      <c r="O239" s="1">
        <v>-26.078525909547988</v>
      </c>
      <c r="P239" s="6">
        <v>27.1</v>
      </c>
      <c r="Q239" s="6">
        <v>23.3</v>
      </c>
      <c r="R239" s="6">
        <v>10.4</v>
      </c>
      <c r="S239" s="6">
        <v>12.8</v>
      </c>
      <c r="T239" s="5">
        <v>6.6E-3</v>
      </c>
      <c r="U239" s="1">
        <v>-9.5500000000000002E-2</v>
      </c>
      <c r="V239" s="1">
        <v>2.403</v>
      </c>
    </row>
    <row r="240" spans="1:22" x14ac:dyDescent="0.25">
      <c r="A240" s="1">
        <v>0.99990000000000001</v>
      </c>
      <c r="B240" s="9" t="s">
        <v>3874</v>
      </c>
      <c r="C240" s="2">
        <v>5140</v>
      </c>
      <c r="D240" s="2" t="s">
        <v>831</v>
      </c>
      <c r="E240" s="9" t="s">
        <v>3865</v>
      </c>
      <c r="F240" s="9" t="s">
        <v>732</v>
      </c>
      <c r="G240" s="1">
        <v>1963.0597</v>
      </c>
      <c r="H240" s="2">
        <v>999</v>
      </c>
      <c r="I240" s="2">
        <v>3</v>
      </c>
      <c r="J240" s="1">
        <v>1963.0161000000001</v>
      </c>
      <c r="K240" s="1">
        <v>655.3605</v>
      </c>
      <c r="L240" s="9" t="s">
        <v>733</v>
      </c>
      <c r="M240" s="2">
        <v>8.59</v>
      </c>
      <c r="N240" s="4">
        <v>6814.77</v>
      </c>
      <c r="O240" s="1">
        <v>-22.176089851819469</v>
      </c>
      <c r="P240" s="6">
        <v>41.4</v>
      </c>
      <c r="Q240" s="6">
        <v>22.3</v>
      </c>
      <c r="R240" s="6">
        <v>9.8000000000000007</v>
      </c>
      <c r="S240" s="6">
        <v>10.199999999999999</v>
      </c>
      <c r="T240" s="5">
        <v>4.8999999999999997E-6</v>
      </c>
      <c r="U240" s="1">
        <v>-4.36E-2</v>
      </c>
      <c r="V240" s="1">
        <v>8.6198999999999995</v>
      </c>
    </row>
    <row r="241" spans="1:22" x14ac:dyDescent="0.25">
      <c r="A241" s="1">
        <v>0.98299999999999998</v>
      </c>
      <c r="B241" s="9" t="s">
        <v>3875</v>
      </c>
      <c r="C241" s="2">
        <v>5148</v>
      </c>
      <c r="D241" s="2" t="s">
        <v>3876</v>
      </c>
      <c r="E241" s="9" t="s">
        <v>3872</v>
      </c>
      <c r="F241" s="9" t="s">
        <v>3873</v>
      </c>
      <c r="G241" s="1">
        <v>3657.9877000000001</v>
      </c>
      <c r="H241" s="2">
        <v>1685</v>
      </c>
      <c r="I241" s="2">
        <v>4</v>
      </c>
      <c r="J241" s="1">
        <v>3657.8912</v>
      </c>
      <c r="K241" s="1">
        <v>915.50419999999997</v>
      </c>
      <c r="L241" s="9" t="s">
        <v>1907</v>
      </c>
      <c r="M241" s="2">
        <v>8.5</v>
      </c>
      <c r="N241" s="4">
        <v>6824.87</v>
      </c>
      <c r="O241" s="1">
        <v>-26.351599479281472</v>
      </c>
      <c r="P241" s="6">
        <v>37.799999999999997</v>
      </c>
      <c r="Q241" s="6">
        <v>27.7</v>
      </c>
      <c r="R241" s="6">
        <v>10.4</v>
      </c>
      <c r="S241" s="6">
        <v>12.8</v>
      </c>
      <c r="T241" s="5">
        <v>4.9000000000000002E-2</v>
      </c>
      <c r="U241" s="1">
        <v>-9.6500000000000002E-2</v>
      </c>
      <c r="V241" s="1">
        <v>2.1509</v>
      </c>
    </row>
    <row r="242" spans="1:22" x14ac:dyDescent="0.25">
      <c r="A242" s="1">
        <v>0.99990000000000001</v>
      </c>
      <c r="B242" s="9" t="s">
        <v>3877</v>
      </c>
      <c r="C242" s="2">
        <v>5150</v>
      </c>
      <c r="D242" s="2" t="s">
        <v>3878</v>
      </c>
      <c r="E242" s="9" t="s">
        <v>3872</v>
      </c>
      <c r="F242" s="9" t="s">
        <v>3873</v>
      </c>
      <c r="G242" s="1">
        <v>3657.9877000000001</v>
      </c>
      <c r="H242" s="2">
        <v>1248</v>
      </c>
      <c r="I242" s="2">
        <v>4</v>
      </c>
      <c r="J242" s="1">
        <v>3657.8804</v>
      </c>
      <c r="K242" s="1">
        <v>915.50419999999997</v>
      </c>
      <c r="L242" s="9" t="s">
        <v>1907</v>
      </c>
      <c r="M242" s="2">
        <v>8.5</v>
      </c>
      <c r="N242" s="4">
        <v>6825.92</v>
      </c>
      <c r="O242" s="1">
        <v>-29.300794032403129</v>
      </c>
      <c r="P242" s="6">
        <v>48.4</v>
      </c>
      <c r="Q242" s="6">
        <v>32</v>
      </c>
      <c r="R242" s="6">
        <v>9.6999999999999993</v>
      </c>
      <c r="S242" s="6">
        <v>12.8</v>
      </c>
      <c r="T242" s="5">
        <v>1.6000000000000001E-4</v>
      </c>
      <c r="U242" s="1">
        <v>-0.10730000000000001</v>
      </c>
      <c r="V242" s="1">
        <v>4.3601000000000001</v>
      </c>
    </row>
    <row r="243" spans="1:22" x14ac:dyDescent="0.25">
      <c r="A243" s="1">
        <v>0.99970000000000003</v>
      </c>
      <c r="B243" s="9" t="s">
        <v>3879</v>
      </c>
      <c r="C243" s="2">
        <v>5162</v>
      </c>
      <c r="D243" s="2" t="s">
        <v>2715</v>
      </c>
      <c r="E243" s="9" t="s">
        <v>3880</v>
      </c>
      <c r="F243" s="9" t="s">
        <v>597</v>
      </c>
      <c r="G243" s="1">
        <v>2310.2977000000001</v>
      </c>
      <c r="H243" s="2">
        <v>1250</v>
      </c>
      <c r="I243" s="2">
        <v>3</v>
      </c>
      <c r="J243" s="1">
        <v>2310.2399</v>
      </c>
      <c r="K243" s="1">
        <v>771.10649999999998</v>
      </c>
      <c r="L243" s="9" t="s">
        <v>157</v>
      </c>
      <c r="M243" s="2">
        <v>8.59</v>
      </c>
      <c r="N243" s="4">
        <v>6842.57</v>
      </c>
      <c r="O243" s="1">
        <v>-24.985740188504007</v>
      </c>
      <c r="P243" s="6">
        <v>43.9</v>
      </c>
      <c r="Q243" s="6">
        <v>25.7</v>
      </c>
      <c r="R243" s="6">
        <v>12</v>
      </c>
      <c r="S243" s="6">
        <v>10.9</v>
      </c>
      <c r="T243" s="5">
        <v>5.8999999999999998E-5</v>
      </c>
      <c r="U243" s="1">
        <v>-5.7799999999999997E-2</v>
      </c>
      <c r="V243" s="1">
        <v>6.1200999999999999</v>
      </c>
    </row>
    <row r="244" spans="1:22" x14ac:dyDescent="0.25">
      <c r="A244" s="1">
        <v>0.996</v>
      </c>
      <c r="B244" s="9" t="s">
        <v>3881</v>
      </c>
      <c r="C244" s="2">
        <v>5204</v>
      </c>
      <c r="D244" s="2" t="s">
        <v>2883</v>
      </c>
      <c r="E244" s="9" t="s">
        <v>3882</v>
      </c>
      <c r="F244" s="9" t="s">
        <v>1023</v>
      </c>
      <c r="G244" s="1">
        <v>2213.1687000000002</v>
      </c>
      <c r="H244" s="2">
        <v>1802</v>
      </c>
      <c r="I244" s="2">
        <v>3</v>
      </c>
      <c r="J244" s="1">
        <v>2213.1385</v>
      </c>
      <c r="K244" s="1">
        <v>738.73019999999997</v>
      </c>
      <c r="L244" s="9" t="s">
        <v>1024</v>
      </c>
      <c r="M244" s="2">
        <v>4.75</v>
      </c>
      <c r="N244" s="4">
        <v>6901.67</v>
      </c>
      <c r="O244" s="1">
        <v>-13.626986776317885</v>
      </c>
      <c r="P244" s="6">
        <v>31.8</v>
      </c>
      <c r="Q244" s="6">
        <v>20.399999999999999</v>
      </c>
      <c r="R244" s="6">
        <v>9.5</v>
      </c>
      <c r="S244" s="6">
        <v>10.8</v>
      </c>
      <c r="T244" s="5">
        <v>1.6000000000000001E-3</v>
      </c>
      <c r="U244" s="1">
        <v>-3.0200000000000001E-2</v>
      </c>
      <c r="V244" s="1">
        <v>4.6822999999999997</v>
      </c>
    </row>
    <row r="245" spans="1:22" x14ac:dyDescent="0.25">
      <c r="A245" s="1">
        <v>0.96199999999999997</v>
      </c>
      <c r="B245" s="9" t="s">
        <v>3883</v>
      </c>
      <c r="C245" s="2">
        <v>5339</v>
      </c>
      <c r="D245" s="2" t="s">
        <v>3884</v>
      </c>
      <c r="E245" s="9" t="s">
        <v>3885</v>
      </c>
      <c r="F245" s="9" t="s">
        <v>2585</v>
      </c>
      <c r="G245" s="1">
        <v>2753.5356999999999</v>
      </c>
      <c r="H245" s="2">
        <v>1254</v>
      </c>
      <c r="I245" s="2">
        <v>4</v>
      </c>
      <c r="J245" s="1">
        <v>2753.4458</v>
      </c>
      <c r="K245" s="1">
        <v>689.39120000000003</v>
      </c>
      <c r="L245" s="9" t="s">
        <v>2586</v>
      </c>
      <c r="M245" s="2">
        <v>9.6999999999999993</v>
      </c>
      <c r="N245" s="4">
        <v>7096.44</v>
      </c>
      <c r="O245" s="1">
        <v>-32.601228446200061</v>
      </c>
      <c r="P245" s="6">
        <v>42.7</v>
      </c>
      <c r="Q245" s="6">
        <v>35.5</v>
      </c>
      <c r="R245" s="6">
        <v>11.4</v>
      </c>
      <c r="S245" s="6">
        <v>8.1999999999999993</v>
      </c>
      <c r="T245" s="5">
        <v>7.4000000000000003E-3</v>
      </c>
      <c r="U245" s="1">
        <v>-8.9899999999999994E-2</v>
      </c>
      <c r="V245" s="1">
        <v>2.7858000000000001</v>
      </c>
    </row>
    <row r="246" spans="1:22" x14ac:dyDescent="0.25">
      <c r="A246" s="1">
        <v>0.99939999999999996</v>
      </c>
      <c r="B246" s="9" t="s">
        <v>3886</v>
      </c>
      <c r="C246" s="2">
        <v>5352</v>
      </c>
      <c r="D246" s="2" t="s">
        <v>3887</v>
      </c>
      <c r="E246" s="9" t="s">
        <v>3885</v>
      </c>
      <c r="F246" s="9" t="s">
        <v>2585</v>
      </c>
      <c r="G246" s="1">
        <v>2753.5356999999999</v>
      </c>
      <c r="H246" s="2">
        <v>1256</v>
      </c>
      <c r="I246" s="2">
        <v>4</v>
      </c>
      <c r="J246" s="1">
        <v>2753.4892</v>
      </c>
      <c r="K246" s="1">
        <v>689.39120000000003</v>
      </c>
      <c r="L246" s="9" t="s">
        <v>2586</v>
      </c>
      <c r="M246" s="2">
        <v>9.6999999999999993</v>
      </c>
      <c r="N246" s="4">
        <v>7118.1</v>
      </c>
      <c r="O246" s="1">
        <v>-16.862704368724174</v>
      </c>
      <c r="P246" s="6">
        <v>45.5</v>
      </c>
      <c r="Q246" s="6">
        <v>31.9</v>
      </c>
      <c r="R246" s="6">
        <v>11.3</v>
      </c>
      <c r="S246" s="6">
        <v>8.1999999999999993</v>
      </c>
      <c r="T246" s="5">
        <v>1.1E-4</v>
      </c>
      <c r="U246" s="1">
        <v>-4.65E-2</v>
      </c>
      <c r="V246" s="1">
        <v>4.9476000000000004</v>
      </c>
    </row>
    <row r="247" spans="1:22" x14ac:dyDescent="0.25">
      <c r="A247" s="1">
        <v>0.98670000000000002</v>
      </c>
      <c r="B247" s="9" t="s">
        <v>3888</v>
      </c>
      <c r="C247" s="2">
        <v>5362</v>
      </c>
      <c r="D247" s="2" t="s">
        <v>280</v>
      </c>
      <c r="E247" s="9" t="s">
        <v>3889</v>
      </c>
      <c r="F247" s="9" t="s">
        <v>3890</v>
      </c>
      <c r="G247" s="1">
        <v>1462.8217</v>
      </c>
      <c r="H247" s="2">
        <v>1804</v>
      </c>
      <c r="I247" s="2">
        <v>2</v>
      </c>
      <c r="J247" s="1">
        <v>1462.7837</v>
      </c>
      <c r="K247" s="1">
        <v>732.41809999999998</v>
      </c>
      <c r="L247" s="9" t="s">
        <v>2538</v>
      </c>
      <c r="M247" s="2">
        <v>10</v>
      </c>
      <c r="N247" s="4">
        <v>7134.31</v>
      </c>
      <c r="O247" s="1">
        <v>-25.941467039113313</v>
      </c>
      <c r="P247" s="6">
        <v>42.7</v>
      </c>
      <c r="Q247" s="6">
        <v>34.1</v>
      </c>
      <c r="R247" s="6">
        <v>11</v>
      </c>
      <c r="S247" s="6">
        <v>10.9</v>
      </c>
      <c r="T247" s="5">
        <v>0.09</v>
      </c>
      <c r="U247" s="1">
        <v>-3.7999999999999999E-2</v>
      </c>
      <c r="V247" s="1">
        <v>2.3622999999999998</v>
      </c>
    </row>
    <row r="248" spans="1:22" x14ac:dyDescent="0.25">
      <c r="A248" s="1">
        <v>0.99960000000000004</v>
      </c>
      <c r="B248" s="9" t="s">
        <v>3891</v>
      </c>
      <c r="C248" s="2">
        <v>5366</v>
      </c>
      <c r="D248" s="2" t="s">
        <v>3887</v>
      </c>
      <c r="E248" s="9" t="s">
        <v>3885</v>
      </c>
      <c r="F248" s="9" t="s">
        <v>2585</v>
      </c>
      <c r="G248" s="1">
        <v>2753.5356999999999</v>
      </c>
      <c r="H248" s="2">
        <v>1257</v>
      </c>
      <c r="I248" s="2">
        <v>4</v>
      </c>
      <c r="J248" s="1">
        <v>2753.5061000000001</v>
      </c>
      <c r="K248" s="1">
        <v>689.39120000000003</v>
      </c>
      <c r="L248" s="9" t="s">
        <v>2586</v>
      </c>
      <c r="M248" s="2">
        <v>9.6999999999999993</v>
      </c>
      <c r="N248" s="4">
        <v>7139.81</v>
      </c>
      <c r="O248" s="1">
        <v>-10.734108587402915</v>
      </c>
      <c r="P248" s="6">
        <v>51.9</v>
      </c>
      <c r="Q248" s="6">
        <v>35.9</v>
      </c>
      <c r="R248" s="6">
        <v>11.7</v>
      </c>
      <c r="S248" s="6">
        <v>8.1999999999999993</v>
      </c>
      <c r="T248" s="5">
        <v>6.2000000000000003E-5</v>
      </c>
      <c r="U248" s="1">
        <v>-2.9600000000000001E-2</v>
      </c>
      <c r="V248" s="1">
        <v>5.2092999999999998</v>
      </c>
    </row>
    <row r="249" spans="1:22" x14ac:dyDescent="0.25">
      <c r="A249" s="1">
        <v>0.99850000000000005</v>
      </c>
      <c r="B249" s="9" t="s">
        <v>3892</v>
      </c>
      <c r="C249" s="2">
        <v>5377</v>
      </c>
      <c r="D249" s="2" t="s">
        <v>493</v>
      </c>
      <c r="E249" s="9" t="s">
        <v>3889</v>
      </c>
      <c r="F249" s="9" t="s">
        <v>3890</v>
      </c>
      <c r="G249" s="1">
        <v>1462.8217</v>
      </c>
      <c r="H249" s="2">
        <v>1258</v>
      </c>
      <c r="I249" s="2">
        <v>2</v>
      </c>
      <c r="J249" s="1">
        <v>1462.7950000000001</v>
      </c>
      <c r="K249" s="1">
        <v>732.41809999999998</v>
      </c>
      <c r="L249" s="9" t="s">
        <v>2538</v>
      </c>
      <c r="M249" s="2">
        <v>10</v>
      </c>
      <c r="N249" s="4">
        <v>7157.19</v>
      </c>
      <c r="O249" s="1">
        <v>-18.227293945903302</v>
      </c>
      <c r="P249" s="6">
        <v>49.5</v>
      </c>
      <c r="Q249" s="6">
        <v>33.200000000000003</v>
      </c>
      <c r="R249" s="6">
        <v>11.3</v>
      </c>
      <c r="S249" s="6">
        <v>11.5</v>
      </c>
      <c r="T249" s="5">
        <v>8.5000000000000006E-3</v>
      </c>
      <c r="U249" s="1">
        <v>-2.6700000000000002E-2</v>
      </c>
      <c r="V249" s="1">
        <v>3.9769999999999999</v>
      </c>
    </row>
    <row r="250" spans="1:22" x14ac:dyDescent="0.25">
      <c r="A250" s="1">
        <v>0.9758</v>
      </c>
      <c r="B250" s="9" t="s">
        <v>3893</v>
      </c>
      <c r="C250" s="2">
        <v>5380</v>
      </c>
      <c r="D250" s="2" t="s">
        <v>3731</v>
      </c>
      <c r="E250" s="9" t="s">
        <v>3885</v>
      </c>
      <c r="F250" s="9" t="s">
        <v>2585</v>
      </c>
      <c r="G250" s="1">
        <v>2753.5356999999999</v>
      </c>
      <c r="H250" s="2">
        <v>1805</v>
      </c>
      <c r="I250" s="2">
        <v>4</v>
      </c>
      <c r="J250" s="1">
        <v>2753.4874</v>
      </c>
      <c r="K250" s="1">
        <v>689.39120000000003</v>
      </c>
      <c r="L250" s="9" t="s">
        <v>2586</v>
      </c>
      <c r="M250" s="2">
        <v>9.6999999999999993</v>
      </c>
      <c r="N250" s="4">
        <v>7162.54</v>
      </c>
      <c r="O250" s="1">
        <v>-17.515454215255431</v>
      </c>
      <c r="P250" s="6">
        <v>35.6</v>
      </c>
      <c r="Q250" s="6">
        <v>29.3</v>
      </c>
      <c r="R250" s="6">
        <v>11.8</v>
      </c>
      <c r="S250" s="6">
        <v>8.9</v>
      </c>
      <c r="T250" s="5">
        <v>2.4E-2</v>
      </c>
      <c r="U250" s="1">
        <v>-4.8300000000000003E-2</v>
      </c>
      <c r="V250" s="1">
        <v>2.3570000000000002</v>
      </c>
    </row>
    <row r="251" spans="1:22" x14ac:dyDescent="0.25">
      <c r="A251" s="1">
        <v>0.99039999999999995</v>
      </c>
      <c r="B251" s="9" t="s">
        <v>3894</v>
      </c>
      <c r="C251" s="2">
        <v>5392</v>
      </c>
      <c r="D251" s="2" t="s">
        <v>280</v>
      </c>
      <c r="E251" s="9" t="s">
        <v>3889</v>
      </c>
      <c r="F251" s="9" t="s">
        <v>3890</v>
      </c>
      <c r="G251" s="1">
        <v>1462.8217</v>
      </c>
      <c r="H251" s="2">
        <v>1259</v>
      </c>
      <c r="I251" s="2">
        <v>2</v>
      </c>
      <c r="J251" s="1">
        <v>1462.7892999999999</v>
      </c>
      <c r="K251" s="1">
        <v>732.41809999999998</v>
      </c>
      <c r="L251" s="9" t="s">
        <v>2538</v>
      </c>
      <c r="M251" s="2">
        <v>10</v>
      </c>
      <c r="N251" s="4">
        <v>7179.1</v>
      </c>
      <c r="O251" s="1">
        <v>-22.118514001770301</v>
      </c>
      <c r="P251" s="6">
        <v>42</v>
      </c>
      <c r="Q251" s="6">
        <v>31.8</v>
      </c>
      <c r="R251" s="6">
        <v>11.1</v>
      </c>
      <c r="S251" s="6">
        <v>10.7</v>
      </c>
      <c r="T251" s="5">
        <v>6.5000000000000002E-2</v>
      </c>
      <c r="U251" s="1">
        <v>-3.2399999999999998E-2</v>
      </c>
      <c r="V251" s="1">
        <v>2.6907000000000001</v>
      </c>
    </row>
    <row r="252" spans="1:22" x14ac:dyDescent="0.25">
      <c r="A252" s="1">
        <v>0.99380000000000002</v>
      </c>
      <c r="B252" s="9" t="s">
        <v>3895</v>
      </c>
      <c r="C252" s="2">
        <v>5409</v>
      </c>
      <c r="D252" s="2" t="s">
        <v>280</v>
      </c>
      <c r="E252" s="9" t="s">
        <v>3889</v>
      </c>
      <c r="F252" s="9" t="s">
        <v>3890</v>
      </c>
      <c r="G252" s="1">
        <v>1462.8217</v>
      </c>
      <c r="H252" s="2">
        <v>1260</v>
      </c>
      <c r="I252" s="2">
        <v>2</v>
      </c>
      <c r="J252" s="1">
        <v>1462.79</v>
      </c>
      <c r="K252" s="1">
        <v>732.41809999999998</v>
      </c>
      <c r="L252" s="9" t="s">
        <v>2538</v>
      </c>
      <c r="M252" s="2">
        <v>10</v>
      </c>
      <c r="N252" s="4">
        <v>7200.25</v>
      </c>
      <c r="O252" s="1">
        <v>-21.640644872102424</v>
      </c>
      <c r="P252" s="6">
        <v>40.799999999999997</v>
      </c>
      <c r="Q252" s="6">
        <v>31.2</v>
      </c>
      <c r="R252" s="6">
        <v>10.3</v>
      </c>
      <c r="S252" s="6">
        <v>9</v>
      </c>
      <c r="T252" s="5">
        <v>3.2000000000000001E-2</v>
      </c>
      <c r="U252" s="1">
        <v>-3.1699999999999999E-2</v>
      </c>
      <c r="V252" s="1">
        <v>2.9716</v>
      </c>
    </row>
    <row r="253" spans="1:22" x14ac:dyDescent="0.25">
      <c r="A253" s="1">
        <v>0.99870000000000003</v>
      </c>
      <c r="B253" s="9" t="s">
        <v>3896</v>
      </c>
      <c r="C253" s="2">
        <v>5418</v>
      </c>
      <c r="D253" s="2" t="s">
        <v>178</v>
      </c>
      <c r="E253" s="9" t="s">
        <v>3897</v>
      </c>
      <c r="F253" s="9" t="s">
        <v>3898</v>
      </c>
      <c r="G253" s="1">
        <v>1713.8536999999999</v>
      </c>
      <c r="H253" s="2">
        <v>1261</v>
      </c>
      <c r="I253" s="2">
        <v>2</v>
      </c>
      <c r="J253" s="1">
        <v>1713.7835</v>
      </c>
      <c r="K253" s="1">
        <v>857.93409999999994</v>
      </c>
      <c r="L253" s="9" t="s">
        <v>3899</v>
      </c>
      <c r="M253" s="2">
        <v>4.46</v>
      </c>
      <c r="N253" s="4">
        <v>7211.3</v>
      </c>
      <c r="O253" s="1">
        <v>-40.912233235629643</v>
      </c>
      <c r="P253" s="6">
        <v>40.200000000000003</v>
      </c>
      <c r="Q253" s="6">
        <v>29.2</v>
      </c>
      <c r="R253" s="6">
        <v>11.4</v>
      </c>
      <c r="S253" s="6">
        <v>11.1</v>
      </c>
      <c r="T253" s="5">
        <v>3.8E-3</v>
      </c>
      <c r="U253" s="1">
        <v>-7.0199999999999999E-2</v>
      </c>
      <c r="V253" s="1">
        <v>4.0872000000000002</v>
      </c>
    </row>
    <row r="254" spans="1:22" x14ac:dyDescent="0.25">
      <c r="A254" s="1">
        <v>0.99990000000000001</v>
      </c>
      <c r="B254" s="9" t="s">
        <v>3900</v>
      </c>
      <c r="C254" s="2">
        <v>5441</v>
      </c>
      <c r="D254" s="2" t="s">
        <v>2151</v>
      </c>
      <c r="E254" s="9" t="s">
        <v>3901</v>
      </c>
      <c r="F254" s="9" t="s">
        <v>2585</v>
      </c>
      <c r="G254" s="1">
        <v>2002.1137000000001</v>
      </c>
      <c r="H254" s="2">
        <v>1266</v>
      </c>
      <c r="I254" s="2">
        <v>3</v>
      </c>
      <c r="J254" s="1">
        <v>2002.0757000000001</v>
      </c>
      <c r="K254" s="1">
        <v>668.37850000000003</v>
      </c>
      <c r="L254" s="9" t="s">
        <v>2586</v>
      </c>
      <c r="M254" s="2">
        <v>8.69</v>
      </c>
      <c r="N254" s="4">
        <v>7250.25</v>
      </c>
      <c r="O254" s="1">
        <v>-18.951337702614111</v>
      </c>
      <c r="P254" s="6">
        <v>53.6</v>
      </c>
      <c r="Q254" s="6">
        <v>31.9</v>
      </c>
      <c r="R254" s="6">
        <v>11</v>
      </c>
      <c r="S254" s="6">
        <v>10.7</v>
      </c>
      <c r="T254" s="5">
        <v>4.3000000000000002E-5</v>
      </c>
      <c r="U254" s="1">
        <v>-3.7999999999999999E-2</v>
      </c>
      <c r="V254" s="1">
        <v>6.8480999999999996</v>
      </c>
    </row>
    <row r="255" spans="1:22" x14ac:dyDescent="0.25">
      <c r="A255" s="1">
        <v>0.99980000000000002</v>
      </c>
      <c r="B255" s="9" t="s">
        <v>3902</v>
      </c>
      <c r="C255" s="2">
        <v>5442</v>
      </c>
      <c r="D255" s="2" t="s">
        <v>3565</v>
      </c>
      <c r="E255" s="9" t="s">
        <v>3903</v>
      </c>
      <c r="F255" s="9" t="s">
        <v>2585</v>
      </c>
      <c r="G255" s="1">
        <v>2154.1716999999999</v>
      </c>
      <c r="H255" s="2">
        <v>1650</v>
      </c>
      <c r="I255" s="2">
        <v>3</v>
      </c>
      <c r="J255" s="1">
        <v>2154.1273999999999</v>
      </c>
      <c r="K255" s="1">
        <v>719.06449999999995</v>
      </c>
      <c r="L255" s="9" t="s">
        <v>2586</v>
      </c>
      <c r="M255" s="2">
        <v>8.6300000000000008</v>
      </c>
      <c r="N255" s="4">
        <v>7254.55</v>
      </c>
      <c r="O255" s="1">
        <v>-20.535941722427772</v>
      </c>
      <c r="P255" s="6">
        <v>44</v>
      </c>
      <c r="Q255" s="6">
        <v>26.8</v>
      </c>
      <c r="R255" s="6">
        <v>10.5</v>
      </c>
      <c r="S255" s="6">
        <v>12</v>
      </c>
      <c r="T255" s="5">
        <v>2.8E-5</v>
      </c>
      <c r="U255" s="1">
        <v>-4.4299999999999999E-2</v>
      </c>
      <c r="V255" s="1">
        <v>6.6364999999999998</v>
      </c>
    </row>
    <row r="256" spans="1:22" x14ac:dyDescent="0.25">
      <c r="A256" s="1">
        <v>0.99970000000000003</v>
      </c>
      <c r="B256" s="9" t="s">
        <v>3904</v>
      </c>
      <c r="C256" s="2">
        <v>5443</v>
      </c>
      <c r="D256" s="2" t="s">
        <v>3822</v>
      </c>
      <c r="E256" s="9" t="s">
        <v>3901</v>
      </c>
      <c r="F256" s="9" t="s">
        <v>2585</v>
      </c>
      <c r="G256" s="1">
        <v>2002.1137000000001</v>
      </c>
      <c r="H256" s="2">
        <v>1267</v>
      </c>
      <c r="I256" s="2">
        <v>3</v>
      </c>
      <c r="J256" s="1">
        <v>2002.4372000000001</v>
      </c>
      <c r="K256" s="1">
        <v>668.37850000000003</v>
      </c>
      <c r="L256" s="9" t="s">
        <v>2586</v>
      </c>
      <c r="M256" s="2">
        <v>8.69</v>
      </c>
      <c r="N256" s="4">
        <v>7250.25</v>
      </c>
      <c r="O256" s="1">
        <v>161.3357301788333</v>
      </c>
      <c r="P256" s="6">
        <v>50</v>
      </c>
      <c r="Q256" s="6">
        <v>30.6</v>
      </c>
      <c r="R256" s="6">
        <v>11.2</v>
      </c>
      <c r="S256" s="6">
        <v>11.2</v>
      </c>
      <c r="T256" s="5">
        <v>8.8000000000000004E-6</v>
      </c>
      <c r="U256" s="1">
        <v>0.32350000000000001</v>
      </c>
      <c r="V256" s="1">
        <v>7.5166000000000004</v>
      </c>
    </row>
    <row r="257" spans="1:22" x14ac:dyDescent="0.25">
      <c r="A257" s="1">
        <v>0.99519999999999997</v>
      </c>
      <c r="B257" s="9" t="s">
        <v>3905</v>
      </c>
      <c r="C257" s="2">
        <v>5480</v>
      </c>
      <c r="D257" s="2" t="s">
        <v>2337</v>
      </c>
      <c r="E257" s="9" t="s">
        <v>3906</v>
      </c>
      <c r="F257" s="9" t="s">
        <v>112</v>
      </c>
      <c r="G257" s="1">
        <v>2476.4337</v>
      </c>
      <c r="H257" s="2">
        <v>1269</v>
      </c>
      <c r="I257" s="2">
        <v>3</v>
      </c>
      <c r="J257" s="1">
        <v>2476.3557999999998</v>
      </c>
      <c r="K257" s="1">
        <v>826.48519999999996</v>
      </c>
      <c r="L257" s="9" t="s">
        <v>113</v>
      </c>
      <c r="M257" s="2">
        <v>6.26</v>
      </c>
      <c r="N257" s="4">
        <v>7314.75</v>
      </c>
      <c r="O257" s="1">
        <v>-31.418187121398748</v>
      </c>
      <c r="P257" s="6">
        <v>35.1</v>
      </c>
      <c r="Q257" s="6">
        <v>27.3</v>
      </c>
      <c r="R257" s="6">
        <v>12.1</v>
      </c>
      <c r="S257" s="6">
        <v>10.4</v>
      </c>
      <c r="T257" s="5">
        <v>3.4000000000000002E-2</v>
      </c>
      <c r="U257" s="1">
        <v>-7.7899999999999997E-2</v>
      </c>
      <c r="V257" s="1">
        <v>2.5893999999999999</v>
      </c>
    </row>
    <row r="258" spans="1:22" x14ac:dyDescent="0.25">
      <c r="A258" s="1">
        <v>0.98360000000000003</v>
      </c>
      <c r="B258" s="9" t="s">
        <v>3907</v>
      </c>
      <c r="C258" s="2">
        <v>5512</v>
      </c>
      <c r="D258" s="2" t="s">
        <v>209</v>
      </c>
      <c r="E258" s="9" t="s">
        <v>3908</v>
      </c>
      <c r="F258" s="9" t="s">
        <v>732</v>
      </c>
      <c r="G258" s="1">
        <v>2581.3726000000001</v>
      </c>
      <c r="H258" s="2">
        <v>1690</v>
      </c>
      <c r="I258" s="2">
        <v>4</v>
      </c>
      <c r="J258" s="1">
        <v>2581.3643000000002</v>
      </c>
      <c r="K258" s="1">
        <v>646.35040000000004</v>
      </c>
      <c r="L258" s="9" t="s">
        <v>733</v>
      </c>
      <c r="M258" s="2">
        <v>8.59</v>
      </c>
      <c r="N258" s="4">
        <v>7371.41</v>
      </c>
      <c r="O258" s="1">
        <v>-3.2103329710943167</v>
      </c>
      <c r="P258" s="6">
        <v>39.200000000000003</v>
      </c>
      <c r="Q258" s="6">
        <v>27.3</v>
      </c>
      <c r="R258" s="6">
        <v>10.3</v>
      </c>
      <c r="S258" s="6">
        <v>10.8</v>
      </c>
      <c r="T258" s="5">
        <v>2.2000000000000001E-3</v>
      </c>
      <c r="U258" s="1">
        <v>-8.3000000000000001E-3</v>
      </c>
      <c r="V258" s="1">
        <v>4.1955999999999998</v>
      </c>
    </row>
    <row r="259" spans="1:22" x14ac:dyDescent="0.25">
      <c r="A259" s="1">
        <v>0.98709999999999998</v>
      </c>
      <c r="B259" s="9" t="s">
        <v>3909</v>
      </c>
      <c r="C259" s="2">
        <v>5525</v>
      </c>
      <c r="D259" s="2" t="s">
        <v>1304</v>
      </c>
      <c r="E259" s="9" t="s">
        <v>3910</v>
      </c>
      <c r="F259" s="9" t="s">
        <v>829</v>
      </c>
      <c r="G259" s="1">
        <v>1627.8487</v>
      </c>
      <c r="H259" s="2">
        <v>65</v>
      </c>
      <c r="I259" s="2">
        <v>2</v>
      </c>
      <c r="J259" s="1">
        <v>1627.8150000000001</v>
      </c>
      <c r="K259" s="1">
        <v>814.9316</v>
      </c>
      <c r="L259" s="9" t="s">
        <v>827</v>
      </c>
      <c r="M259" s="2">
        <v>4.75</v>
      </c>
      <c r="N259" s="4">
        <v>7387.76</v>
      </c>
      <c r="O259" s="1">
        <v>-20.676581936447182</v>
      </c>
      <c r="P259" s="6">
        <v>33.799999999999997</v>
      </c>
      <c r="Q259" s="6">
        <v>23.1</v>
      </c>
      <c r="R259" s="6">
        <v>12.4</v>
      </c>
      <c r="S259" s="6">
        <v>13.1</v>
      </c>
      <c r="T259" s="5">
        <v>2.2000000000000001E-3</v>
      </c>
      <c r="U259" s="1">
        <v>-3.3700000000000001E-2</v>
      </c>
      <c r="V259" s="1">
        <v>4.2358000000000002</v>
      </c>
    </row>
    <row r="260" spans="1:22" x14ac:dyDescent="0.25">
      <c r="A260" s="1">
        <v>0.98960000000000004</v>
      </c>
      <c r="B260" s="9" t="s">
        <v>3911</v>
      </c>
      <c r="C260" s="2">
        <v>5539</v>
      </c>
      <c r="D260" s="2" t="s">
        <v>423</v>
      </c>
      <c r="E260" s="9" t="s">
        <v>3912</v>
      </c>
      <c r="F260" s="9" t="s">
        <v>829</v>
      </c>
      <c r="G260" s="1">
        <v>1397.7587000000001</v>
      </c>
      <c r="H260" s="2">
        <v>170</v>
      </c>
      <c r="I260" s="2">
        <v>2</v>
      </c>
      <c r="J260" s="1">
        <v>1397.7316000000001</v>
      </c>
      <c r="K260" s="1">
        <v>699.88660000000004</v>
      </c>
      <c r="L260" s="9" t="s">
        <v>827</v>
      </c>
      <c r="M260" s="2">
        <v>6.09</v>
      </c>
      <c r="N260" s="4">
        <v>7408.62</v>
      </c>
      <c r="O260" s="1">
        <v>-19.360279222376882</v>
      </c>
      <c r="P260" s="6">
        <v>36.200000000000003</v>
      </c>
      <c r="Q260" s="6">
        <v>25.2</v>
      </c>
      <c r="R260" s="6">
        <v>11</v>
      </c>
      <c r="S260" s="6">
        <v>12.8</v>
      </c>
      <c r="T260" s="5">
        <v>7.6E-3</v>
      </c>
      <c r="U260" s="1">
        <v>-2.7099999999999999E-2</v>
      </c>
      <c r="V260" s="1">
        <v>3.9138000000000002</v>
      </c>
    </row>
    <row r="261" spans="1:22" x14ac:dyDescent="0.25">
      <c r="A261" s="1">
        <v>0.998</v>
      </c>
      <c r="B261" s="9" t="s">
        <v>3913</v>
      </c>
      <c r="C261" s="2">
        <v>5554</v>
      </c>
      <c r="D261" s="2" t="s">
        <v>280</v>
      </c>
      <c r="E261" s="9" t="s">
        <v>3912</v>
      </c>
      <c r="F261" s="9" t="s">
        <v>829</v>
      </c>
      <c r="G261" s="1">
        <v>1397.7587000000001</v>
      </c>
      <c r="H261" s="2">
        <v>744</v>
      </c>
      <c r="I261" s="2">
        <v>2</v>
      </c>
      <c r="J261" s="1">
        <v>1397.7311</v>
      </c>
      <c r="K261" s="1">
        <v>699.88660000000004</v>
      </c>
      <c r="L261" s="9" t="s">
        <v>827</v>
      </c>
      <c r="M261" s="2">
        <v>6.09</v>
      </c>
      <c r="N261" s="4">
        <v>7430.52</v>
      </c>
      <c r="O261" s="1">
        <v>-19.717479946036971</v>
      </c>
      <c r="P261" s="6">
        <v>42.9</v>
      </c>
      <c r="Q261" s="6">
        <v>26.7</v>
      </c>
      <c r="R261" s="6">
        <v>10.8</v>
      </c>
      <c r="S261" s="6">
        <v>12.8</v>
      </c>
      <c r="T261" s="5">
        <v>5.5999999999999995E-4</v>
      </c>
      <c r="U261" s="1">
        <v>-2.76E-2</v>
      </c>
      <c r="V261" s="1">
        <v>5.3983999999999996</v>
      </c>
    </row>
    <row r="262" spans="1:22" x14ac:dyDescent="0.25">
      <c r="A262" s="1">
        <v>0.99880000000000002</v>
      </c>
      <c r="B262" s="9" t="s">
        <v>3914</v>
      </c>
      <c r="C262" s="2">
        <v>5569</v>
      </c>
      <c r="D262" s="2" t="s">
        <v>178</v>
      </c>
      <c r="E262" s="9" t="s">
        <v>3912</v>
      </c>
      <c r="F262" s="9" t="s">
        <v>829</v>
      </c>
      <c r="G262" s="1">
        <v>1397.7587000000001</v>
      </c>
      <c r="H262" s="2">
        <v>291</v>
      </c>
      <c r="I262" s="2">
        <v>2</v>
      </c>
      <c r="J262" s="1">
        <v>1397.7367999999999</v>
      </c>
      <c r="K262" s="1">
        <v>699.88660000000004</v>
      </c>
      <c r="L262" s="9" t="s">
        <v>827</v>
      </c>
      <c r="M262" s="2">
        <v>6.09</v>
      </c>
      <c r="N262" s="4">
        <v>7453.92</v>
      </c>
      <c r="O262" s="1">
        <v>-15.645391696311945</v>
      </c>
      <c r="P262" s="6">
        <v>39.299999999999997</v>
      </c>
      <c r="Q262" s="6">
        <v>24.3</v>
      </c>
      <c r="R262" s="6">
        <v>10.7</v>
      </c>
      <c r="S262" s="6">
        <v>12.6</v>
      </c>
      <c r="T262" s="5">
        <v>1.2999999999999999E-4</v>
      </c>
      <c r="U262" s="1">
        <v>-2.1899999999999999E-2</v>
      </c>
      <c r="V262" s="1">
        <v>6.0644999999999998</v>
      </c>
    </row>
    <row r="263" spans="1:22" x14ac:dyDescent="0.25">
      <c r="A263" s="1">
        <v>0.97889999999999999</v>
      </c>
      <c r="B263" s="9" t="s">
        <v>3915</v>
      </c>
      <c r="C263" s="2">
        <v>5603</v>
      </c>
      <c r="D263" s="2" t="s">
        <v>183</v>
      </c>
      <c r="E263" s="9" t="s">
        <v>2358</v>
      </c>
      <c r="F263" s="9" t="s">
        <v>282</v>
      </c>
      <c r="G263" s="1">
        <v>1177.6167</v>
      </c>
      <c r="H263" s="2">
        <v>1273</v>
      </c>
      <c r="I263" s="2">
        <v>2</v>
      </c>
      <c r="J263" s="1">
        <v>1177.5824</v>
      </c>
      <c r="K263" s="1">
        <v>589.81560000000002</v>
      </c>
      <c r="L263" s="9" t="s">
        <v>283</v>
      </c>
      <c r="M263" s="2">
        <v>5.08</v>
      </c>
      <c r="N263" s="4">
        <v>7509.62</v>
      </c>
      <c r="O263" s="1">
        <v>-29.076884368606052</v>
      </c>
      <c r="P263" s="6">
        <v>32.5</v>
      </c>
      <c r="Q263" s="6">
        <v>23.5</v>
      </c>
      <c r="R263" s="6">
        <v>11.8</v>
      </c>
      <c r="S263" s="6">
        <v>9.3000000000000007</v>
      </c>
      <c r="T263" s="5">
        <v>1.2999999999999999E-2</v>
      </c>
      <c r="U263" s="1">
        <v>-3.4299999999999997E-2</v>
      </c>
      <c r="V263" s="1">
        <v>3.9984000000000002</v>
      </c>
    </row>
    <row r="264" spans="1:22" x14ac:dyDescent="0.25">
      <c r="A264" s="1">
        <v>0.99890000000000001</v>
      </c>
      <c r="B264" s="9" t="s">
        <v>3916</v>
      </c>
      <c r="C264" s="2">
        <v>5767</v>
      </c>
      <c r="D264" s="2" t="s">
        <v>3917</v>
      </c>
      <c r="E264" s="9" t="s">
        <v>3918</v>
      </c>
      <c r="F264" s="9" t="s">
        <v>2392</v>
      </c>
      <c r="G264" s="1">
        <v>4516.4216999999999</v>
      </c>
      <c r="H264" s="2">
        <v>1691</v>
      </c>
      <c r="I264" s="2">
        <v>4</v>
      </c>
      <c r="J264" s="1">
        <v>4517.3307000000004</v>
      </c>
      <c r="K264" s="1">
        <v>1130.1126999999999</v>
      </c>
      <c r="L264" s="9" t="s">
        <v>2393</v>
      </c>
      <c r="M264" s="2">
        <v>4.72</v>
      </c>
      <c r="N264" s="4">
        <v>7793.58</v>
      </c>
      <c r="O264" s="1">
        <v>-20.872918249657751</v>
      </c>
      <c r="P264" s="6">
        <v>46.1</v>
      </c>
      <c r="Q264" s="6">
        <v>31.8</v>
      </c>
      <c r="R264" s="6">
        <v>12.9</v>
      </c>
      <c r="S264" s="6">
        <v>9.5</v>
      </c>
      <c r="T264" s="5">
        <v>1.7000000000000001E-4</v>
      </c>
      <c r="U264" s="1">
        <v>0.90900000000000003</v>
      </c>
      <c r="V264" s="1">
        <v>4.0225</v>
      </c>
    </row>
    <row r="265" spans="1:22" x14ac:dyDescent="0.25">
      <c r="A265" s="1">
        <v>0.96799999999999997</v>
      </c>
      <c r="B265" s="9" t="s">
        <v>3919</v>
      </c>
      <c r="C265" s="2">
        <v>5820</v>
      </c>
      <c r="D265" s="2" t="s">
        <v>3493</v>
      </c>
      <c r="E265" s="9" t="s">
        <v>3920</v>
      </c>
      <c r="F265" s="9" t="s">
        <v>2585</v>
      </c>
      <c r="G265" s="1">
        <v>2597.4097000000002</v>
      </c>
      <c r="H265" s="2">
        <v>1281</v>
      </c>
      <c r="I265" s="2">
        <v>3</v>
      </c>
      <c r="J265" s="1">
        <v>2597.3647999999998</v>
      </c>
      <c r="K265" s="1">
        <v>866.81050000000005</v>
      </c>
      <c r="L265" s="9" t="s">
        <v>2586</v>
      </c>
      <c r="M265" s="2">
        <v>8.6300000000000008</v>
      </c>
      <c r="N265" s="4">
        <v>7874.74</v>
      </c>
      <c r="O265" s="1">
        <v>-17.266365216695768</v>
      </c>
      <c r="P265" s="6">
        <v>34.799999999999997</v>
      </c>
      <c r="Q265" s="6">
        <v>25.9</v>
      </c>
      <c r="R265" s="6">
        <v>9.6999999999999993</v>
      </c>
      <c r="S265" s="6">
        <v>8.6999999999999993</v>
      </c>
      <c r="T265" s="5">
        <v>1.2999999999999999E-2</v>
      </c>
      <c r="U265" s="1">
        <v>-4.4900000000000002E-2</v>
      </c>
      <c r="V265" s="1">
        <v>2.9601000000000002</v>
      </c>
    </row>
    <row r="266" spans="1:22" x14ac:dyDescent="0.25">
      <c r="A266" s="1">
        <v>1</v>
      </c>
      <c r="B266" s="9" t="s">
        <v>3921</v>
      </c>
      <c r="C266" s="2">
        <v>5840</v>
      </c>
      <c r="D266" s="2" t="s">
        <v>3119</v>
      </c>
      <c r="E266" s="9" t="s">
        <v>3922</v>
      </c>
      <c r="F266" s="9" t="s">
        <v>3923</v>
      </c>
      <c r="G266" s="1">
        <v>2796.4587000000001</v>
      </c>
      <c r="H266" s="2">
        <v>1283</v>
      </c>
      <c r="I266" s="2">
        <v>3</v>
      </c>
      <c r="J266" s="1">
        <v>2796.4052000000001</v>
      </c>
      <c r="K266" s="1">
        <v>933.16020000000003</v>
      </c>
      <c r="L266" s="9" t="s">
        <v>3924</v>
      </c>
      <c r="M266" s="2">
        <v>4.83</v>
      </c>
      <c r="N266" s="4">
        <v>7902.2</v>
      </c>
      <c r="O266" s="1">
        <v>-19.110687889746405</v>
      </c>
      <c r="P266" s="6">
        <v>46.3</v>
      </c>
      <c r="Q266" s="6">
        <v>27.2</v>
      </c>
      <c r="R266" s="6">
        <v>10.4</v>
      </c>
      <c r="S266" s="6">
        <v>11.3</v>
      </c>
      <c r="T266" s="5">
        <v>7.7999999999999999E-6</v>
      </c>
      <c r="U266" s="1">
        <v>-5.3499999999999999E-2</v>
      </c>
      <c r="V266" s="1">
        <v>6.8251999999999997</v>
      </c>
    </row>
    <row r="267" spans="1:22" x14ac:dyDescent="0.25">
      <c r="A267" s="1">
        <v>0.99890000000000001</v>
      </c>
      <c r="B267" s="9" t="s">
        <v>3925</v>
      </c>
      <c r="C267" s="2">
        <v>5861</v>
      </c>
      <c r="D267" s="2" t="s">
        <v>2158</v>
      </c>
      <c r="E267" s="9" t="s">
        <v>3926</v>
      </c>
      <c r="F267" s="9" t="s">
        <v>3927</v>
      </c>
      <c r="G267" s="1">
        <v>2244.0637000000002</v>
      </c>
      <c r="H267" s="2">
        <v>1286</v>
      </c>
      <c r="I267" s="2">
        <v>3</v>
      </c>
      <c r="J267" s="1">
        <v>2244.0093999999999</v>
      </c>
      <c r="K267" s="1">
        <v>749.02850000000001</v>
      </c>
      <c r="L267" s="9" t="s">
        <v>3928</v>
      </c>
      <c r="M267" s="2">
        <v>5.17</v>
      </c>
      <c r="N267" s="4">
        <v>7933</v>
      </c>
      <c r="O267" s="1">
        <v>-24.164634590005591</v>
      </c>
      <c r="P267" s="6">
        <v>40.4</v>
      </c>
      <c r="Q267" s="6">
        <v>25.6</v>
      </c>
      <c r="R267" s="6">
        <v>9.1999999999999993</v>
      </c>
      <c r="S267" s="6">
        <v>12.7</v>
      </c>
      <c r="T267" s="5">
        <v>5.4000000000000001E-4</v>
      </c>
      <c r="U267" s="1">
        <v>-5.4300000000000001E-2</v>
      </c>
      <c r="V267" s="1">
        <v>5.0824999999999996</v>
      </c>
    </row>
    <row r="268" spans="1:22" x14ac:dyDescent="0.25">
      <c r="A268" s="1">
        <v>0.99990000000000001</v>
      </c>
      <c r="B268" s="9" t="s">
        <v>3929</v>
      </c>
      <c r="C268" s="2">
        <v>5886</v>
      </c>
      <c r="D268" s="2" t="s">
        <v>3930</v>
      </c>
      <c r="E268" s="9" t="s">
        <v>3931</v>
      </c>
      <c r="F268" s="9" t="s">
        <v>3932</v>
      </c>
      <c r="G268" s="1">
        <v>2333.2186999999999</v>
      </c>
      <c r="H268" s="2">
        <v>1287</v>
      </c>
      <c r="I268" s="2">
        <v>3</v>
      </c>
      <c r="J268" s="1">
        <v>2333.1648</v>
      </c>
      <c r="K268" s="1">
        <v>778.74680000000001</v>
      </c>
      <c r="L268" s="9" t="s">
        <v>3933</v>
      </c>
      <c r="M268" s="2">
        <v>4.78</v>
      </c>
      <c r="N268" s="4">
        <v>7961.21</v>
      </c>
      <c r="O268" s="1">
        <v>-23.071255851923461</v>
      </c>
      <c r="P268" s="6">
        <v>44.8</v>
      </c>
      <c r="Q268" s="6">
        <v>26.3</v>
      </c>
      <c r="R268" s="6">
        <v>8.8000000000000007</v>
      </c>
      <c r="S268" s="6">
        <v>9.6999999999999993</v>
      </c>
      <c r="T268" s="5">
        <v>1.9000000000000001E-5</v>
      </c>
      <c r="U268" s="1">
        <v>-5.3900000000000003E-2</v>
      </c>
      <c r="V268" s="1">
        <v>7.0827</v>
      </c>
    </row>
    <row r="269" spans="1:22" x14ac:dyDescent="0.25">
      <c r="A269" s="1">
        <v>0.99870000000000003</v>
      </c>
      <c r="B269" s="9" t="s">
        <v>3934</v>
      </c>
      <c r="C269" s="2">
        <v>5928</v>
      </c>
      <c r="D269" s="2" t="s">
        <v>321</v>
      </c>
      <c r="E269" s="9" t="s">
        <v>3935</v>
      </c>
      <c r="F269" s="9" t="s">
        <v>2392</v>
      </c>
      <c r="G269" s="1">
        <v>1746.9857</v>
      </c>
      <c r="H269" s="2">
        <v>1289</v>
      </c>
      <c r="I269" s="2">
        <v>3</v>
      </c>
      <c r="J269" s="1">
        <v>1746.9408000000001</v>
      </c>
      <c r="K269" s="1">
        <v>583.33579999999995</v>
      </c>
      <c r="L269" s="9" t="s">
        <v>2393</v>
      </c>
      <c r="M269" s="2">
        <v>8.75</v>
      </c>
      <c r="N269" s="4">
        <v>8021.92</v>
      </c>
      <c r="O269" s="1">
        <v>-25.657034364540408</v>
      </c>
      <c r="P269" s="6">
        <v>37.700000000000003</v>
      </c>
      <c r="Q269" s="6">
        <v>26</v>
      </c>
      <c r="R269" s="6">
        <v>12.4</v>
      </c>
      <c r="S269" s="6">
        <v>12.5</v>
      </c>
      <c r="T269" s="5">
        <v>4.1999999999999997E-3</v>
      </c>
      <c r="U269" s="1">
        <v>-4.4900000000000002E-2</v>
      </c>
      <c r="V269" s="1">
        <v>4.9572000000000003</v>
      </c>
    </row>
    <row r="270" spans="1:22" x14ac:dyDescent="0.25">
      <c r="A270" s="1">
        <v>1</v>
      </c>
      <c r="B270" s="9" t="s">
        <v>3936</v>
      </c>
      <c r="C270" s="2">
        <v>5933</v>
      </c>
      <c r="D270" s="2" t="s">
        <v>3841</v>
      </c>
      <c r="E270" s="9" t="s">
        <v>3937</v>
      </c>
      <c r="F270" s="9" t="s">
        <v>3660</v>
      </c>
      <c r="G270" s="1">
        <v>3400.6466999999998</v>
      </c>
      <c r="H270" s="2">
        <v>1657</v>
      </c>
      <c r="I270" s="2">
        <v>3</v>
      </c>
      <c r="J270" s="1">
        <v>3400.5810999999999</v>
      </c>
      <c r="K270" s="1">
        <v>1134.5562</v>
      </c>
      <c r="L270" s="9" t="s">
        <v>3661</v>
      </c>
      <c r="M270" s="2">
        <v>4.78</v>
      </c>
      <c r="N270" s="4">
        <v>8033.66</v>
      </c>
      <c r="O270" s="1">
        <v>-19.273321732909018</v>
      </c>
      <c r="P270" s="6">
        <v>56</v>
      </c>
      <c r="Q270" s="6">
        <v>27.1</v>
      </c>
      <c r="R270" s="6">
        <v>10.5</v>
      </c>
      <c r="S270" s="6">
        <v>13.8</v>
      </c>
      <c r="T270" s="5">
        <v>1.6000000000000001E-8</v>
      </c>
      <c r="U270" s="1">
        <v>-6.5600000000000006E-2</v>
      </c>
      <c r="V270" s="1">
        <v>8.9352999999999998</v>
      </c>
    </row>
    <row r="271" spans="1:22" x14ac:dyDescent="0.25">
      <c r="A271" s="1">
        <v>0.99719999999999998</v>
      </c>
      <c r="B271" s="9" t="s">
        <v>3938</v>
      </c>
      <c r="C271" s="2">
        <v>5938</v>
      </c>
      <c r="D271" s="2" t="s">
        <v>78</v>
      </c>
      <c r="E271" s="9" t="s">
        <v>3939</v>
      </c>
      <c r="F271" s="9" t="s">
        <v>2511</v>
      </c>
      <c r="G271" s="1">
        <v>1302.6827000000001</v>
      </c>
      <c r="H271" s="2">
        <v>746</v>
      </c>
      <c r="I271" s="2">
        <v>2</v>
      </c>
      <c r="J271" s="1">
        <v>1302.6454000000001</v>
      </c>
      <c r="K271" s="1">
        <v>652.34860000000003</v>
      </c>
      <c r="L271" s="9" t="s">
        <v>2512</v>
      </c>
      <c r="M271" s="2">
        <v>8.23</v>
      </c>
      <c r="N271" s="4">
        <v>8040.06</v>
      </c>
      <c r="O271" s="1">
        <v>-28.589009005307897</v>
      </c>
      <c r="P271" s="6">
        <v>39.6</v>
      </c>
      <c r="Q271" s="6">
        <v>26.5</v>
      </c>
      <c r="R271" s="6">
        <v>7.9</v>
      </c>
      <c r="S271" s="6">
        <v>11.6</v>
      </c>
      <c r="T271" s="5">
        <v>4.2999999999999999E-4</v>
      </c>
      <c r="U271" s="1">
        <v>-3.73E-2</v>
      </c>
      <c r="V271" s="1">
        <v>5.9958999999999998</v>
      </c>
    </row>
    <row r="272" spans="1:22" x14ac:dyDescent="0.25">
      <c r="A272" s="1">
        <v>0.998</v>
      </c>
      <c r="B272" s="9" t="s">
        <v>3940</v>
      </c>
      <c r="C272" s="2">
        <v>5980</v>
      </c>
      <c r="D272" s="2" t="s">
        <v>115</v>
      </c>
      <c r="E272" s="9" t="s">
        <v>3941</v>
      </c>
      <c r="F272" s="9" t="s">
        <v>1847</v>
      </c>
      <c r="G272" s="1">
        <v>1566.7867000000001</v>
      </c>
      <c r="H272" s="2">
        <v>1585</v>
      </c>
      <c r="I272" s="2">
        <v>2</v>
      </c>
      <c r="J272" s="1">
        <v>1566.7525000000001</v>
      </c>
      <c r="K272" s="1">
        <v>784.40060000000005</v>
      </c>
      <c r="L272" s="9" t="s">
        <v>1848</v>
      </c>
      <c r="M272" s="2">
        <v>6</v>
      </c>
      <c r="N272" s="4">
        <v>8107.12</v>
      </c>
      <c r="O272" s="1">
        <v>-21.800085313550245</v>
      </c>
      <c r="P272" s="6">
        <v>46.5</v>
      </c>
      <c r="Q272" s="6">
        <v>26.1</v>
      </c>
      <c r="R272" s="6">
        <v>10.3</v>
      </c>
      <c r="S272" s="6">
        <v>11.1</v>
      </c>
      <c r="T272" s="5">
        <v>3.5999999999999998E-6</v>
      </c>
      <c r="U272" s="1">
        <v>-3.4200000000000001E-2</v>
      </c>
      <c r="V272" s="1">
        <v>7.9092000000000002</v>
      </c>
    </row>
    <row r="273" spans="1:22" x14ac:dyDescent="0.25">
      <c r="A273" s="1">
        <v>1</v>
      </c>
      <c r="B273" s="9" t="s">
        <v>3942</v>
      </c>
      <c r="C273" s="2">
        <v>5991</v>
      </c>
      <c r="D273" s="2" t="s">
        <v>777</v>
      </c>
      <c r="E273" s="9" t="s">
        <v>3943</v>
      </c>
      <c r="F273" s="9" t="s">
        <v>1478</v>
      </c>
      <c r="G273" s="1">
        <v>2042.1487</v>
      </c>
      <c r="H273" s="2">
        <v>1659</v>
      </c>
      <c r="I273" s="2">
        <v>3</v>
      </c>
      <c r="J273" s="1">
        <v>2042.1228000000001</v>
      </c>
      <c r="K273" s="1">
        <v>681.72349999999994</v>
      </c>
      <c r="L273" s="9" t="s">
        <v>1479</v>
      </c>
      <c r="M273" s="2">
        <v>6.12</v>
      </c>
      <c r="N273" s="4">
        <v>8127.37</v>
      </c>
      <c r="O273" s="1">
        <v>-12.663980827026403</v>
      </c>
      <c r="P273" s="6">
        <v>53.1</v>
      </c>
      <c r="Q273" s="6">
        <v>34</v>
      </c>
      <c r="R273" s="6">
        <v>13.2</v>
      </c>
      <c r="S273" s="6">
        <v>13</v>
      </c>
      <c r="T273" s="5">
        <v>5.7000000000000003E-5</v>
      </c>
      <c r="U273" s="1">
        <v>-2.5899999999999999E-2</v>
      </c>
      <c r="V273" s="1">
        <v>6.6851000000000003</v>
      </c>
    </row>
    <row r="274" spans="1:22" x14ac:dyDescent="0.25">
      <c r="A274" s="1">
        <v>0.98850000000000005</v>
      </c>
      <c r="B274" s="9" t="s">
        <v>3944</v>
      </c>
      <c r="C274" s="2">
        <v>6002</v>
      </c>
      <c r="D274" s="2" t="s">
        <v>2467</v>
      </c>
      <c r="E274" s="9" t="s">
        <v>3945</v>
      </c>
      <c r="F274" s="9" t="s">
        <v>3946</v>
      </c>
      <c r="G274" s="1">
        <v>1340.7197000000001</v>
      </c>
      <c r="H274" s="2">
        <v>68</v>
      </c>
      <c r="I274" s="2">
        <v>2</v>
      </c>
      <c r="J274" s="1">
        <v>1340.6857</v>
      </c>
      <c r="K274" s="1">
        <v>671.36710000000005</v>
      </c>
      <c r="L274" s="9" t="s">
        <v>3947</v>
      </c>
      <c r="M274" s="2">
        <v>6.76</v>
      </c>
      <c r="N274" s="4">
        <v>8139.42</v>
      </c>
      <c r="O274" s="1">
        <v>-25.321467197305317</v>
      </c>
      <c r="P274" s="6">
        <v>27.7</v>
      </c>
      <c r="Q274" s="6">
        <v>19</v>
      </c>
      <c r="R274" s="6">
        <v>10.8</v>
      </c>
      <c r="S274" s="6">
        <v>10</v>
      </c>
      <c r="T274" s="5">
        <v>4.5999999999999999E-3</v>
      </c>
      <c r="U274" s="1">
        <v>-3.4000000000000002E-2</v>
      </c>
      <c r="V274" s="1">
        <v>4.5114000000000001</v>
      </c>
    </row>
    <row r="275" spans="1:22" x14ac:dyDescent="0.25">
      <c r="A275" s="1">
        <v>0.99760000000000004</v>
      </c>
      <c r="B275" s="9" t="s">
        <v>3948</v>
      </c>
      <c r="C275" s="2">
        <v>6018</v>
      </c>
      <c r="D275" s="2" t="s">
        <v>105</v>
      </c>
      <c r="E275" s="9" t="s">
        <v>3949</v>
      </c>
      <c r="F275" s="9" t="s">
        <v>3529</v>
      </c>
      <c r="G275" s="1">
        <v>1850.8326999999999</v>
      </c>
      <c r="H275" s="2">
        <v>1297</v>
      </c>
      <c r="I275" s="2">
        <v>2</v>
      </c>
      <c r="J275" s="1">
        <v>1850.7933</v>
      </c>
      <c r="K275" s="1">
        <v>926.42359999999996</v>
      </c>
      <c r="L275" s="9" t="s">
        <v>3530</v>
      </c>
      <c r="M275" s="2">
        <v>4.22</v>
      </c>
      <c r="N275" s="4">
        <v>8163.37</v>
      </c>
      <c r="O275" s="1">
        <v>-21.264570548505027</v>
      </c>
      <c r="P275" s="6">
        <v>45</v>
      </c>
      <c r="Q275" s="6">
        <v>25.6</v>
      </c>
      <c r="R275" s="6">
        <v>11.3</v>
      </c>
      <c r="S275" s="6">
        <v>9.1999999999999993</v>
      </c>
      <c r="T275" s="5">
        <v>3.0000000000000001E-5</v>
      </c>
      <c r="U275" s="1">
        <v>-3.9399999999999998E-2</v>
      </c>
      <c r="V275" s="1">
        <v>6.6969000000000003</v>
      </c>
    </row>
    <row r="276" spans="1:22" x14ac:dyDescent="0.25">
      <c r="A276" s="1">
        <v>0.99690000000000001</v>
      </c>
      <c r="B276" s="9" t="s">
        <v>3950</v>
      </c>
      <c r="C276" s="2">
        <v>6038</v>
      </c>
      <c r="D276" s="2" t="s">
        <v>115</v>
      </c>
      <c r="E276" s="9" t="s">
        <v>3951</v>
      </c>
      <c r="F276" s="9" t="s">
        <v>1839</v>
      </c>
      <c r="G276" s="1">
        <v>1527.8737000000001</v>
      </c>
      <c r="H276" s="2">
        <v>1298</v>
      </c>
      <c r="I276" s="2">
        <v>2</v>
      </c>
      <c r="J276" s="1">
        <v>1527.8375000000001</v>
      </c>
      <c r="K276" s="1">
        <v>764.94410000000005</v>
      </c>
      <c r="L276" s="9" t="s">
        <v>1840</v>
      </c>
      <c r="M276" s="2">
        <v>8.7200000000000006</v>
      </c>
      <c r="N276" s="4">
        <v>8196.82</v>
      </c>
      <c r="O276" s="1">
        <v>-23.661859735894428</v>
      </c>
      <c r="P276" s="6">
        <v>44.7</v>
      </c>
      <c r="Q276" s="6">
        <v>27.1</v>
      </c>
      <c r="R276" s="6">
        <v>9</v>
      </c>
      <c r="S276" s="6">
        <v>11.1</v>
      </c>
      <c r="T276" s="5">
        <v>1.2999999999999999E-4</v>
      </c>
      <c r="U276" s="1">
        <v>-3.6200000000000003E-2</v>
      </c>
      <c r="V276" s="1">
        <v>6.1180000000000003</v>
      </c>
    </row>
    <row r="277" spans="1:22" x14ac:dyDescent="0.25">
      <c r="A277" s="1">
        <v>0.9869</v>
      </c>
      <c r="B277" s="9" t="s">
        <v>3952</v>
      </c>
      <c r="C277" s="2">
        <v>6045</v>
      </c>
      <c r="D277" s="2" t="s">
        <v>105</v>
      </c>
      <c r="E277" s="9" t="s">
        <v>3953</v>
      </c>
      <c r="F277" s="9" t="s">
        <v>282</v>
      </c>
      <c r="G277" s="1">
        <v>1737.9157</v>
      </c>
      <c r="H277" s="2">
        <v>1299</v>
      </c>
      <c r="I277" s="2">
        <v>2</v>
      </c>
      <c r="J277" s="1">
        <v>1737.8787</v>
      </c>
      <c r="K277" s="1">
        <v>869.96510000000001</v>
      </c>
      <c r="L277" s="9" t="s">
        <v>283</v>
      </c>
      <c r="M277" s="2">
        <v>7.92</v>
      </c>
      <c r="N277" s="4">
        <v>8212.8700000000008</v>
      </c>
      <c r="O277" s="1">
        <v>-21.265220869204981</v>
      </c>
      <c r="P277" s="6">
        <v>45.7</v>
      </c>
      <c r="Q277" s="6">
        <v>38.700000000000003</v>
      </c>
      <c r="R277" s="6">
        <v>9.6999999999999993</v>
      </c>
      <c r="S277" s="6">
        <v>10.1</v>
      </c>
      <c r="T277" s="5">
        <v>3.8999999999999999E-4</v>
      </c>
      <c r="U277" s="1">
        <v>-3.6999999999999998E-2</v>
      </c>
      <c r="V277" s="1">
        <v>4.4115000000000002</v>
      </c>
    </row>
    <row r="278" spans="1:22" x14ac:dyDescent="0.25">
      <c r="A278" s="1">
        <v>0.98280000000000001</v>
      </c>
      <c r="B278" s="9" t="s">
        <v>3954</v>
      </c>
      <c r="C278" s="2">
        <v>6050</v>
      </c>
      <c r="D278" s="2" t="s">
        <v>1385</v>
      </c>
      <c r="E278" s="9" t="s">
        <v>3955</v>
      </c>
      <c r="F278" s="9" t="s">
        <v>2160</v>
      </c>
      <c r="G278" s="1">
        <v>2494.3937000000001</v>
      </c>
      <c r="H278" s="2">
        <v>1300</v>
      </c>
      <c r="I278" s="2">
        <v>3</v>
      </c>
      <c r="J278" s="1">
        <v>2494.3489</v>
      </c>
      <c r="K278" s="1">
        <v>832.47180000000003</v>
      </c>
      <c r="L278" s="9" t="s">
        <v>2161</v>
      </c>
      <c r="M278" s="2">
        <v>6.18</v>
      </c>
      <c r="N278" s="4">
        <v>8220.6200000000008</v>
      </c>
      <c r="O278" s="1">
        <v>-17.938545585968598</v>
      </c>
      <c r="P278" s="6">
        <v>39.1</v>
      </c>
      <c r="Q278" s="6">
        <v>39.1</v>
      </c>
      <c r="R278" s="6">
        <v>8.8000000000000007</v>
      </c>
      <c r="S278" s="6">
        <v>6.8</v>
      </c>
      <c r="T278" s="5">
        <v>7.9000000000000001E-4</v>
      </c>
      <c r="U278" s="1">
        <v>-4.48E-2</v>
      </c>
      <c r="V278" s="1">
        <v>3.3176999999999999</v>
      </c>
    </row>
    <row r="279" spans="1:22" x14ac:dyDescent="0.25">
      <c r="A279" s="1">
        <v>0.99739999999999995</v>
      </c>
      <c r="B279" s="9" t="s">
        <v>3956</v>
      </c>
      <c r="C279" s="2">
        <v>6062</v>
      </c>
      <c r="D279" s="2" t="s">
        <v>425</v>
      </c>
      <c r="E279" s="9" t="s">
        <v>3957</v>
      </c>
      <c r="F279" s="9" t="s">
        <v>2838</v>
      </c>
      <c r="G279" s="1">
        <v>1507.7337</v>
      </c>
      <c r="H279" s="2">
        <v>69</v>
      </c>
      <c r="I279" s="2">
        <v>2</v>
      </c>
      <c r="J279" s="1">
        <v>1507.6904999999999</v>
      </c>
      <c r="K279" s="1">
        <v>754.8741</v>
      </c>
      <c r="L279" s="9" t="s">
        <v>2839</v>
      </c>
      <c r="M279" s="2">
        <v>4.37</v>
      </c>
      <c r="N279" s="4">
        <v>8242.1200000000008</v>
      </c>
      <c r="O279" s="1">
        <v>-28.614043056981291</v>
      </c>
      <c r="P279" s="6">
        <v>33.799999999999997</v>
      </c>
      <c r="Q279" s="6">
        <v>19.5</v>
      </c>
      <c r="R279" s="6">
        <v>10.1</v>
      </c>
      <c r="S279" s="6">
        <v>11.6</v>
      </c>
      <c r="T279" s="5">
        <v>1.1E-5</v>
      </c>
      <c r="U279" s="1">
        <v>-4.3200000000000002E-2</v>
      </c>
      <c r="V279" s="1">
        <v>7.6276999999999999</v>
      </c>
    </row>
    <row r="280" spans="1:22" x14ac:dyDescent="0.25">
      <c r="A280" s="1">
        <v>0.97529999999999994</v>
      </c>
      <c r="B280" s="9" t="s">
        <v>3958</v>
      </c>
      <c r="C280" s="2">
        <v>6099</v>
      </c>
      <c r="D280" s="2" t="s">
        <v>702</v>
      </c>
      <c r="E280" s="9" t="s">
        <v>3959</v>
      </c>
      <c r="F280" s="9" t="s">
        <v>3927</v>
      </c>
      <c r="G280" s="1">
        <v>1282.6016999999999</v>
      </c>
      <c r="H280" s="2">
        <v>1304</v>
      </c>
      <c r="I280" s="2">
        <v>2</v>
      </c>
      <c r="J280" s="1">
        <v>1282.5776000000001</v>
      </c>
      <c r="K280" s="1">
        <v>642.30809999999997</v>
      </c>
      <c r="L280" s="9" t="s">
        <v>3928</v>
      </c>
      <c r="M280" s="2">
        <v>4.21</v>
      </c>
      <c r="N280" s="4">
        <v>8293.98</v>
      </c>
      <c r="O280" s="1">
        <v>-18.760467134074755</v>
      </c>
      <c r="P280" s="6">
        <v>35.299999999999997</v>
      </c>
      <c r="Q280" s="6">
        <v>27.8</v>
      </c>
      <c r="R280" s="6">
        <v>8.1</v>
      </c>
      <c r="S280" s="6">
        <v>12</v>
      </c>
      <c r="T280" s="5">
        <v>6.3E-3</v>
      </c>
      <c r="U280" s="1">
        <v>-2.41E-2</v>
      </c>
      <c r="V280" s="1">
        <v>3.8694999999999999</v>
      </c>
    </row>
    <row r="281" spans="1:22" x14ac:dyDescent="0.25">
      <c r="A281" s="1">
        <v>0.98460000000000003</v>
      </c>
      <c r="B281" s="9" t="s">
        <v>3960</v>
      </c>
      <c r="C281" s="2">
        <v>6113</v>
      </c>
      <c r="D281" s="2" t="s">
        <v>645</v>
      </c>
      <c r="E281" s="9" t="s">
        <v>3961</v>
      </c>
      <c r="F281" s="9" t="s">
        <v>1486</v>
      </c>
      <c r="G281" s="1">
        <v>1793.9337</v>
      </c>
      <c r="H281" s="2">
        <v>297</v>
      </c>
      <c r="I281" s="2">
        <v>2</v>
      </c>
      <c r="J281" s="1">
        <v>1793.8739</v>
      </c>
      <c r="K281" s="1">
        <v>897.97410000000002</v>
      </c>
      <c r="L281" s="9" t="s">
        <v>673</v>
      </c>
      <c r="M281" s="2">
        <v>6.14</v>
      </c>
      <c r="N281" s="4">
        <v>8314.08</v>
      </c>
      <c r="O281" s="1">
        <v>-33.297174161259214</v>
      </c>
      <c r="P281" s="6">
        <v>40.9</v>
      </c>
      <c r="Q281" s="6">
        <v>27</v>
      </c>
      <c r="R281" s="6">
        <v>10.3</v>
      </c>
      <c r="S281" s="6">
        <v>9.1999999999999993</v>
      </c>
      <c r="T281" s="5">
        <v>1.4999999999999999E-4</v>
      </c>
      <c r="U281" s="1">
        <v>-5.9799999999999999E-2</v>
      </c>
      <c r="V281" s="1">
        <v>5.4414999999999996</v>
      </c>
    </row>
    <row r="282" spans="1:22" x14ac:dyDescent="0.25">
      <c r="A282" s="1">
        <v>0.98460000000000003</v>
      </c>
      <c r="B282" s="9" t="s">
        <v>3962</v>
      </c>
      <c r="C282" s="2">
        <v>6119</v>
      </c>
      <c r="D282" s="2" t="s">
        <v>425</v>
      </c>
      <c r="E282" s="9" t="s">
        <v>3963</v>
      </c>
      <c r="F282" s="9" t="s">
        <v>3964</v>
      </c>
      <c r="G282" s="1">
        <v>1525.6976999999999</v>
      </c>
      <c r="H282" s="2">
        <v>966</v>
      </c>
      <c r="I282" s="2">
        <v>2</v>
      </c>
      <c r="J282" s="1">
        <v>1525.6848</v>
      </c>
      <c r="K282" s="1">
        <v>763.85609999999997</v>
      </c>
      <c r="L282" s="9" t="s">
        <v>3965</v>
      </c>
      <c r="M282" s="2">
        <v>4.37</v>
      </c>
      <c r="N282" s="4">
        <v>8323.83</v>
      </c>
      <c r="O282" s="1">
        <v>-8.443998810770772</v>
      </c>
      <c r="P282" s="6">
        <v>30.6</v>
      </c>
      <c r="Q282" s="6">
        <v>21</v>
      </c>
      <c r="R282" s="6">
        <v>9.5</v>
      </c>
      <c r="S282" s="6">
        <v>9.6999999999999993</v>
      </c>
      <c r="T282" s="5">
        <v>5.9000000000000003E-4</v>
      </c>
      <c r="U282" s="1">
        <v>-1.29E-2</v>
      </c>
      <c r="V282" s="1">
        <v>5.2832999999999997</v>
      </c>
    </row>
    <row r="283" spans="1:22" x14ac:dyDescent="0.25">
      <c r="A283" s="1">
        <v>0.99509999999999998</v>
      </c>
      <c r="B283" s="9" t="s">
        <v>3966</v>
      </c>
      <c r="C283" s="2">
        <v>6134</v>
      </c>
      <c r="D283" s="2" t="s">
        <v>2104</v>
      </c>
      <c r="E283" s="9" t="s">
        <v>3967</v>
      </c>
      <c r="F283" s="9" t="s">
        <v>3968</v>
      </c>
      <c r="G283" s="1">
        <v>2266.1287000000002</v>
      </c>
      <c r="H283" s="2">
        <v>1306</v>
      </c>
      <c r="I283" s="2">
        <v>2</v>
      </c>
      <c r="J283" s="1">
        <v>2266.0798</v>
      </c>
      <c r="K283" s="1">
        <v>1134.0716</v>
      </c>
      <c r="L283" s="9" t="s">
        <v>1998</v>
      </c>
      <c r="M283" s="2">
        <v>3.66</v>
      </c>
      <c r="N283" s="4">
        <v>8340.49</v>
      </c>
      <c r="O283" s="1">
        <v>-21.559485309393164</v>
      </c>
      <c r="P283" s="6">
        <v>38.799999999999997</v>
      </c>
      <c r="Q283" s="6">
        <v>22.4</v>
      </c>
      <c r="R283" s="6">
        <v>11.1</v>
      </c>
      <c r="S283" s="6">
        <v>12.9</v>
      </c>
      <c r="T283" s="5">
        <v>6.7999999999999999E-5</v>
      </c>
      <c r="U283" s="1">
        <v>-4.8899999999999999E-2</v>
      </c>
      <c r="V283" s="1">
        <v>5.4739000000000004</v>
      </c>
    </row>
    <row r="284" spans="1:22" x14ac:dyDescent="0.25">
      <c r="A284" s="1">
        <v>0.99650000000000005</v>
      </c>
      <c r="B284" s="9" t="s">
        <v>3969</v>
      </c>
      <c r="C284" s="2">
        <v>6169</v>
      </c>
      <c r="D284" s="2" t="s">
        <v>3970</v>
      </c>
      <c r="E284" s="9" t="s">
        <v>3971</v>
      </c>
      <c r="F284" s="9" t="s">
        <v>282</v>
      </c>
      <c r="G284" s="1">
        <v>3193.6477</v>
      </c>
      <c r="H284" s="2">
        <v>1307</v>
      </c>
      <c r="I284" s="2">
        <v>3</v>
      </c>
      <c r="J284" s="1">
        <v>3193.5646999999999</v>
      </c>
      <c r="K284" s="1">
        <v>1065.5564999999999</v>
      </c>
      <c r="L284" s="9" t="s">
        <v>283</v>
      </c>
      <c r="M284" s="2">
        <v>5.32</v>
      </c>
      <c r="N284" s="4">
        <v>8388.43</v>
      </c>
      <c r="O284" s="1">
        <v>-25.964523389108574</v>
      </c>
      <c r="P284" s="6">
        <v>39.200000000000003</v>
      </c>
      <c r="Q284" s="6">
        <v>27.6</v>
      </c>
      <c r="R284" s="6">
        <v>10.9</v>
      </c>
      <c r="S284" s="6">
        <v>12.3</v>
      </c>
      <c r="T284" s="5">
        <v>3.8000000000000002E-4</v>
      </c>
      <c r="U284" s="1">
        <v>-8.3000000000000004E-2</v>
      </c>
      <c r="V284" s="1">
        <v>4.2950999999999997</v>
      </c>
    </row>
    <row r="285" spans="1:22" x14ac:dyDescent="0.25">
      <c r="A285" s="1">
        <v>0.96299999999999997</v>
      </c>
      <c r="B285" s="9" t="s">
        <v>3972</v>
      </c>
      <c r="C285" s="2">
        <v>6193</v>
      </c>
      <c r="D285" s="2" t="s">
        <v>146</v>
      </c>
      <c r="E285" s="9" t="s">
        <v>3973</v>
      </c>
      <c r="F285" s="9" t="s">
        <v>3529</v>
      </c>
      <c r="G285" s="1">
        <v>1485.6627000000001</v>
      </c>
      <c r="H285" s="2">
        <v>1308</v>
      </c>
      <c r="I285" s="2">
        <v>2</v>
      </c>
      <c r="J285" s="1">
        <v>1485.6251</v>
      </c>
      <c r="K285" s="1">
        <v>743.83860000000004</v>
      </c>
      <c r="L285" s="9" t="s">
        <v>3530</v>
      </c>
      <c r="M285" s="2">
        <v>4.03</v>
      </c>
      <c r="N285" s="4">
        <v>8421.84</v>
      </c>
      <c r="O285" s="1">
        <v>-25.274300096822078</v>
      </c>
      <c r="P285" s="6">
        <v>39</v>
      </c>
      <c r="Q285" s="6">
        <v>29.9</v>
      </c>
      <c r="R285" s="6">
        <v>11.6</v>
      </c>
      <c r="S285" s="6">
        <v>11.4</v>
      </c>
      <c r="T285" s="5">
        <v>1.4999999999999999E-2</v>
      </c>
      <c r="U285" s="1">
        <v>-3.7600000000000001E-2</v>
      </c>
      <c r="V285" s="1">
        <v>3.5516999999999999</v>
      </c>
    </row>
    <row r="286" spans="1:22" x14ac:dyDescent="0.25">
      <c r="A286" s="1">
        <v>0.98509999999999998</v>
      </c>
      <c r="B286" s="9" t="s">
        <v>3974</v>
      </c>
      <c r="C286" s="2">
        <v>6201</v>
      </c>
      <c r="D286" s="2" t="s">
        <v>1439</v>
      </c>
      <c r="E286" s="9" t="s">
        <v>3975</v>
      </c>
      <c r="F286" s="9" t="s">
        <v>3976</v>
      </c>
      <c r="G286" s="1">
        <v>1962.0127</v>
      </c>
      <c r="H286" s="2">
        <v>1309</v>
      </c>
      <c r="I286" s="2">
        <v>2</v>
      </c>
      <c r="J286" s="1">
        <v>1961.9599000000001</v>
      </c>
      <c r="K286" s="1">
        <v>982.0136</v>
      </c>
      <c r="L286" s="9" t="s">
        <v>3977</v>
      </c>
      <c r="M286" s="2">
        <v>4.37</v>
      </c>
      <c r="N286" s="4">
        <v>8433.89</v>
      </c>
      <c r="O286" s="1">
        <v>-26.883538069126537</v>
      </c>
      <c r="P286" s="6">
        <v>34.5</v>
      </c>
      <c r="Q286" s="6">
        <v>28.5</v>
      </c>
      <c r="R286" s="6">
        <v>10.199999999999999</v>
      </c>
      <c r="S286" s="6">
        <v>10.199999999999999</v>
      </c>
      <c r="T286" s="5">
        <v>3.1E-2</v>
      </c>
      <c r="U286" s="1">
        <v>-5.28E-2</v>
      </c>
      <c r="V286" s="1">
        <v>2.4228999999999998</v>
      </c>
    </row>
    <row r="287" spans="1:22" x14ac:dyDescent="0.25">
      <c r="A287" s="1">
        <v>0.99339999999999995</v>
      </c>
      <c r="B287" s="9" t="s">
        <v>3978</v>
      </c>
      <c r="C287" s="2">
        <v>6213</v>
      </c>
      <c r="D287" s="2" t="s">
        <v>1531</v>
      </c>
      <c r="E287" s="9" t="s">
        <v>3979</v>
      </c>
      <c r="F287" s="9" t="s">
        <v>3980</v>
      </c>
      <c r="G287" s="1">
        <v>2140.0396999999998</v>
      </c>
      <c r="H287" s="2">
        <v>1592</v>
      </c>
      <c r="I287" s="2">
        <v>2</v>
      </c>
      <c r="J287" s="1">
        <v>2139.9915999999998</v>
      </c>
      <c r="K287" s="1">
        <v>1071.0271</v>
      </c>
      <c r="L287" s="9" t="s">
        <v>983</v>
      </c>
      <c r="M287" s="2">
        <v>3.92</v>
      </c>
      <c r="N287" s="4">
        <v>8452.7900000000009</v>
      </c>
      <c r="O287" s="1">
        <v>-22.455080735118653</v>
      </c>
      <c r="P287" s="6">
        <v>38.700000000000003</v>
      </c>
      <c r="Q287" s="6">
        <v>22.6</v>
      </c>
      <c r="R287" s="6">
        <v>10.7</v>
      </c>
      <c r="S287" s="6">
        <v>10.8</v>
      </c>
      <c r="T287" s="5">
        <v>5.0000000000000002E-5</v>
      </c>
      <c r="U287" s="1">
        <v>-4.8099999999999997E-2</v>
      </c>
      <c r="V287" s="1">
        <v>5.7038000000000002</v>
      </c>
    </row>
    <row r="288" spans="1:22" x14ac:dyDescent="0.25">
      <c r="A288" s="1">
        <v>0.98550000000000004</v>
      </c>
      <c r="B288" s="9" t="s">
        <v>3981</v>
      </c>
      <c r="C288" s="2">
        <v>6240</v>
      </c>
      <c r="D288" s="2" t="s">
        <v>1651</v>
      </c>
      <c r="E288" s="9" t="s">
        <v>3982</v>
      </c>
      <c r="F288" s="9" t="s">
        <v>282</v>
      </c>
      <c r="G288" s="1">
        <v>2072.0617000000002</v>
      </c>
      <c r="H288" s="2">
        <v>1593</v>
      </c>
      <c r="I288" s="2">
        <v>2</v>
      </c>
      <c r="J288" s="1">
        <v>2072.0187999999998</v>
      </c>
      <c r="K288" s="1">
        <v>1037.0381</v>
      </c>
      <c r="L288" s="9" t="s">
        <v>283</v>
      </c>
      <c r="M288" s="2">
        <v>6</v>
      </c>
      <c r="N288" s="4">
        <v>8488.64</v>
      </c>
      <c r="O288" s="1">
        <v>-20.683907370423515</v>
      </c>
      <c r="P288" s="6">
        <v>45.8</v>
      </c>
      <c r="Q288" s="6">
        <v>27.1</v>
      </c>
      <c r="R288" s="6">
        <v>9.9</v>
      </c>
      <c r="S288" s="6">
        <v>11.5</v>
      </c>
      <c r="T288" s="5">
        <v>4.2000000000000002E-4</v>
      </c>
      <c r="U288" s="1">
        <v>-4.2900000000000001E-2</v>
      </c>
      <c r="V288" s="1">
        <v>4.8719999999999999</v>
      </c>
    </row>
    <row r="289" spans="1:22" x14ac:dyDescent="0.25">
      <c r="A289" s="1">
        <v>0.99790000000000001</v>
      </c>
      <c r="B289" s="9" t="s">
        <v>3983</v>
      </c>
      <c r="C289" s="2">
        <v>6267</v>
      </c>
      <c r="D289" s="2" t="s">
        <v>1626</v>
      </c>
      <c r="E289" s="9" t="s">
        <v>3984</v>
      </c>
      <c r="F289" s="9" t="s">
        <v>282</v>
      </c>
      <c r="G289" s="1">
        <v>2235.1246999999998</v>
      </c>
      <c r="H289" s="2">
        <v>1595</v>
      </c>
      <c r="I289" s="2">
        <v>2</v>
      </c>
      <c r="J289" s="1">
        <v>2235.0715</v>
      </c>
      <c r="K289" s="1">
        <v>1118.5696</v>
      </c>
      <c r="L289" s="9" t="s">
        <v>283</v>
      </c>
      <c r="M289" s="2">
        <v>6</v>
      </c>
      <c r="N289" s="4">
        <v>8524.69</v>
      </c>
      <c r="O289" s="1">
        <v>-23.780370930874575</v>
      </c>
      <c r="P289" s="6">
        <v>49.1</v>
      </c>
      <c r="Q289" s="6">
        <v>26.4</v>
      </c>
      <c r="R289" s="6">
        <v>10.4</v>
      </c>
      <c r="S289" s="6">
        <v>11.3</v>
      </c>
      <c r="T289" s="5">
        <v>2.2999999999999999E-7</v>
      </c>
      <c r="U289" s="1">
        <v>-5.3199999999999997E-2</v>
      </c>
      <c r="V289" s="1">
        <v>7.7077</v>
      </c>
    </row>
    <row r="290" spans="1:22" x14ac:dyDescent="0.25">
      <c r="A290" s="1">
        <v>0.99839999999999995</v>
      </c>
      <c r="B290" s="9" t="s">
        <v>3985</v>
      </c>
      <c r="C290" s="2">
        <v>7284</v>
      </c>
      <c r="D290" s="2" t="s">
        <v>61</v>
      </c>
      <c r="E290" s="9" t="s">
        <v>3649</v>
      </c>
      <c r="F290" s="9" t="s">
        <v>1839</v>
      </c>
      <c r="G290" s="1">
        <v>1554.8547000000001</v>
      </c>
      <c r="H290" s="2">
        <v>1355</v>
      </c>
      <c r="I290" s="2">
        <v>3</v>
      </c>
      <c r="J290" s="1">
        <v>1554.836</v>
      </c>
      <c r="K290" s="1">
        <v>519.29219999999998</v>
      </c>
      <c r="L290" s="9" t="s">
        <v>1840</v>
      </c>
      <c r="M290" s="2">
        <v>11.17</v>
      </c>
      <c r="N290" s="4">
        <v>3255.03</v>
      </c>
      <c r="O290" s="1">
        <v>-12.003518122038679</v>
      </c>
      <c r="P290" s="6">
        <v>36.1</v>
      </c>
      <c r="Q290" s="6">
        <v>27.3</v>
      </c>
      <c r="R290" s="6">
        <v>9.8000000000000007</v>
      </c>
      <c r="S290" s="6">
        <v>11.5</v>
      </c>
      <c r="T290" s="5">
        <v>1.5E-3</v>
      </c>
      <c r="U290" s="1">
        <v>-1.8700000000000001E-2</v>
      </c>
      <c r="V290" s="1">
        <v>4.8166000000000002</v>
      </c>
    </row>
    <row r="291" spans="1:22" x14ac:dyDescent="0.25">
      <c r="A291" s="1">
        <v>0.99770000000000003</v>
      </c>
      <c r="B291" s="9" t="s">
        <v>3986</v>
      </c>
      <c r="C291" s="2">
        <v>7287</v>
      </c>
      <c r="D291" s="2" t="s">
        <v>770</v>
      </c>
      <c r="E291" s="9" t="s">
        <v>3652</v>
      </c>
      <c r="F291" s="9" t="s">
        <v>2595</v>
      </c>
      <c r="G291" s="1">
        <v>1621.9227000000001</v>
      </c>
      <c r="H291" s="2">
        <v>761</v>
      </c>
      <c r="I291" s="2">
        <v>3</v>
      </c>
      <c r="J291" s="1">
        <v>1621.8915999999999</v>
      </c>
      <c r="K291" s="1">
        <v>541.64819999999997</v>
      </c>
      <c r="L291" s="9" t="s">
        <v>2596</v>
      </c>
      <c r="M291" s="2">
        <v>9.7100000000000009</v>
      </c>
      <c r="N291" s="4">
        <v>3334.28</v>
      </c>
      <c r="O291" s="1">
        <v>-19.139114035026182</v>
      </c>
      <c r="P291" s="6">
        <v>32.1</v>
      </c>
      <c r="Q291" s="6">
        <v>21.1</v>
      </c>
      <c r="R291" s="6">
        <v>10.199999999999999</v>
      </c>
      <c r="S291" s="6">
        <v>10.5</v>
      </c>
      <c r="T291" s="5">
        <v>2E-3</v>
      </c>
      <c r="U291" s="1">
        <v>-3.1099999999999999E-2</v>
      </c>
      <c r="V291" s="1">
        <v>5.3535000000000004</v>
      </c>
    </row>
    <row r="292" spans="1:22" x14ac:dyDescent="0.25">
      <c r="A292" s="1">
        <v>0.99339999999999995</v>
      </c>
      <c r="B292" s="9" t="s">
        <v>3987</v>
      </c>
      <c r="C292" s="2">
        <v>7331</v>
      </c>
      <c r="D292" s="2" t="s">
        <v>349</v>
      </c>
      <c r="E292" s="9" t="s">
        <v>3705</v>
      </c>
      <c r="F292" s="9" t="s">
        <v>2838</v>
      </c>
      <c r="G292" s="1">
        <v>1843.8667</v>
      </c>
      <c r="H292" s="2">
        <v>1360</v>
      </c>
      <c r="I292" s="2">
        <v>3</v>
      </c>
      <c r="J292" s="1">
        <v>1843.8172</v>
      </c>
      <c r="K292" s="1">
        <v>615.62950000000001</v>
      </c>
      <c r="L292" s="9" t="s">
        <v>2839</v>
      </c>
      <c r="M292" s="2">
        <v>4.87</v>
      </c>
      <c r="N292" s="4">
        <v>4408.92</v>
      </c>
      <c r="O292" s="1">
        <v>-26.801834544965764</v>
      </c>
      <c r="P292" s="6">
        <v>37.299999999999997</v>
      </c>
      <c r="Q292" s="6">
        <v>30.3</v>
      </c>
      <c r="R292" s="6">
        <v>11.2</v>
      </c>
      <c r="S292" s="6">
        <v>12.6</v>
      </c>
      <c r="T292" s="5">
        <v>5.1000000000000004E-3</v>
      </c>
      <c r="U292" s="1">
        <v>-4.9500000000000002E-2</v>
      </c>
      <c r="V292" s="1">
        <v>3.8948999999999998</v>
      </c>
    </row>
    <row r="293" spans="1:22" x14ac:dyDescent="0.25">
      <c r="A293" s="1">
        <v>0.99960000000000004</v>
      </c>
      <c r="B293" s="9" t="s">
        <v>3988</v>
      </c>
      <c r="C293" s="2">
        <v>7344</v>
      </c>
      <c r="D293" s="2" t="s">
        <v>980</v>
      </c>
      <c r="E293" s="9" t="s">
        <v>3712</v>
      </c>
      <c r="F293" s="9" t="s">
        <v>282</v>
      </c>
      <c r="G293" s="1">
        <v>1803.9887000000001</v>
      </c>
      <c r="H293" s="2">
        <v>1364</v>
      </c>
      <c r="I293" s="2">
        <v>3</v>
      </c>
      <c r="J293" s="1">
        <v>1803.9377999999999</v>
      </c>
      <c r="K293" s="1">
        <v>602.33680000000004</v>
      </c>
      <c r="L293" s="9" t="s">
        <v>283</v>
      </c>
      <c r="M293" s="2">
        <v>6.41</v>
      </c>
      <c r="N293" s="4">
        <v>4560.83</v>
      </c>
      <c r="O293" s="1">
        <v>-28.16807252465177</v>
      </c>
      <c r="P293" s="6">
        <v>38.6</v>
      </c>
      <c r="Q293" s="6">
        <v>24.8</v>
      </c>
      <c r="R293" s="6">
        <v>10.199999999999999</v>
      </c>
      <c r="S293" s="6">
        <v>12.4</v>
      </c>
      <c r="T293" s="5">
        <v>5.1000000000000004E-4</v>
      </c>
      <c r="U293" s="1">
        <v>-5.0900000000000001E-2</v>
      </c>
      <c r="V293" s="1">
        <v>5.7781000000000002</v>
      </c>
    </row>
    <row r="294" spans="1:22" x14ac:dyDescent="0.25">
      <c r="A294" s="1">
        <v>0.99019999999999997</v>
      </c>
      <c r="B294" s="9" t="s">
        <v>3989</v>
      </c>
      <c r="C294" s="2">
        <v>7345</v>
      </c>
      <c r="D294" s="2" t="s">
        <v>1872</v>
      </c>
      <c r="E294" s="9" t="s">
        <v>3717</v>
      </c>
      <c r="F294" s="9" t="s">
        <v>282</v>
      </c>
      <c r="G294" s="1">
        <v>2074.1206999999999</v>
      </c>
      <c r="H294" s="2">
        <v>1363</v>
      </c>
      <c r="I294" s="2">
        <v>3</v>
      </c>
      <c r="J294" s="1">
        <v>2074.0808999999999</v>
      </c>
      <c r="K294" s="1">
        <v>692.38080000000002</v>
      </c>
      <c r="L294" s="9" t="s">
        <v>283</v>
      </c>
      <c r="M294" s="2">
        <v>6.79</v>
      </c>
      <c r="N294" s="4">
        <v>4595.13</v>
      </c>
      <c r="O294" s="1">
        <v>-19.160939567744609</v>
      </c>
      <c r="P294" s="6">
        <v>39.1</v>
      </c>
      <c r="Q294" s="6">
        <v>27.7</v>
      </c>
      <c r="R294" s="6">
        <v>10.4</v>
      </c>
      <c r="S294" s="6">
        <v>12.9</v>
      </c>
      <c r="T294" s="5">
        <v>0.01</v>
      </c>
      <c r="U294" s="1">
        <v>-3.9800000000000002E-2</v>
      </c>
      <c r="V294" s="1">
        <v>3.6507999999999998</v>
      </c>
    </row>
    <row r="295" spans="1:22" x14ac:dyDescent="0.25">
      <c r="A295" s="1">
        <v>0.98350000000000004</v>
      </c>
      <c r="B295" s="9" t="s">
        <v>3990</v>
      </c>
      <c r="C295" s="2">
        <v>7366</v>
      </c>
      <c r="D295" s="2" t="s">
        <v>1271</v>
      </c>
      <c r="E295" s="9" t="s">
        <v>3737</v>
      </c>
      <c r="F295" s="9" t="s">
        <v>2454</v>
      </c>
      <c r="G295" s="1">
        <v>1622.7607</v>
      </c>
      <c r="H295" s="2">
        <v>1325</v>
      </c>
      <c r="I295" s="2">
        <v>2</v>
      </c>
      <c r="J295" s="1">
        <v>1622.739</v>
      </c>
      <c r="K295" s="1">
        <v>812.38760000000002</v>
      </c>
      <c r="L295" s="9" t="s">
        <v>2455</v>
      </c>
      <c r="M295" s="2">
        <v>4.53</v>
      </c>
      <c r="N295" s="4">
        <v>4945</v>
      </c>
      <c r="O295" s="1">
        <v>-13.355693759973686</v>
      </c>
      <c r="P295" s="6">
        <v>35.9</v>
      </c>
      <c r="Q295" s="6">
        <v>23.8</v>
      </c>
      <c r="R295" s="6">
        <v>11.2</v>
      </c>
      <c r="S295" s="6">
        <v>11.9</v>
      </c>
      <c r="T295" s="5">
        <v>2.8999999999999998E-3</v>
      </c>
      <c r="U295" s="1">
        <v>-2.1700000000000001E-2</v>
      </c>
      <c r="V295" s="1">
        <v>4.2062999999999997</v>
      </c>
    </row>
    <row r="296" spans="1:22" x14ac:dyDescent="0.25">
      <c r="A296" s="1">
        <v>0.99990000000000001</v>
      </c>
      <c r="B296" s="9" t="s">
        <v>3991</v>
      </c>
      <c r="C296" s="2">
        <v>7383</v>
      </c>
      <c r="D296" s="2" t="s">
        <v>784</v>
      </c>
      <c r="E296" s="9" t="s">
        <v>3748</v>
      </c>
      <c r="F296" s="9" t="s">
        <v>2639</v>
      </c>
      <c r="G296" s="1">
        <v>1429.8326999999999</v>
      </c>
      <c r="H296" s="2">
        <v>765</v>
      </c>
      <c r="I296" s="2">
        <v>3</v>
      </c>
      <c r="J296" s="1">
        <v>1429.8145999999999</v>
      </c>
      <c r="K296" s="1">
        <v>477.6182</v>
      </c>
      <c r="L296" s="9" t="s">
        <v>2586</v>
      </c>
      <c r="M296" s="2">
        <v>9.99</v>
      </c>
      <c r="N296" s="4">
        <v>5121.51</v>
      </c>
      <c r="O296" s="1">
        <v>-12.632126106863881</v>
      </c>
      <c r="P296" s="6">
        <v>45.2</v>
      </c>
      <c r="Q296" s="6">
        <v>26.1</v>
      </c>
      <c r="R296" s="6">
        <v>7</v>
      </c>
      <c r="S296" s="6">
        <v>12.4</v>
      </c>
      <c r="T296" s="5">
        <v>1.2E-4</v>
      </c>
      <c r="U296" s="1">
        <v>-1.8100000000000002E-2</v>
      </c>
      <c r="V296" s="1">
        <v>7.8520000000000003</v>
      </c>
    </row>
    <row r="297" spans="1:22" x14ac:dyDescent="0.25">
      <c r="A297" s="1">
        <v>0.9819</v>
      </c>
      <c r="B297" s="9" t="s">
        <v>3992</v>
      </c>
      <c r="C297" s="2">
        <v>7395</v>
      </c>
      <c r="D297" s="2" t="s">
        <v>2883</v>
      </c>
      <c r="E297" s="9" t="s">
        <v>3993</v>
      </c>
      <c r="F297" s="9" t="s">
        <v>3692</v>
      </c>
      <c r="G297" s="1">
        <v>2068.1967</v>
      </c>
      <c r="H297" s="2">
        <v>1369</v>
      </c>
      <c r="I297" s="2">
        <v>3</v>
      </c>
      <c r="J297" s="1">
        <v>2068.1378</v>
      </c>
      <c r="K297" s="1">
        <v>690.40620000000001</v>
      </c>
      <c r="L297" s="9" t="s">
        <v>161</v>
      </c>
      <c r="M297" s="2">
        <v>9.6999999999999993</v>
      </c>
      <c r="N297" s="4">
        <v>5332.94</v>
      </c>
      <c r="O297" s="1">
        <v>-28.437365326866026</v>
      </c>
      <c r="P297" s="6">
        <v>33.200000000000003</v>
      </c>
      <c r="Q297" s="6">
        <v>24.7</v>
      </c>
      <c r="R297" s="6">
        <v>7.4</v>
      </c>
      <c r="S297" s="6">
        <v>11.5</v>
      </c>
      <c r="T297" s="5">
        <v>1.2999999999999999E-2</v>
      </c>
      <c r="U297" s="1">
        <v>-5.8900000000000001E-2</v>
      </c>
      <c r="V297" s="1">
        <v>3.2871000000000001</v>
      </c>
    </row>
    <row r="298" spans="1:22" x14ac:dyDescent="0.25">
      <c r="A298" s="1">
        <v>0.98580000000000001</v>
      </c>
      <c r="B298" s="9" t="s">
        <v>3994</v>
      </c>
      <c r="C298" s="2">
        <v>7398</v>
      </c>
      <c r="D298" s="2" t="s">
        <v>493</v>
      </c>
      <c r="E298" s="9" t="s">
        <v>3760</v>
      </c>
      <c r="F298" s="9" t="s">
        <v>3761</v>
      </c>
      <c r="G298" s="1">
        <v>1281.6496999999999</v>
      </c>
      <c r="H298" s="2">
        <v>1332</v>
      </c>
      <c r="I298" s="2">
        <v>2</v>
      </c>
      <c r="J298" s="1">
        <v>1281.6271999999999</v>
      </c>
      <c r="K298" s="1">
        <v>641.83209999999997</v>
      </c>
      <c r="L298" s="9" t="s">
        <v>3762</v>
      </c>
      <c r="M298" s="2">
        <v>9.75</v>
      </c>
      <c r="N298" s="4">
        <v>5354.18</v>
      </c>
      <c r="O298" s="1">
        <v>-17.527948508652031</v>
      </c>
      <c r="P298" s="6">
        <v>49.1</v>
      </c>
      <c r="Q298" s="6">
        <v>34.4</v>
      </c>
      <c r="R298" s="6">
        <v>11.1</v>
      </c>
      <c r="S298" s="6">
        <v>11</v>
      </c>
      <c r="T298" s="5">
        <v>2.8E-3</v>
      </c>
      <c r="U298" s="1">
        <v>-2.2499999999999999E-2</v>
      </c>
      <c r="V298" s="1">
        <v>4.3371000000000004</v>
      </c>
    </row>
    <row r="299" spans="1:22" x14ac:dyDescent="0.25">
      <c r="A299" s="1">
        <v>0.98939999999999995</v>
      </c>
      <c r="B299" s="9" t="s">
        <v>3995</v>
      </c>
      <c r="C299" s="2">
        <v>7399</v>
      </c>
      <c r="D299" s="2" t="s">
        <v>188</v>
      </c>
      <c r="E299" s="9" t="s">
        <v>3764</v>
      </c>
      <c r="F299" s="9" t="s">
        <v>257</v>
      </c>
      <c r="G299" s="1">
        <v>1271.7017000000001</v>
      </c>
      <c r="H299" s="2">
        <v>753</v>
      </c>
      <c r="I299" s="2">
        <v>2</v>
      </c>
      <c r="J299" s="1">
        <v>1271.6501000000001</v>
      </c>
      <c r="K299" s="1">
        <v>636.85810000000004</v>
      </c>
      <c r="L299" s="9" t="s">
        <v>258</v>
      </c>
      <c r="M299" s="2">
        <v>11</v>
      </c>
      <c r="N299" s="4">
        <v>5363.93</v>
      </c>
      <c r="O299" s="1">
        <v>-40.511379222467298</v>
      </c>
      <c r="P299" s="6">
        <v>59.6</v>
      </c>
      <c r="Q299" s="6">
        <v>39.1</v>
      </c>
      <c r="R299" s="6">
        <v>9.9</v>
      </c>
      <c r="S299" s="6">
        <v>11.5</v>
      </c>
      <c r="T299" s="5">
        <v>2.8E-3</v>
      </c>
      <c r="U299" s="1">
        <v>-5.16E-2</v>
      </c>
      <c r="V299" s="1">
        <v>4.7037000000000004</v>
      </c>
    </row>
    <row r="300" spans="1:22" x14ac:dyDescent="0.25">
      <c r="A300" s="1">
        <v>0.99390000000000001</v>
      </c>
      <c r="B300" s="9" t="s">
        <v>3996</v>
      </c>
      <c r="C300" s="2">
        <v>7401</v>
      </c>
      <c r="D300" s="2" t="s">
        <v>1977</v>
      </c>
      <c r="E300" s="9" t="s">
        <v>3766</v>
      </c>
      <c r="F300" s="9" t="s">
        <v>3692</v>
      </c>
      <c r="G300" s="1">
        <v>2011.1747</v>
      </c>
      <c r="H300" s="2">
        <v>1370</v>
      </c>
      <c r="I300" s="2">
        <v>3</v>
      </c>
      <c r="J300" s="1">
        <v>2011.1391000000001</v>
      </c>
      <c r="K300" s="1">
        <v>671.39880000000005</v>
      </c>
      <c r="L300" s="9" t="s">
        <v>161</v>
      </c>
      <c r="M300" s="2">
        <v>9.6999999999999993</v>
      </c>
      <c r="N300" s="4">
        <v>5369.33</v>
      </c>
      <c r="O300" s="1">
        <v>-17.674542561986506</v>
      </c>
      <c r="P300" s="6">
        <v>34.200000000000003</v>
      </c>
      <c r="Q300" s="6">
        <v>23.9</v>
      </c>
      <c r="R300" s="6">
        <v>7.8</v>
      </c>
      <c r="S300" s="6">
        <v>11.6</v>
      </c>
      <c r="T300" s="5">
        <v>5.8999999999999999E-3</v>
      </c>
      <c r="U300" s="1">
        <v>-3.56E-2</v>
      </c>
      <c r="V300" s="1">
        <v>3.9369999999999998</v>
      </c>
    </row>
    <row r="301" spans="1:22" x14ac:dyDescent="0.25">
      <c r="A301" s="1">
        <v>0.99839999999999995</v>
      </c>
      <c r="B301" s="9" t="s">
        <v>3997</v>
      </c>
      <c r="C301" s="2">
        <v>7409</v>
      </c>
      <c r="D301" s="2" t="s">
        <v>409</v>
      </c>
      <c r="E301" s="9" t="s">
        <v>3776</v>
      </c>
      <c r="F301" s="9" t="s">
        <v>282</v>
      </c>
      <c r="G301" s="1">
        <v>2187.2046999999998</v>
      </c>
      <c r="H301" s="2">
        <v>1371</v>
      </c>
      <c r="I301" s="2">
        <v>3</v>
      </c>
      <c r="J301" s="1">
        <v>2187.1761000000001</v>
      </c>
      <c r="K301" s="1">
        <v>730.07550000000003</v>
      </c>
      <c r="L301" s="9" t="s">
        <v>283</v>
      </c>
      <c r="M301" s="2">
        <v>6.79</v>
      </c>
      <c r="N301" s="4">
        <v>5500.49</v>
      </c>
      <c r="O301" s="1">
        <v>-13.058010210359521</v>
      </c>
      <c r="P301" s="6">
        <v>41.4</v>
      </c>
      <c r="Q301" s="6">
        <v>25.5</v>
      </c>
      <c r="R301" s="6">
        <v>10.8</v>
      </c>
      <c r="S301" s="6">
        <v>12.9</v>
      </c>
      <c r="T301" s="5">
        <v>1.6000000000000001E-3</v>
      </c>
      <c r="U301" s="1">
        <v>-2.86E-2</v>
      </c>
      <c r="V301" s="1">
        <v>4.7965999999999998</v>
      </c>
    </row>
    <row r="302" spans="1:22" x14ac:dyDescent="0.25">
      <c r="A302" s="1">
        <v>0.99760000000000004</v>
      </c>
      <c r="B302" s="9" t="s">
        <v>3998</v>
      </c>
      <c r="C302" s="2">
        <v>7411</v>
      </c>
      <c r="D302" s="2" t="s">
        <v>2194</v>
      </c>
      <c r="E302" s="9" t="s">
        <v>3779</v>
      </c>
      <c r="F302" s="9" t="s">
        <v>282</v>
      </c>
      <c r="G302" s="1">
        <v>1825.9286999999999</v>
      </c>
      <c r="H302" s="2">
        <v>1372</v>
      </c>
      <c r="I302" s="2">
        <v>3</v>
      </c>
      <c r="J302" s="1">
        <v>1825.8942999999999</v>
      </c>
      <c r="K302" s="1">
        <v>609.65020000000004</v>
      </c>
      <c r="L302" s="9" t="s">
        <v>283</v>
      </c>
      <c r="M302" s="2">
        <v>9.51</v>
      </c>
      <c r="N302" s="4">
        <v>5547.75</v>
      </c>
      <c r="O302" s="1">
        <v>-18.8085998604883</v>
      </c>
      <c r="P302" s="6">
        <v>38.5</v>
      </c>
      <c r="Q302" s="6">
        <v>29.4</v>
      </c>
      <c r="R302" s="6">
        <v>7.2</v>
      </c>
      <c r="S302" s="6">
        <v>11.2</v>
      </c>
      <c r="T302" s="5">
        <v>1.8E-3</v>
      </c>
      <c r="U302" s="1">
        <v>-3.44E-2</v>
      </c>
      <c r="V302" s="1">
        <v>4.5418000000000003</v>
      </c>
    </row>
    <row r="303" spans="1:22" x14ac:dyDescent="0.25">
      <c r="A303" s="1">
        <v>0.99929999999999997</v>
      </c>
      <c r="B303" s="9" t="s">
        <v>3999</v>
      </c>
      <c r="C303" s="2">
        <v>7415</v>
      </c>
      <c r="D303" s="2" t="s">
        <v>245</v>
      </c>
      <c r="E303" s="9" t="s">
        <v>3786</v>
      </c>
      <c r="F303" s="9" t="s">
        <v>1847</v>
      </c>
      <c r="G303" s="1">
        <v>1526.8027</v>
      </c>
      <c r="H303" s="2">
        <v>1373</v>
      </c>
      <c r="I303" s="2">
        <v>3</v>
      </c>
      <c r="J303" s="1">
        <v>1526.7659000000001</v>
      </c>
      <c r="K303" s="1">
        <v>509.94150000000002</v>
      </c>
      <c r="L303" s="9" t="s">
        <v>1848</v>
      </c>
      <c r="M303" s="2">
        <v>8.75</v>
      </c>
      <c r="N303" s="4">
        <v>5583.35</v>
      </c>
      <c r="O303" s="1">
        <v>-24.055046837071835</v>
      </c>
      <c r="P303" s="6">
        <v>40</v>
      </c>
      <c r="Q303" s="6">
        <v>27.1</v>
      </c>
      <c r="R303" s="6">
        <v>11</v>
      </c>
      <c r="S303" s="6">
        <v>10.6</v>
      </c>
      <c r="T303" s="5">
        <v>2.8999999999999998E-3</v>
      </c>
      <c r="U303" s="1">
        <v>-3.6799999999999999E-2</v>
      </c>
      <c r="V303" s="1">
        <v>5.4353999999999996</v>
      </c>
    </row>
    <row r="304" spans="1:22" x14ac:dyDescent="0.25">
      <c r="A304" s="1">
        <v>0.97699999999999998</v>
      </c>
      <c r="B304" s="9" t="s">
        <v>4000</v>
      </c>
      <c r="C304" s="2">
        <v>7425</v>
      </c>
      <c r="D304" s="2" t="s">
        <v>250</v>
      </c>
      <c r="E304" s="9" t="s">
        <v>3798</v>
      </c>
      <c r="F304" s="9" t="s">
        <v>3799</v>
      </c>
      <c r="G304" s="1">
        <v>1209.6287</v>
      </c>
      <c r="H304" s="2">
        <v>755</v>
      </c>
      <c r="I304" s="2">
        <v>2</v>
      </c>
      <c r="J304" s="1">
        <v>1209.5924</v>
      </c>
      <c r="K304" s="1">
        <v>605.82159999999999</v>
      </c>
      <c r="L304" s="9" t="s">
        <v>3800</v>
      </c>
      <c r="M304" s="2">
        <v>9.76</v>
      </c>
      <c r="N304" s="4">
        <v>5724.61</v>
      </c>
      <c r="O304" s="1">
        <v>-29.959314755366929</v>
      </c>
      <c r="P304" s="6">
        <v>28.1</v>
      </c>
      <c r="Q304" s="6">
        <v>19.7</v>
      </c>
      <c r="R304" s="6">
        <v>8.6</v>
      </c>
      <c r="S304" s="6">
        <v>9.3000000000000007</v>
      </c>
      <c r="T304" s="5">
        <v>0.02</v>
      </c>
      <c r="U304" s="1">
        <v>-3.6299999999999999E-2</v>
      </c>
      <c r="V304" s="1">
        <v>4.0807000000000002</v>
      </c>
    </row>
    <row r="305" spans="1:22" x14ac:dyDescent="0.25">
      <c r="A305" s="1">
        <v>0.99890000000000001</v>
      </c>
      <c r="B305" s="9" t="s">
        <v>4001</v>
      </c>
      <c r="C305" s="2">
        <v>7464</v>
      </c>
      <c r="D305" s="2" t="s">
        <v>469</v>
      </c>
      <c r="E305" s="9" t="s">
        <v>3831</v>
      </c>
      <c r="F305" s="9" t="s">
        <v>3832</v>
      </c>
      <c r="G305" s="1">
        <v>1873.0707</v>
      </c>
      <c r="H305" s="2">
        <v>767</v>
      </c>
      <c r="I305" s="2">
        <v>3</v>
      </c>
      <c r="J305" s="1">
        <v>1873.0225</v>
      </c>
      <c r="K305" s="1">
        <v>625.36419999999998</v>
      </c>
      <c r="L305" s="9" t="s">
        <v>2586</v>
      </c>
      <c r="M305" s="2">
        <v>9.99</v>
      </c>
      <c r="N305" s="4">
        <v>6304.55</v>
      </c>
      <c r="O305" s="1">
        <v>-25.691695601805581</v>
      </c>
      <c r="P305" s="6">
        <v>36.6</v>
      </c>
      <c r="Q305" s="6">
        <v>22.6</v>
      </c>
      <c r="R305" s="6">
        <v>9.1</v>
      </c>
      <c r="S305" s="6">
        <v>10.3</v>
      </c>
      <c r="T305" s="5">
        <v>1.2E-4</v>
      </c>
      <c r="U305" s="1">
        <v>-4.82E-2</v>
      </c>
      <c r="V305" s="1">
        <v>6.4347000000000003</v>
      </c>
    </row>
    <row r="306" spans="1:22" x14ac:dyDescent="0.25">
      <c r="A306" s="1">
        <v>0.99960000000000004</v>
      </c>
      <c r="B306" s="9" t="s">
        <v>4002</v>
      </c>
      <c r="C306" s="2">
        <v>7473</v>
      </c>
      <c r="D306" s="2" t="s">
        <v>3841</v>
      </c>
      <c r="E306" s="9" t="s">
        <v>3842</v>
      </c>
      <c r="F306" s="9" t="s">
        <v>1906</v>
      </c>
      <c r="G306" s="1">
        <v>2235.2046999999998</v>
      </c>
      <c r="H306" s="2">
        <v>776</v>
      </c>
      <c r="I306" s="2">
        <v>4</v>
      </c>
      <c r="J306" s="1">
        <v>2235.1667000000002</v>
      </c>
      <c r="K306" s="1">
        <v>559.80849999999998</v>
      </c>
      <c r="L306" s="9" t="s">
        <v>1907</v>
      </c>
      <c r="M306" s="2">
        <v>6.77</v>
      </c>
      <c r="N306" s="4">
        <v>6443.81</v>
      </c>
      <c r="O306" s="1">
        <v>-16.970088878607598</v>
      </c>
      <c r="P306" s="6">
        <v>41.1</v>
      </c>
      <c r="Q306" s="6">
        <v>23.3</v>
      </c>
      <c r="R306" s="6">
        <v>11.4</v>
      </c>
      <c r="S306" s="6">
        <v>8.8000000000000007</v>
      </c>
      <c r="T306" s="5">
        <v>5.3000000000000001E-5</v>
      </c>
      <c r="U306" s="1">
        <v>-3.7999999999999999E-2</v>
      </c>
      <c r="V306" s="1">
        <v>6.7043999999999997</v>
      </c>
    </row>
    <row r="307" spans="1:22" x14ac:dyDescent="0.25">
      <c r="A307" s="1">
        <v>0.99580000000000002</v>
      </c>
      <c r="B307" s="9" t="s">
        <v>4003</v>
      </c>
      <c r="C307" s="2">
        <v>7492</v>
      </c>
      <c r="D307" s="2" t="s">
        <v>146</v>
      </c>
      <c r="E307" s="9" t="s">
        <v>3861</v>
      </c>
      <c r="F307" s="9" t="s">
        <v>1847</v>
      </c>
      <c r="G307" s="1">
        <v>1370.7017000000001</v>
      </c>
      <c r="H307" s="2">
        <v>1345</v>
      </c>
      <c r="I307" s="2">
        <v>2</v>
      </c>
      <c r="J307" s="1">
        <v>1370.6795999999999</v>
      </c>
      <c r="K307" s="1">
        <v>686.35810000000004</v>
      </c>
      <c r="L307" s="9" t="s">
        <v>1848</v>
      </c>
      <c r="M307" s="2">
        <v>6.75</v>
      </c>
      <c r="N307" s="4">
        <v>6726.77</v>
      </c>
      <c r="O307" s="1">
        <v>-16.099467610275159</v>
      </c>
      <c r="P307" s="6">
        <v>40.1</v>
      </c>
      <c r="Q307" s="6">
        <v>24.7</v>
      </c>
      <c r="R307" s="6">
        <v>10.5</v>
      </c>
      <c r="S307" s="6">
        <v>11.6</v>
      </c>
      <c r="T307" s="5">
        <v>8.3000000000000001E-4</v>
      </c>
      <c r="U307" s="1">
        <v>-2.2100000000000002E-2</v>
      </c>
      <c r="V307" s="1">
        <v>5.6749999999999998</v>
      </c>
    </row>
    <row r="308" spans="1:22" x14ac:dyDescent="0.25">
      <c r="A308" s="1">
        <v>0.99839999999999995</v>
      </c>
      <c r="B308" s="9" t="s">
        <v>4004</v>
      </c>
      <c r="C308" s="2">
        <v>7493</v>
      </c>
      <c r="D308" s="2" t="s">
        <v>61</v>
      </c>
      <c r="E308" s="9" t="s">
        <v>4005</v>
      </c>
      <c r="F308" s="9" t="s">
        <v>732</v>
      </c>
      <c r="G308" s="1">
        <v>2024.9917</v>
      </c>
      <c r="H308" s="2">
        <v>1379</v>
      </c>
      <c r="I308" s="2">
        <v>3</v>
      </c>
      <c r="J308" s="1">
        <v>2024.953</v>
      </c>
      <c r="K308" s="1">
        <v>676.00450000000001</v>
      </c>
      <c r="L308" s="9" t="s">
        <v>733</v>
      </c>
      <c r="M308" s="2">
        <v>4.83</v>
      </c>
      <c r="N308" s="4">
        <v>6743.07</v>
      </c>
      <c r="O308" s="1">
        <v>-19.082713206790782</v>
      </c>
      <c r="P308" s="6">
        <v>39.9</v>
      </c>
      <c r="Q308" s="6">
        <v>28.1</v>
      </c>
      <c r="R308" s="6">
        <v>7.7</v>
      </c>
      <c r="S308" s="6">
        <v>10.199999999999999</v>
      </c>
      <c r="T308" s="5">
        <v>2.5999999999999999E-3</v>
      </c>
      <c r="U308" s="1">
        <v>-3.8699999999999998E-2</v>
      </c>
      <c r="V308" s="1">
        <v>4.8009000000000004</v>
      </c>
    </row>
    <row r="309" spans="1:22" x14ac:dyDescent="0.25">
      <c r="A309" s="1">
        <v>0.97889999999999999</v>
      </c>
      <c r="B309" s="9" t="s">
        <v>4006</v>
      </c>
      <c r="C309" s="2">
        <v>7495</v>
      </c>
      <c r="D309" s="2" t="s">
        <v>1653</v>
      </c>
      <c r="E309" s="9" t="s">
        <v>3863</v>
      </c>
      <c r="F309" s="9" t="s">
        <v>1847</v>
      </c>
      <c r="G309" s="1">
        <v>1598.8336999999999</v>
      </c>
      <c r="H309" s="2">
        <v>1346</v>
      </c>
      <c r="I309" s="2">
        <v>2</v>
      </c>
      <c r="J309" s="1">
        <v>1598.7833000000001</v>
      </c>
      <c r="K309" s="1">
        <v>800.42409999999995</v>
      </c>
      <c r="L309" s="9" t="s">
        <v>1848</v>
      </c>
      <c r="M309" s="2">
        <v>5.97</v>
      </c>
      <c r="N309" s="4">
        <v>6780.82</v>
      </c>
      <c r="O309" s="1">
        <v>-31.483309910333787</v>
      </c>
      <c r="P309" s="6">
        <v>33.200000000000003</v>
      </c>
      <c r="Q309" s="6">
        <v>23.3</v>
      </c>
      <c r="R309" s="6">
        <v>0</v>
      </c>
      <c r="S309" s="6">
        <v>11</v>
      </c>
      <c r="T309" s="5">
        <v>4.4000000000000003E-3</v>
      </c>
      <c r="U309" s="1">
        <v>-5.04E-2</v>
      </c>
      <c r="V309" s="1">
        <v>3.9954000000000001</v>
      </c>
    </row>
    <row r="310" spans="1:22" x14ac:dyDescent="0.25">
      <c r="A310" s="1">
        <v>0.99990000000000001</v>
      </c>
      <c r="B310" s="9" t="s">
        <v>4007</v>
      </c>
      <c r="C310" s="2">
        <v>7497</v>
      </c>
      <c r="D310" s="2" t="s">
        <v>3878</v>
      </c>
      <c r="E310" s="9" t="s">
        <v>3872</v>
      </c>
      <c r="F310" s="9" t="s">
        <v>3873</v>
      </c>
      <c r="G310" s="1">
        <v>3657.9877000000001</v>
      </c>
      <c r="H310" s="2">
        <v>1396</v>
      </c>
      <c r="I310" s="2">
        <v>4</v>
      </c>
      <c r="J310" s="1">
        <v>3657.8921999999998</v>
      </c>
      <c r="K310" s="1">
        <v>915.50419999999997</v>
      </c>
      <c r="L310" s="9" t="s">
        <v>1907</v>
      </c>
      <c r="M310" s="2">
        <v>8.5</v>
      </c>
      <c r="N310" s="4">
        <v>6803.92</v>
      </c>
      <c r="O310" s="1">
        <v>-26.078525909547988</v>
      </c>
      <c r="P310" s="6">
        <v>49.9</v>
      </c>
      <c r="Q310" s="6">
        <v>28.6</v>
      </c>
      <c r="R310" s="6">
        <v>10.199999999999999</v>
      </c>
      <c r="S310" s="6">
        <v>12.8</v>
      </c>
      <c r="T310" s="5">
        <v>1.7000000000000001E-4</v>
      </c>
      <c r="U310" s="1">
        <v>-9.5500000000000002E-2</v>
      </c>
      <c r="V310" s="1">
        <v>4.6412000000000004</v>
      </c>
    </row>
    <row r="311" spans="1:22" x14ac:dyDescent="0.25">
      <c r="A311" s="1">
        <v>0.9889</v>
      </c>
      <c r="B311" s="9" t="s">
        <v>4008</v>
      </c>
      <c r="C311" s="2">
        <v>7499</v>
      </c>
      <c r="D311" s="2" t="s">
        <v>2910</v>
      </c>
      <c r="E311" s="9" t="s">
        <v>3880</v>
      </c>
      <c r="F311" s="9" t="s">
        <v>597</v>
      </c>
      <c r="G311" s="1">
        <v>2310.2977000000001</v>
      </c>
      <c r="H311" s="2">
        <v>1380</v>
      </c>
      <c r="I311" s="2">
        <v>3</v>
      </c>
      <c r="J311" s="1">
        <v>2310.2399</v>
      </c>
      <c r="K311" s="1">
        <v>771.10649999999998</v>
      </c>
      <c r="L311" s="9" t="s">
        <v>157</v>
      </c>
      <c r="M311" s="2">
        <v>8.59</v>
      </c>
      <c r="N311" s="4">
        <v>6842.57</v>
      </c>
      <c r="O311" s="1">
        <v>-24.985740188504007</v>
      </c>
      <c r="P311" s="6">
        <v>35.700000000000003</v>
      </c>
      <c r="Q311" s="6">
        <v>26.3</v>
      </c>
      <c r="R311" s="6">
        <v>12</v>
      </c>
      <c r="S311" s="6">
        <v>9.1</v>
      </c>
      <c r="T311" s="5">
        <v>5.1000000000000004E-3</v>
      </c>
      <c r="U311" s="1">
        <v>-5.7799999999999997E-2</v>
      </c>
      <c r="V311" s="1">
        <v>3.5735000000000001</v>
      </c>
    </row>
    <row r="312" spans="1:22" x14ac:dyDescent="0.25">
      <c r="A312" s="1">
        <v>0.96479999999999999</v>
      </c>
      <c r="B312" s="9" t="s">
        <v>4009</v>
      </c>
      <c r="C312" s="2">
        <v>7502</v>
      </c>
      <c r="D312" s="2" t="s">
        <v>1337</v>
      </c>
      <c r="E312" s="9" t="s">
        <v>3882</v>
      </c>
      <c r="F312" s="9" t="s">
        <v>1023</v>
      </c>
      <c r="G312" s="1">
        <v>2213.1687000000002</v>
      </c>
      <c r="H312" s="2">
        <v>1382</v>
      </c>
      <c r="I312" s="2">
        <v>3</v>
      </c>
      <c r="J312" s="1">
        <v>2213.1385</v>
      </c>
      <c r="K312" s="1">
        <v>738.73019999999997</v>
      </c>
      <c r="L312" s="9" t="s">
        <v>1024</v>
      </c>
      <c r="M312" s="2">
        <v>4.75</v>
      </c>
      <c r="N312" s="4">
        <v>6901.67</v>
      </c>
      <c r="O312" s="1">
        <v>-13.626986776317885</v>
      </c>
      <c r="P312" s="6">
        <v>39.9</v>
      </c>
      <c r="Q312" s="6">
        <v>30.8</v>
      </c>
      <c r="R312" s="6">
        <v>10.4</v>
      </c>
      <c r="S312" s="6">
        <v>11.1</v>
      </c>
      <c r="T312" s="5">
        <v>2.3E-2</v>
      </c>
      <c r="U312" s="1">
        <v>-3.0200000000000001E-2</v>
      </c>
      <c r="V312" s="1">
        <v>2.907</v>
      </c>
    </row>
    <row r="313" spans="1:22" x14ac:dyDescent="0.25">
      <c r="A313" s="1">
        <v>0.97019999999999995</v>
      </c>
      <c r="B313" s="9" t="s">
        <v>4010</v>
      </c>
      <c r="C313" s="2">
        <v>7512</v>
      </c>
      <c r="D313" s="2" t="s">
        <v>1145</v>
      </c>
      <c r="E313" s="9" t="s">
        <v>4011</v>
      </c>
      <c r="F313" s="9" t="s">
        <v>4012</v>
      </c>
      <c r="G313" s="1">
        <v>1375.7347</v>
      </c>
      <c r="H313" s="2">
        <v>1349</v>
      </c>
      <c r="I313" s="2">
        <v>2</v>
      </c>
      <c r="J313" s="1">
        <v>1376.7229</v>
      </c>
      <c r="K313" s="1">
        <v>688.87459999999999</v>
      </c>
      <c r="L313" s="9" t="s">
        <v>4013</v>
      </c>
      <c r="M313" s="2">
        <v>4</v>
      </c>
      <c r="N313" s="4">
        <v>7096.44</v>
      </c>
      <c r="O313" s="1">
        <v>-10.999824931852642</v>
      </c>
      <c r="P313" s="6">
        <v>45.4</v>
      </c>
      <c r="Q313" s="6">
        <v>33.9</v>
      </c>
      <c r="R313" s="6">
        <v>11.5</v>
      </c>
      <c r="S313" s="6">
        <v>8.1999999999999993</v>
      </c>
      <c r="T313" s="5">
        <v>5.5000000000000003E-4</v>
      </c>
      <c r="U313" s="1">
        <v>0.98819999999999997</v>
      </c>
      <c r="V313" s="1">
        <v>4.5471000000000004</v>
      </c>
    </row>
    <row r="314" spans="1:22" x14ac:dyDescent="0.25">
      <c r="A314" s="1">
        <v>1</v>
      </c>
      <c r="B314" s="9" t="s">
        <v>4014</v>
      </c>
      <c r="C314" s="2">
        <v>7512</v>
      </c>
      <c r="D314" s="2" t="s">
        <v>2146</v>
      </c>
      <c r="E314" s="9" t="s">
        <v>3885</v>
      </c>
      <c r="F314" s="9" t="s">
        <v>2585</v>
      </c>
      <c r="G314" s="1">
        <v>2753.5356999999999</v>
      </c>
      <c r="H314" s="2">
        <v>1397</v>
      </c>
      <c r="I314" s="2">
        <v>4</v>
      </c>
      <c r="J314" s="1">
        <v>2753.4458</v>
      </c>
      <c r="K314" s="1">
        <v>689.39120000000003</v>
      </c>
      <c r="L314" s="9" t="s">
        <v>2586</v>
      </c>
      <c r="M314" s="2">
        <v>9.6999999999999993</v>
      </c>
      <c r="N314" s="4">
        <v>7096.44</v>
      </c>
      <c r="O314" s="1">
        <v>-32.601228446200061</v>
      </c>
      <c r="P314" s="6">
        <v>64.599999999999994</v>
      </c>
      <c r="Q314" s="6">
        <v>35.799999999999997</v>
      </c>
      <c r="R314" s="6">
        <v>11.5</v>
      </c>
      <c r="S314" s="6">
        <v>8.6</v>
      </c>
      <c r="T314" s="5">
        <v>2.9000000000000002E-8</v>
      </c>
      <c r="U314" s="1">
        <v>-8.9899999999999994E-2</v>
      </c>
      <c r="V314" s="1">
        <v>8.7561999999999998</v>
      </c>
    </row>
    <row r="315" spans="1:22" x14ac:dyDescent="0.25">
      <c r="A315" s="1">
        <v>0.99809999999999999</v>
      </c>
      <c r="B315" s="9" t="s">
        <v>4015</v>
      </c>
      <c r="C315" s="2">
        <v>7515</v>
      </c>
      <c r="D315" s="2" t="s">
        <v>493</v>
      </c>
      <c r="E315" s="9" t="s">
        <v>3889</v>
      </c>
      <c r="F315" s="9" t="s">
        <v>3890</v>
      </c>
      <c r="G315" s="1">
        <v>1462.8217</v>
      </c>
      <c r="H315" s="2">
        <v>1350</v>
      </c>
      <c r="I315" s="2">
        <v>2</v>
      </c>
      <c r="J315" s="1">
        <v>1462.7837</v>
      </c>
      <c r="K315" s="1">
        <v>732.41809999999998</v>
      </c>
      <c r="L315" s="9" t="s">
        <v>2538</v>
      </c>
      <c r="M315" s="2">
        <v>10</v>
      </c>
      <c r="N315" s="4">
        <v>7134.31</v>
      </c>
      <c r="O315" s="1">
        <v>-25.941467039113313</v>
      </c>
      <c r="P315" s="6">
        <v>49.5</v>
      </c>
      <c r="Q315" s="6">
        <v>35.4</v>
      </c>
      <c r="R315" s="6">
        <v>11.3</v>
      </c>
      <c r="S315" s="6">
        <v>11.5</v>
      </c>
      <c r="T315" s="5">
        <v>7.9000000000000008E-3</v>
      </c>
      <c r="U315" s="1">
        <v>-3.7999999999999999E-2</v>
      </c>
      <c r="V315" s="1">
        <v>3.8121999999999998</v>
      </c>
    </row>
    <row r="316" spans="1:22" x14ac:dyDescent="0.25">
      <c r="A316" s="1">
        <v>0.99890000000000001</v>
      </c>
      <c r="B316" s="9" t="s">
        <v>4016</v>
      </c>
      <c r="C316" s="2">
        <v>7518</v>
      </c>
      <c r="D316" s="2" t="s">
        <v>280</v>
      </c>
      <c r="E316" s="9" t="s">
        <v>3897</v>
      </c>
      <c r="F316" s="9" t="s">
        <v>3898</v>
      </c>
      <c r="G316" s="1">
        <v>1713.8536999999999</v>
      </c>
      <c r="H316" s="2">
        <v>1351</v>
      </c>
      <c r="I316" s="2">
        <v>2</v>
      </c>
      <c r="J316" s="1">
        <v>1713.7835</v>
      </c>
      <c r="K316" s="1">
        <v>857.93409999999994</v>
      </c>
      <c r="L316" s="9" t="s">
        <v>3899</v>
      </c>
      <c r="M316" s="2">
        <v>4.46</v>
      </c>
      <c r="N316" s="4">
        <v>7211.3</v>
      </c>
      <c r="O316" s="1">
        <v>-40.912233235629643</v>
      </c>
      <c r="P316" s="6">
        <v>43.1</v>
      </c>
      <c r="Q316" s="6">
        <v>32.1</v>
      </c>
      <c r="R316" s="6">
        <v>11.6</v>
      </c>
      <c r="S316" s="6">
        <v>10.9</v>
      </c>
      <c r="T316" s="5">
        <v>2.3E-3</v>
      </c>
      <c r="U316" s="1">
        <v>-7.0199999999999999E-2</v>
      </c>
      <c r="V316" s="1">
        <v>4.2282999999999999</v>
      </c>
    </row>
    <row r="317" spans="1:22" x14ac:dyDescent="0.25">
      <c r="A317" s="1">
        <v>0.99990000000000001</v>
      </c>
      <c r="B317" s="9" t="s">
        <v>4017</v>
      </c>
      <c r="C317" s="2">
        <v>7519</v>
      </c>
      <c r="D317" s="2" t="s">
        <v>3822</v>
      </c>
      <c r="E317" s="9" t="s">
        <v>3901</v>
      </c>
      <c r="F317" s="9" t="s">
        <v>2585</v>
      </c>
      <c r="G317" s="1">
        <v>2002.1137000000001</v>
      </c>
      <c r="H317" s="2">
        <v>1385</v>
      </c>
      <c r="I317" s="2">
        <v>3</v>
      </c>
      <c r="J317" s="1">
        <v>2002.0878</v>
      </c>
      <c r="K317" s="1">
        <v>668.37850000000003</v>
      </c>
      <c r="L317" s="9" t="s">
        <v>2586</v>
      </c>
      <c r="M317" s="2">
        <v>8.69</v>
      </c>
      <c r="N317" s="4">
        <v>7227.7</v>
      </c>
      <c r="O317" s="1">
        <v>-12.916832802571198</v>
      </c>
      <c r="P317" s="6">
        <v>50.1</v>
      </c>
      <c r="Q317" s="6">
        <v>28.7</v>
      </c>
      <c r="R317" s="6">
        <v>11.1</v>
      </c>
      <c r="S317" s="6">
        <v>10.7</v>
      </c>
      <c r="T317" s="5">
        <v>1.5E-5</v>
      </c>
      <c r="U317" s="1">
        <v>-2.5899999999999999E-2</v>
      </c>
      <c r="V317" s="1">
        <v>7.4497</v>
      </c>
    </row>
    <row r="318" spans="1:22" x14ac:dyDescent="0.25">
      <c r="A318" s="1">
        <v>0.99450000000000005</v>
      </c>
      <c r="B318" s="9" t="s">
        <v>4018</v>
      </c>
      <c r="C318" s="2">
        <v>7534</v>
      </c>
      <c r="D318" s="2" t="s">
        <v>178</v>
      </c>
      <c r="E318" s="9" t="s">
        <v>3912</v>
      </c>
      <c r="F318" s="9" t="s">
        <v>829</v>
      </c>
      <c r="G318" s="1">
        <v>1397.7587000000001</v>
      </c>
      <c r="H318" s="2">
        <v>186</v>
      </c>
      <c r="I318" s="2">
        <v>2</v>
      </c>
      <c r="J318" s="1">
        <v>1397.7316000000001</v>
      </c>
      <c r="K318" s="1">
        <v>699.88660000000004</v>
      </c>
      <c r="L318" s="9" t="s">
        <v>827</v>
      </c>
      <c r="M318" s="2">
        <v>6.09</v>
      </c>
      <c r="N318" s="4">
        <v>7408.62</v>
      </c>
      <c r="O318" s="1">
        <v>-19.360279222376882</v>
      </c>
      <c r="P318" s="6">
        <v>39.6</v>
      </c>
      <c r="Q318" s="6">
        <v>25</v>
      </c>
      <c r="R318" s="6">
        <v>11</v>
      </c>
      <c r="S318" s="6">
        <v>12.8</v>
      </c>
      <c r="T318" s="5">
        <v>5.0000000000000001E-3</v>
      </c>
      <c r="U318" s="1">
        <v>-2.7099999999999999E-2</v>
      </c>
      <c r="V318" s="1">
        <v>4.3872999999999998</v>
      </c>
    </row>
    <row r="319" spans="1:22" x14ac:dyDescent="0.25">
      <c r="A319" s="1">
        <v>0.97330000000000005</v>
      </c>
      <c r="B319" s="9" t="s">
        <v>4019</v>
      </c>
      <c r="C319" s="2">
        <v>7563</v>
      </c>
      <c r="D319" s="2" t="s">
        <v>1608</v>
      </c>
      <c r="E319" s="9" t="s">
        <v>3920</v>
      </c>
      <c r="F319" s="9" t="s">
        <v>2585</v>
      </c>
      <c r="G319" s="1">
        <v>2597.4097000000002</v>
      </c>
      <c r="H319" s="2">
        <v>1386</v>
      </c>
      <c r="I319" s="2">
        <v>3</v>
      </c>
      <c r="J319" s="1">
        <v>2597.3279000000002</v>
      </c>
      <c r="K319" s="1">
        <v>866.81050000000005</v>
      </c>
      <c r="L319" s="9" t="s">
        <v>2586</v>
      </c>
      <c r="M319" s="2">
        <v>8.6300000000000008</v>
      </c>
      <c r="N319" s="4">
        <v>7846.49</v>
      </c>
      <c r="O319" s="1">
        <v>-31.456317922621686</v>
      </c>
      <c r="P319" s="6">
        <v>38</v>
      </c>
      <c r="Q319" s="6">
        <v>30.1</v>
      </c>
      <c r="R319" s="6">
        <v>9.9</v>
      </c>
      <c r="S319" s="6">
        <v>8.6</v>
      </c>
      <c r="T319" s="5">
        <v>6.1999999999999998E-3</v>
      </c>
      <c r="U319" s="1">
        <v>-8.1799999999999998E-2</v>
      </c>
      <c r="V319" s="1">
        <v>3.0649000000000002</v>
      </c>
    </row>
  </sheetData>
  <mergeCells count="1">
    <mergeCell ref="A2:I2"/>
  </mergeCells>
  <phoneticPr fontId="21" type="noConversion"/>
  <hyperlinks>
    <hyperlink ref="J1" location="'Supplementary Table 2'!A1" display="back to index"/>
  </hyperlinks>
  <pageMargins left="0.39000000000000007" right="0.39000000000000007" top="0.39000000000000007" bottom="0.39000000000000007" header="0" footer="0"/>
  <pageSetup orientation="landscape" r:id="rId1"/>
  <ignoredErrors>
    <ignoredError sqref="A5:N319 A4:N4 P4:V4 P5:V319" twoDigitTextYear="1"/>
  </ignoredErrors>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7"/>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1"/>
    <col min="16" max="19" width="15.7109375" style="6"/>
    <col min="20" max="20" width="15.7109375" style="5"/>
    <col min="21" max="22" width="15.7109375" style="1"/>
    <col min="23" max="16384" width="15.7109375" style="2"/>
  </cols>
  <sheetData>
    <row r="1" spans="1:22" ht="15" customHeight="1" x14ac:dyDescent="0.25">
      <c r="A1" s="12" t="s">
        <v>5401</v>
      </c>
      <c r="J1" s="26" t="s">
        <v>5405</v>
      </c>
    </row>
    <row r="2" spans="1:22" s="21" customFormat="1" ht="90" customHeight="1" x14ac:dyDescent="0.25">
      <c r="A2" s="34" t="s">
        <v>5384</v>
      </c>
      <c r="B2" s="34"/>
      <c r="C2" s="34"/>
      <c r="D2" s="34"/>
      <c r="E2" s="34"/>
      <c r="F2" s="34"/>
      <c r="G2" s="34"/>
      <c r="H2" s="34"/>
      <c r="I2" s="34"/>
      <c r="N2" s="22"/>
      <c r="O2" s="1"/>
      <c r="P2" s="23"/>
      <c r="Q2" s="23"/>
      <c r="R2" s="23"/>
      <c r="S2" s="23"/>
      <c r="T2" s="24"/>
      <c r="U2" s="25"/>
      <c r="V2" s="25"/>
    </row>
    <row r="3" spans="1:22" s="8" customFormat="1" ht="45" x14ac:dyDescent="0.25">
      <c r="A3" s="7" t="str">
        <f>'MMP1-G'!A3</f>
        <v>probability</v>
      </c>
      <c r="B3" s="7" t="str">
        <f>'MMP1-G'!B3</f>
        <v>spectrum</v>
      </c>
      <c r="C3" s="7" t="str">
        <f>'MMP1-G'!C3</f>
        <v>start scan</v>
      </c>
      <c r="D3" s="7" t="str">
        <f>'MMP1-G'!D3</f>
        <v>ions</v>
      </c>
      <c r="E3" s="7" t="str">
        <f>'MMP1-G'!E3</f>
        <v>peptide</v>
      </c>
      <c r="F3" s="7" t="str">
        <f>'MMP1-G'!F3</f>
        <v>protein</v>
      </c>
      <c r="G3" s="7" t="str">
        <f>'MMP1-G'!G3</f>
        <v>calculated neutral
peptide mass</v>
      </c>
      <c r="H3" s="7" t="str">
        <f>'MMP1-G'!H3</f>
        <v>index</v>
      </c>
      <c r="I3" s="7" t="str">
        <f>'MMP1-G'!I3</f>
        <v>assumed charge</v>
      </c>
      <c r="J3" s="7" t="str">
        <f>'MMP1-G'!J3</f>
        <v>precursor neutral mass</v>
      </c>
      <c r="K3" s="7" t="str">
        <f>'MMP1-G'!K3</f>
        <v>m/z ratio</v>
      </c>
      <c r="L3" s="7" t="str">
        <f>'MMP1-G'!L3</f>
        <v>protein description</v>
      </c>
      <c r="M3" s="7" t="str">
        <f>'MMP1-G'!M3</f>
        <v>pI</v>
      </c>
      <c r="N3" s="7" t="str">
        <f>'MMP1-G'!N3</f>
        <v>retention
time (sec)</v>
      </c>
      <c r="O3" s="7" t="str">
        <f>'MMP1-G'!O3</f>
        <v>ppm</v>
      </c>
      <c r="P3" s="7" t="str">
        <f>'MMP1-G'!P3</f>
        <v>hyperscore</v>
      </c>
      <c r="Q3" s="7" t="str">
        <f>'MMP1-G'!Q3</f>
        <v>nextscore</v>
      </c>
      <c r="R3" s="7" t="str">
        <f>'MMP1-G'!R3</f>
        <v>bscore</v>
      </c>
      <c r="S3" s="7" t="str">
        <f>'MMP1-G'!S3</f>
        <v>yscore</v>
      </c>
      <c r="T3" s="7" t="str">
        <f>'MMP1-G'!T3</f>
        <v>expect</v>
      </c>
      <c r="U3" s="7" t="str">
        <f>'MMP1-G'!U3</f>
        <v>mass diff</v>
      </c>
      <c r="V3" s="7" t="str">
        <f>'MMP1-G'!V3</f>
        <v>fval</v>
      </c>
    </row>
    <row r="4" spans="1:22" x14ac:dyDescent="0.25">
      <c r="A4" s="1">
        <v>0.98650000000000004</v>
      </c>
      <c r="B4" s="9" t="s">
        <v>4020</v>
      </c>
      <c r="C4" s="2">
        <v>1295</v>
      </c>
      <c r="D4" s="3" t="s">
        <v>4021</v>
      </c>
      <c r="E4" s="9" t="s">
        <v>1798</v>
      </c>
      <c r="F4" s="9" t="s">
        <v>1799</v>
      </c>
      <c r="G4" s="1">
        <v>1747.0177000000001</v>
      </c>
      <c r="H4" s="2">
        <v>448</v>
      </c>
      <c r="I4" s="2">
        <v>4</v>
      </c>
      <c r="J4" s="1">
        <v>1746.9898000000001</v>
      </c>
      <c r="K4" s="1">
        <v>437.76170000000002</v>
      </c>
      <c r="L4" s="9" t="s">
        <v>1800</v>
      </c>
      <c r="M4" s="2">
        <v>10.48</v>
      </c>
      <c r="N4" s="4">
        <v>1375.49</v>
      </c>
      <c r="O4" s="1">
        <v>-15.9336</v>
      </c>
      <c r="P4" s="6">
        <v>38.4</v>
      </c>
      <c r="Q4" s="6">
        <v>28.7</v>
      </c>
      <c r="R4" s="6">
        <v>9.4</v>
      </c>
      <c r="S4" s="6">
        <v>12.5</v>
      </c>
      <c r="T4" s="5">
        <v>2.4E-2</v>
      </c>
      <c r="U4" s="1">
        <v>-2.7900000000000001E-2</v>
      </c>
      <c r="V4" s="1">
        <v>3.4304999999999999</v>
      </c>
    </row>
    <row r="5" spans="1:22" x14ac:dyDescent="0.25">
      <c r="A5" s="1">
        <v>0.9899</v>
      </c>
      <c r="B5" s="9" t="s">
        <v>4022</v>
      </c>
      <c r="C5" s="2">
        <v>1350</v>
      </c>
      <c r="D5" s="3" t="s">
        <v>3445</v>
      </c>
      <c r="E5" s="9" t="s">
        <v>1805</v>
      </c>
      <c r="F5" s="9" t="s">
        <v>1799</v>
      </c>
      <c r="G5" s="1">
        <v>1962.1087</v>
      </c>
      <c r="H5" s="2">
        <v>451</v>
      </c>
      <c r="I5" s="2">
        <v>4</v>
      </c>
      <c r="J5" s="1">
        <v>1962.0972999999999</v>
      </c>
      <c r="K5" s="1">
        <v>491.53449999999998</v>
      </c>
      <c r="L5" s="9" t="s">
        <v>1800</v>
      </c>
      <c r="M5" s="2">
        <v>10.48</v>
      </c>
      <c r="N5" s="4">
        <v>1436.39</v>
      </c>
      <c r="O5" s="1">
        <v>-5.7981999999999996</v>
      </c>
      <c r="P5" s="6">
        <v>41.3</v>
      </c>
      <c r="Q5" s="6">
        <v>34.200000000000003</v>
      </c>
      <c r="R5" s="6">
        <v>10.7</v>
      </c>
      <c r="S5" s="6">
        <v>12.3</v>
      </c>
      <c r="T5" s="5">
        <v>4.0000000000000001E-3</v>
      </c>
      <c r="U5" s="1">
        <v>-1.14E-2</v>
      </c>
      <c r="V5" s="1">
        <v>3.6132</v>
      </c>
    </row>
    <row r="6" spans="1:22" x14ac:dyDescent="0.25">
      <c r="A6" s="1">
        <v>0.99950000000000006</v>
      </c>
      <c r="B6" s="9" t="s">
        <v>4023</v>
      </c>
      <c r="C6" s="2">
        <v>1395</v>
      </c>
      <c r="D6" s="3" t="s">
        <v>2069</v>
      </c>
      <c r="E6" s="9" t="s">
        <v>4024</v>
      </c>
      <c r="F6" s="9" t="s">
        <v>3692</v>
      </c>
      <c r="G6" s="1">
        <v>1844.7956999999999</v>
      </c>
      <c r="H6" s="2">
        <v>452</v>
      </c>
      <c r="I6" s="2">
        <v>3</v>
      </c>
      <c r="J6" s="1">
        <v>1844.7773</v>
      </c>
      <c r="K6" s="1">
        <v>615.93920000000003</v>
      </c>
      <c r="L6" s="9" t="s">
        <v>161</v>
      </c>
      <c r="M6" s="2">
        <v>4.51</v>
      </c>
      <c r="N6" s="4">
        <v>1488.89</v>
      </c>
      <c r="O6" s="1">
        <v>-9.9578000000000007</v>
      </c>
      <c r="P6" s="6">
        <v>43.5</v>
      </c>
      <c r="Q6" s="6">
        <v>32.6</v>
      </c>
      <c r="R6" s="6">
        <v>11.2</v>
      </c>
      <c r="S6" s="6">
        <v>11.3</v>
      </c>
      <c r="T6" s="5">
        <v>7.9000000000000001E-4</v>
      </c>
      <c r="U6" s="1">
        <v>-1.84E-2</v>
      </c>
      <c r="V6" s="1">
        <v>5.3577000000000004</v>
      </c>
    </row>
    <row r="7" spans="1:22" x14ac:dyDescent="0.25">
      <c r="A7" s="1">
        <v>1</v>
      </c>
      <c r="B7" s="9" t="s">
        <v>4025</v>
      </c>
      <c r="C7" s="2">
        <v>1532</v>
      </c>
      <c r="D7" s="3" t="s">
        <v>3135</v>
      </c>
      <c r="E7" s="9" t="s">
        <v>3056</v>
      </c>
      <c r="F7" s="9" t="s">
        <v>3968</v>
      </c>
      <c r="G7" s="1">
        <v>1938.8387</v>
      </c>
      <c r="H7" s="2">
        <v>453</v>
      </c>
      <c r="I7" s="2">
        <v>3</v>
      </c>
      <c r="J7" s="1">
        <v>1938.8171</v>
      </c>
      <c r="K7" s="1">
        <v>647.28679999999997</v>
      </c>
      <c r="L7" s="9" t="s">
        <v>1998</v>
      </c>
      <c r="M7" s="2">
        <v>6.04</v>
      </c>
      <c r="N7" s="4">
        <v>1641.14</v>
      </c>
      <c r="O7" s="1">
        <v>-11.1235</v>
      </c>
      <c r="P7" s="6">
        <v>63.9</v>
      </c>
      <c r="Q7" s="6">
        <v>33.9</v>
      </c>
      <c r="R7" s="6">
        <v>11.8</v>
      </c>
      <c r="S7" s="6">
        <v>12.4</v>
      </c>
      <c r="T7" s="5">
        <v>2.9000000000000002E-6</v>
      </c>
      <c r="U7" s="1">
        <v>-2.1600000000000001E-2</v>
      </c>
      <c r="V7" s="1">
        <v>8.4239999999999995</v>
      </c>
    </row>
    <row r="8" spans="1:22" x14ac:dyDescent="0.25">
      <c r="A8" s="1">
        <v>0.99990000000000001</v>
      </c>
      <c r="B8" s="9" t="s">
        <v>4026</v>
      </c>
      <c r="C8" s="2">
        <v>1554</v>
      </c>
      <c r="D8" s="3" t="s">
        <v>2151</v>
      </c>
      <c r="E8" s="9" t="s">
        <v>3056</v>
      </c>
      <c r="F8" s="9" t="s">
        <v>1997</v>
      </c>
      <c r="G8" s="1">
        <v>1938.8387</v>
      </c>
      <c r="H8" s="2">
        <v>154</v>
      </c>
      <c r="I8" s="2">
        <v>3</v>
      </c>
      <c r="J8" s="1">
        <v>1938.7877000000001</v>
      </c>
      <c r="K8" s="1">
        <v>647.28679999999997</v>
      </c>
      <c r="L8" s="9" t="s">
        <v>1998</v>
      </c>
      <c r="M8" s="2">
        <v>6.04</v>
      </c>
      <c r="N8" s="4">
        <v>1671.59</v>
      </c>
      <c r="O8" s="1">
        <v>-26.264199999999999</v>
      </c>
      <c r="P8" s="6">
        <v>49.9</v>
      </c>
      <c r="Q8" s="6">
        <v>28.3</v>
      </c>
      <c r="R8" s="6">
        <v>11.9</v>
      </c>
      <c r="S8" s="6">
        <v>12</v>
      </c>
      <c r="T8" s="5">
        <v>3.8999999999999999E-6</v>
      </c>
      <c r="U8" s="1">
        <v>-5.0999999999999997E-2</v>
      </c>
      <c r="V8" s="1">
        <v>8.1117000000000008</v>
      </c>
    </row>
    <row r="9" spans="1:22" x14ac:dyDescent="0.25">
      <c r="A9" s="1">
        <v>0.99460000000000004</v>
      </c>
      <c r="B9" s="9" t="s">
        <v>4027</v>
      </c>
      <c r="C9" s="2">
        <v>1570</v>
      </c>
      <c r="D9" s="3" t="s">
        <v>30</v>
      </c>
      <c r="E9" s="9" t="s">
        <v>1831</v>
      </c>
      <c r="F9" s="9" t="s">
        <v>1832</v>
      </c>
      <c r="G9" s="1">
        <v>1306.6667</v>
      </c>
      <c r="H9" s="2">
        <v>155</v>
      </c>
      <c r="I9" s="2">
        <v>3</v>
      </c>
      <c r="J9" s="1">
        <v>1306.6522</v>
      </c>
      <c r="K9" s="1">
        <v>436.56279999999998</v>
      </c>
      <c r="L9" s="9" t="s">
        <v>518</v>
      </c>
      <c r="M9" s="2">
        <v>10.84</v>
      </c>
      <c r="N9" s="4">
        <v>1691.55</v>
      </c>
      <c r="O9" s="1">
        <v>-11.0715</v>
      </c>
      <c r="P9" s="6">
        <v>25.5</v>
      </c>
      <c r="Q9" s="6">
        <v>19.100000000000001</v>
      </c>
      <c r="R9" s="6">
        <v>5.7</v>
      </c>
      <c r="S9" s="6">
        <v>8.1</v>
      </c>
      <c r="T9" s="5">
        <v>3.7999999999999999E-2</v>
      </c>
      <c r="U9" s="1">
        <v>-1.4500000000000001E-2</v>
      </c>
      <c r="V9" s="1">
        <v>3.8555999999999999</v>
      </c>
    </row>
    <row r="10" spans="1:22" x14ac:dyDescent="0.25">
      <c r="A10" s="1">
        <v>0.97519999999999996</v>
      </c>
      <c r="B10" s="9" t="s">
        <v>4028</v>
      </c>
      <c r="C10" s="2">
        <v>1601</v>
      </c>
      <c r="D10" s="3" t="s">
        <v>331</v>
      </c>
      <c r="E10" s="9" t="s">
        <v>1838</v>
      </c>
      <c r="F10" s="9" t="s">
        <v>1839</v>
      </c>
      <c r="G10" s="1">
        <v>1461.6657</v>
      </c>
      <c r="H10" s="2">
        <v>457</v>
      </c>
      <c r="I10" s="2">
        <v>2</v>
      </c>
      <c r="J10" s="1">
        <v>1461.6393</v>
      </c>
      <c r="K10" s="1">
        <v>731.84010000000001</v>
      </c>
      <c r="L10" s="9" t="s">
        <v>1840</v>
      </c>
      <c r="M10" s="2">
        <v>4.62</v>
      </c>
      <c r="N10" s="4">
        <v>1734</v>
      </c>
      <c r="O10" s="1">
        <v>-18.037099999999999</v>
      </c>
      <c r="P10" s="6">
        <v>34.4</v>
      </c>
      <c r="Q10" s="6">
        <v>25.5</v>
      </c>
      <c r="R10" s="6">
        <v>7.4</v>
      </c>
      <c r="S10" s="6">
        <v>6.5</v>
      </c>
      <c r="T10" s="5">
        <v>5.5E-2</v>
      </c>
      <c r="U10" s="1">
        <v>-2.64E-2</v>
      </c>
      <c r="V10" s="1">
        <v>2.9346000000000001</v>
      </c>
    </row>
    <row r="11" spans="1:22" x14ac:dyDescent="0.25">
      <c r="A11" s="1">
        <v>0.99750000000000005</v>
      </c>
      <c r="B11" s="9" t="s">
        <v>4029</v>
      </c>
      <c r="C11" s="2">
        <v>1629</v>
      </c>
      <c r="D11" s="3" t="s">
        <v>2194</v>
      </c>
      <c r="E11" s="9" t="s">
        <v>4030</v>
      </c>
      <c r="F11" s="9" t="s">
        <v>4031</v>
      </c>
      <c r="G11" s="1">
        <v>1956.0717</v>
      </c>
      <c r="H11" s="2">
        <v>35</v>
      </c>
      <c r="I11" s="2">
        <v>3</v>
      </c>
      <c r="J11" s="1">
        <v>1956.0418</v>
      </c>
      <c r="K11" s="1">
        <v>653.03120000000001</v>
      </c>
      <c r="L11" s="9" t="s">
        <v>4032</v>
      </c>
      <c r="M11" s="2">
        <v>9.5299999999999994</v>
      </c>
      <c r="N11" s="4">
        <v>1774.65</v>
      </c>
      <c r="O11" s="1">
        <v>-15.2624</v>
      </c>
      <c r="P11" s="6">
        <v>37.9</v>
      </c>
      <c r="Q11" s="6">
        <v>26.4</v>
      </c>
      <c r="R11" s="6">
        <v>11.3</v>
      </c>
      <c r="S11" s="6">
        <v>11</v>
      </c>
      <c r="T11" s="5">
        <v>4.0999999999999999E-4</v>
      </c>
      <c r="U11" s="1">
        <v>-2.9899999999999999E-2</v>
      </c>
      <c r="V11" s="1">
        <v>5.6167999999999996</v>
      </c>
    </row>
    <row r="12" spans="1:22" x14ac:dyDescent="0.25">
      <c r="A12" s="1">
        <v>0.99380000000000002</v>
      </c>
      <c r="B12" s="9" t="s">
        <v>4033</v>
      </c>
      <c r="C12" s="2">
        <v>1648</v>
      </c>
      <c r="D12" s="3" t="s">
        <v>95</v>
      </c>
      <c r="E12" s="9" t="s">
        <v>1846</v>
      </c>
      <c r="F12" s="9" t="s">
        <v>1847</v>
      </c>
      <c r="G12" s="1">
        <v>1451.5626999999999</v>
      </c>
      <c r="H12" s="2">
        <v>159</v>
      </c>
      <c r="I12" s="2">
        <v>2</v>
      </c>
      <c r="J12" s="1">
        <v>1451.5436</v>
      </c>
      <c r="K12" s="1">
        <v>726.78859999999997</v>
      </c>
      <c r="L12" s="9" t="s">
        <v>1848</v>
      </c>
      <c r="M12" s="2">
        <v>5.21</v>
      </c>
      <c r="N12" s="4">
        <v>1811.65</v>
      </c>
      <c r="O12" s="1">
        <v>-13.1402</v>
      </c>
      <c r="P12" s="6">
        <v>31.2</v>
      </c>
      <c r="Q12" s="6">
        <v>21.8</v>
      </c>
      <c r="R12" s="6">
        <v>13.5</v>
      </c>
      <c r="S12" s="6">
        <v>12.5</v>
      </c>
      <c r="T12" s="5">
        <v>1.7000000000000001E-2</v>
      </c>
      <c r="U12" s="1">
        <v>-1.9099999999999999E-2</v>
      </c>
      <c r="V12" s="1">
        <v>3.8191000000000002</v>
      </c>
    </row>
    <row r="13" spans="1:22" x14ac:dyDescent="0.25">
      <c r="A13" s="1">
        <v>0.95879999999999999</v>
      </c>
      <c r="B13" s="9" t="s">
        <v>4034</v>
      </c>
      <c r="C13" s="2">
        <v>1662</v>
      </c>
      <c r="D13" s="3" t="s">
        <v>621</v>
      </c>
      <c r="E13" s="9" t="s">
        <v>4035</v>
      </c>
      <c r="F13" s="9" t="s">
        <v>363</v>
      </c>
      <c r="G13" s="1">
        <v>1159.5907</v>
      </c>
      <c r="H13" s="2">
        <v>732</v>
      </c>
      <c r="I13" s="2">
        <v>2</v>
      </c>
      <c r="J13" s="1">
        <v>1159.5721000000001</v>
      </c>
      <c r="K13" s="1">
        <v>580.80259999999998</v>
      </c>
      <c r="L13" s="9" t="s">
        <v>364</v>
      </c>
      <c r="M13" s="2">
        <v>8.59</v>
      </c>
      <c r="N13" s="4">
        <v>1840.2</v>
      </c>
      <c r="O13" s="1">
        <v>-16.012599999999999</v>
      </c>
      <c r="P13" s="6">
        <v>35.1</v>
      </c>
      <c r="Q13" s="6">
        <v>27.3</v>
      </c>
      <c r="R13" s="6">
        <v>9.8000000000000007</v>
      </c>
      <c r="S13" s="6">
        <v>11.3</v>
      </c>
      <c r="T13" s="5">
        <v>9.4E-2</v>
      </c>
      <c r="U13" s="1">
        <v>-1.8599999999999998E-2</v>
      </c>
      <c r="V13" s="1">
        <v>2.7206999999999999</v>
      </c>
    </row>
    <row r="14" spans="1:22" x14ac:dyDescent="0.25">
      <c r="A14" s="1">
        <v>0.99950000000000006</v>
      </c>
      <c r="B14" s="9" t="s">
        <v>4036</v>
      </c>
      <c r="C14" s="2">
        <v>1664</v>
      </c>
      <c r="D14" s="3" t="s">
        <v>1850</v>
      </c>
      <c r="E14" s="9" t="s">
        <v>1851</v>
      </c>
      <c r="F14" s="9" t="s">
        <v>860</v>
      </c>
      <c r="G14" s="1">
        <v>1491.7967000000001</v>
      </c>
      <c r="H14" s="2">
        <v>458</v>
      </c>
      <c r="I14" s="2">
        <v>3</v>
      </c>
      <c r="J14" s="1">
        <v>1491.7506000000001</v>
      </c>
      <c r="K14" s="1">
        <v>498.27280000000002</v>
      </c>
      <c r="L14" s="9" t="s">
        <v>673</v>
      </c>
      <c r="M14" s="2">
        <v>9.6999999999999993</v>
      </c>
      <c r="N14" s="4">
        <v>1841.25</v>
      </c>
      <c r="O14" s="1">
        <v>-30.840800000000002</v>
      </c>
      <c r="P14" s="6">
        <v>48.3</v>
      </c>
      <c r="Q14" s="6">
        <v>48.3</v>
      </c>
      <c r="R14" s="6">
        <v>9.9</v>
      </c>
      <c r="S14" s="6">
        <v>11.7</v>
      </c>
      <c r="T14" s="5">
        <v>9.8999999999999994E-5</v>
      </c>
      <c r="U14" s="1">
        <v>-4.6100000000000002E-2</v>
      </c>
      <c r="V14" s="1">
        <v>5.3146000000000004</v>
      </c>
    </row>
    <row r="15" spans="1:22" x14ac:dyDescent="0.25">
      <c r="A15" s="1">
        <v>0.98640000000000005</v>
      </c>
      <c r="B15" s="9" t="s">
        <v>4037</v>
      </c>
      <c r="C15" s="2">
        <v>1676</v>
      </c>
      <c r="D15" s="3" t="s">
        <v>245</v>
      </c>
      <c r="E15" s="9" t="s">
        <v>4038</v>
      </c>
      <c r="F15" s="9" t="s">
        <v>4039</v>
      </c>
      <c r="G15" s="1">
        <v>1562.8716999999999</v>
      </c>
      <c r="H15" s="2">
        <v>460</v>
      </c>
      <c r="I15" s="2">
        <v>3</v>
      </c>
      <c r="J15" s="1">
        <v>1562.827</v>
      </c>
      <c r="K15" s="1">
        <v>521.96450000000004</v>
      </c>
      <c r="L15" s="9" t="s">
        <v>355</v>
      </c>
      <c r="M15" s="2">
        <v>9.99</v>
      </c>
      <c r="N15" s="4">
        <v>1863.45</v>
      </c>
      <c r="O15" s="1">
        <v>-28.546800000000001</v>
      </c>
      <c r="P15" s="6">
        <v>33</v>
      </c>
      <c r="Q15" s="6">
        <v>25.3</v>
      </c>
      <c r="R15" s="6">
        <v>11.7</v>
      </c>
      <c r="S15" s="6">
        <v>11.8</v>
      </c>
      <c r="T15" s="5">
        <v>7.8E-2</v>
      </c>
      <c r="U15" s="1">
        <v>-4.4699999999999997E-2</v>
      </c>
      <c r="V15" s="1">
        <v>3.02</v>
      </c>
    </row>
    <row r="16" spans="1:22" x14ac:dyDescent="0.25">
      <c r="A16" s="1">
        <v>0.99860000000000004</v>
      </c>
      <c r="B16" s="9" t="s">
        <v>4040</v>
      </c>
      <c r="C16" s="2">
        <v>1683</v>
      </c>
      <c r="D16" s="3" t="s">
        <v>56</v>
      </c>
      <c r="E16" s="9" t="s">
        <v>1851</v>
      </c>
      <c r="F16" s="9" t="s">
        <v>860</v>
      </c>
      <c r="G16" s="1">
        <v>1491.7967000000001</v>
      </c>
      <c r="H16" s="2">
        <v>462</v>
      </c>
      <c r="I16" s="2">
        <v>3</v>
      </c>
      <c r="J16" s="1">
        <v>1491.7502999999999</v>
      </c>
      <c r="K16" s="1">
        <v>498.27280000000002</v>
      </c>
      <c r="L16" s="9" t="s">
        <v>673</v>
      </c>
      <c r="M16" s="2">
        <v>9.6999999999999993</v>
      </c>
      <c r="N16" s="4">
        <v>1876.15</v>
      </c>
      <c r="O16" s="1">
        <v>-31.041499999999999</v>
      </c>
      <c r="P16" s="6">
        <v>45.2</v>
      </c>
      <c r="Q16" s="6">
        <v>45.2</v>
      </c>
      <c r="R16" s="6">
        <v>10.1</v>
      </c>
      <c r="S16" s="6">
        <v>11.7</v>
      </c>
      <c r="T16" s="5">
        <v>4.0000000000000002E-4</v>
      </c>
      <c r="U16" s="1">
        <v>-4.6399999999999997E-2</v>
      </c>
      <c r="V16" s="1">
        <v>4.54</v>
      </c>
    </row>
    <row r="17" spans="1:22" x14ac:dyDescent="0.25">
      <c r="A17" s="1">
        <v>0.98209999999999997</v>
      </c>
      <c r="B17" s="9" t="s">
        <v>4041</v>
      </c>
      <c r="C17" s="2">
        <v>1691</v>
      </c>
      <c r="D17" s="3" t="s">
        <v>343</v>
      </c>
      <c r="E17" s="9" t="s">
        <v>1867</v>
      </c>
      <c r="F17" s="9" t="s">
        <v>1868</v>
      </c>
      <c r="G17" s="1">
        <v>1003.4867</v>
      </c>
      <c r="H17" s="2">
        <v>110</v>
      </c>
      <c r="I17" s="2">
        <v>2</v>
      </c>
      <c r="J17" s="1">
        <v>1003.4627</v>
      </c>
      <c r="K17" s="1">
        <v>502.75060000000002</v>
      </c>
      <c r="L17" s="9" t="s">
        <v>939</v>
      </c>
      <c r="M17" s="2">
        <v>12</v>
      </c>
      <c r="N17" s="4">
        <v>1890.95</v>
      </c>
      <c r="O17" s="1">
        <v>-23.869299999999999</v>
      </c>
      <c r="P17" s="6">
        <v>26.7</v>
      </c>
      <c r="Q17" s="6">
        <v>22.9</v>
      </c>
      <c r="R17" s="6">
        <v>11.6</v>
      </c>
      <c r="S17" s="6">
        <v>11.6</v>
      </c>
      <c r="T17" s="5">
        <v>9.6000000000000002E-2</v>
      </c>
      <c r="U17" s="1">
        <v>-2.4E-2</v>
      </c>
      <c r="V17" s="1">
        <v>2.4089</v>
      </c>
    </row>
    <row r="18" spans="1:22" x14ac:dyDescent="0.25">
      <c r="A18" s="1">
        <v>0.98709999999999998</v>
      </c>
      <c r="B18" s="9" t="s">
        <v>4042</v>
      </c>
      <c r="C18" s="2">
        <v>1700</v>
      </c>
      <c r="D18" s="3" t="s">
        <v>370</v>
      </c>
      <c r="E18" s="9" t="s">
        <v>4043</v>
      </c>
      <c r="F18" s="9" t="s">
        <v>552</v>
      </c>
      <c r="G18" s="1">
        <v>1204.5397</v>
      </c>
      <c r="H18" s="2">
        <v>467</v>
      </c>
      <c r="I18" s="2">
        <v>2</v>
      </c>
      <c r="J18" s="1">
        <v>1204.5052000000001</v>
      </c>
      <c r="K18" s="1">
        <v>603.27710000000002</v>
      </c>
      <c r="L18" s="9" t="s">
        <v>456</v>
      </c>
      <c r="M18" s="2">
        <v>6.71</v>
      </c>
      <c r="N18" s="4">
        <v>1905.75</v>
      </c>
      <c r="O18" s="1">
        <f>(((IF(U4&lt;0.51,U4, IF(U4&lt;1.51,U4-1.003355,IF(U4&lt;2.6,U4-2*1.003355))))/I4)/K4)*1000000</f>
        <v>-15.933326282312958</v>
      </c>
      <c r="P18" s="6">
        <v>40.1</v>
      </c>
      <c r="Q18" s="6">
        <v>29.5</v>
      </c>
      <c r="R18" s="6">
        <v>8.5</v>
      </c>
      <c r="S18" s="6">
        <v>9.9</v>
      </c>
      <c r="T18" s="5">
        <v>2.7E-2</v>
      </c>
      <c r="U18" s="1">
        <v>-3.4500000000000003E-2</v>
      </c>
      <c r="V18" s="1">
        <v>3.4177</v>
      </c>
    </row>
    <row r="19" spans="1:22" x14ac:dyDescent="0.25">
      <c r="A19" s="1">
        <v>0.99809999999999999</v>
      </c>
      <c r="B19" s="9" t="s">
        <v>4044</v>
      </c>
      <c r="C19" s="2">
        <v>1703</v>
      </c>
      <c r="D19" s="3" t="s">
        <v>93</v>
      </c>
      <c r="E19" s="9" t="s">
        <v>4045</v>
      </c>
      <c r="F19" s="9" t="s">
        <v>1075</v>
      </c>
      <c r="G19" s="1">
        <v>1400.6717000000001</v>
      </c>
      <c r="H19" s="2">
        <v>161</v>
      </c>
      <c r="I19" s="2">
        <v>2</v>
      </c>
      <c r="J19" s="1">
        <v>1400.6505</v>
      </c>
      <c r="K19" s="1">
        <v>701.34310000000005</v>
      </c>
      <c r="L19" s="9" t="s">
        <v>1076</v>
      </c>
      <c r="M19" s="2">
        <v>6.25</v>
      </c>
      <c r="N19" s="4">
        <v>1913.15</v>
      </c>
      <c r="O19" s="1">
        <f t="shared" ref="O19:O82" si="0">(((IF(U5&lt;0.51,U5, IF(U5&lt;1.51,U5-1.003355,IF(U5&lt;2.6,U5-2*1.003355))))/I5)/K5)*1000000</f>
        <v>-5.7981687958830976</v>
      </c>
      <c r="P19" s="6">
        <v>51.1</v>
      </c>
      <c r="Q19" s="6">
        <v>36.200000000000003</v>
      </c>
      <c r="R19" s="6">
        <v>10.3</v>
      </c>
      <c r="S19" s="6">
        <v>11.8</v>
      </c>
      <c r="T19" s="5">
        <v>5.5999999999999995E-4</v>
      </c>
      <c r="U19" s="1">
        <v>-2.12E-2</v>
      </c>
      <c r="V19" s="1">
        <v>5.4188000000000001</v>
      </c>
    </row>
    <row r="20" spans="1:22" x14ac:dyDescent="0.25">
      <c r="A20" s="1">
        <v>0.99039999999999995</v>
      </c>
      <c r="B20" s="9" t="s">
        <v>4046</v>
      </c>
      <c r="C20" s="2">
        <v>1705</v>
      </c>
      <c r="D20" s="3" t="s">
        <v>3073</v>
      </c>
      <c r="E20" s="9" t="s">
        <v>1851</v>
      </c>
      <c r="F20" s="9" t="s">
        <v>860</v>
      </c>
      <c r="G20" s="1">
        <v>1491.7967000000001</v>
      </c>
      <c r="H20" s="2">
        <v>468</v>
      </c>
      <c r="I20" s="2">
        <v>3</v>
      </c>
      <c r="J20" s="1">
        <v>1491.7653</v>
      </c>
      <c r="K20" s="1">
        <v>498.27280000000002</v>
      </c>
      <c r="L20" s="9" t="s">
        <v>673</v>
      </c>
      <c r="M20" s="2">
        <v>9.6999999999999993</v>
      </c>
      <c r="N20" s="4">
        <v>1913.15</v>
      </c>
      <c r="O20" s="1">
        <f t="shared" si="0"/>
        <v>-9.9576927939207867</v>
      </c>
      <c r="P20" s="6">
        <v>40.4</v>
      </c>
      <c r="Q20" s="6">
        <v>40.4</v>
      </c>
      <c r="R20" s="6">
        <v>8.9</v>
      </c>
      <c r="S20" s="6">
        <v>10.4</v>
      </c>
      <c r="T20" s="5">
        <v>4.1999999999999997E-3</v>
      </c>
      <c r="U20" s="1">
        <v>-3.1399999999999997E-2</v>
      </c>
      <c r="V20" s="1">
        <v>3.2357</v>
      </c>
    </row>
    <row r="21" spans="1:22" x14ac:dyDescent="0.25">
      <c r="A21" s="1">
        <v>0.99129999999999996</v>
      </c>
      <c r="B21" s="9" t="s">
        <v>4047</v>
      </c>
      <c r="C21" s="2">
        <v>1748</v>
      </c>
      <c r="D21" s="3" t="s">
        <v>149</v>
      </c>
      <c r="E21" s="9" t="s">
        <v>4048</v>
      </c>
      <c r="F21" s="9" t="s">
        <v>1812</v>
      </c>
      <c r="G21" s="1">
        <v>1354.6667</v>
      </c>
      <c r="H21" s="2">
        <v>37</v>
      </c>
      <c r="I21" s="2">
        <v>3</v>
      </c>
      <c r="J21" s="1">
        <v>1354.6396999999999</v>
      </c>
      <c r="K21" s="1">
        <v>452.56279999999998</v>
      </c>
      <c r="L21" s="9" t="s">
        <v>1813</v>
      </c>
      <c r="M21" s="2">
        <v>6.3</v>
      </c>
      <c r="N21" s="4">
        <v>1994.55</v>
      </c>
      <c r="O21" s="1">
        <f t="shared" si="0"/>
        <v>-11.123353666411861</v>
      </c>
      <c r="P21" s="6">
        <v>32.200000000000003</v>
      </c>
      <c r="Q21" s="6">
        <v>24.5</v>
      </c>
      <c r="R21" s="6">
        <v>9.5</v>
      </c>
      <c r="S21" s="6">
        <v>9.3000000000000007</v>
      </c>
      <c r="T21" s="5">
        <v>1.2999999999999999E-2</v>
      </c>
      <c r="U21" s="1">
        <v>-2.7E-2</v>
      </c>
      <c r="V21" s="1">
        <v>4.2607999999999997</v>
      </c>
    </row>
    <row r="22" spans="1:22" x14ac:dyDescent="0.25">
      <c r="A22" s="1">
        <v>0.97409999999999997</v>
      </c>
      <c r="B22" s="9" t="s">
        <v>4049</v>
      </c>
      <c r="C22" s="2">
        <v>1768</v>
      </c>
      <c r="D22" s="3" t="s">
        <v>51</v>
      </c>
      <c r="E22" s="9" t="s">
        <v>1888</v>
      </c>
      <c r="F22" s="9" t="s">
        <v>860</v>
      </c>
      <c r="G22" s="1">
        <v>1150.5907</v>
      </c>
      <c r="H22" s="2">
        <v>473</v>
      </c>
      <c r="I22" s="2">
        <v>2</v>
      </c>
      <c r="J22" s="1">
        <v>1150.5641000000001</v>
      </c>
      <c r="K22" s="1">
        <v>576.30259999999998</v>
      </c>
      <c r="L22" s="9" t="s">
        <v>673</v>
      </c>
      <c r="M22" s="2">
        <v>8.56</v>
      </c>
      <c r="N22" s="4">
        <v>2031.55</v>
      </c>
      <c r="O22" s="1">
        <f t="shared" si="0"/>
        <v>-26.263473934583555</v>
      </c>
      <c r="P22" s="6">
        <v>54.1</v>
      </c>
      <c r="Q22" s="6">
        <v>54.1</v>
      </c>
      <c r="R22" s="6">
        <v>8</v>
      </c>
      <c r="S22" s="6">
        <v>10.8</v>
      </c>
      <c r="T22" s="5">
        <v>7.1000000000000004E-3</v>
      </c>
      <c r="U22" s="1">
        <v>-2.6599999999999999E-2</v>
      </c>
      <c r="V22" s="1">
        <v>2.9033000000000002</v>
      </c>
    </row>
    <row r="23" spans="1:22" x14ac:dyDescent="0.25">
      <c r="A23" s="1">
        <v>0.99919999999999998</v>
      </c>
      <c r="B23" s="9" t="s">
        <v>4050</v>
      </c>
      <c r="C23" s="2">
        <v>1775</v>
      </c>
      <c r="D23" s="3" t="s">
        <v>4051</v>
      </c>
      <c r="E23" s="9" t="s">
        <v>1883</v>
      </c>
      <c r="F23" s="9" t="s">
        <v>1605</v>
      </c>
      <c r="G23" s="1">
        <v>1921.8737000000001</v>
      </c>
      <c r="H23" s="2">
        <v>840</v>
      </c>
      <c r="I23" s="2">
        <v>3</v>
      </c>
      <c r="J23" s="1">
        <v>1921.8248000000001</v>
      </c>
      <c r="K23" s="1">
        <v>641.6318</v>
      </c>
      <c r="L23" s="9" t="s">
        <v>1606</v>
      </c>
      <c r="M23" s="2">
        <v>6.79</v>
      </c>
      <c r="N23" s="4">
        <v>2048.5</v>
      </c>
      <c r="O23" s="1">
        <f t="shared" si="0"/>
        <v>-11.071335746731819</v>
      </c>
      <c r="P23" s="6">
        <v>41.1</v>
      </c>
      <c r="Q23" s="6">
        <v>27.5</v>
      </c>
      <c r="R23" s="6">
        <v>10.6</v>
      </c>
      <c r="S23" s="6">
        <v>9.3000000000000007</v>
      </c>
      <c r="T23" s="5">
        <v>4.5000000000000003E-5</v>
      </c>
      <c r="U23" s="1">
        <v>-4.8899999999999999E-2</v>
      </c>
      <c r="V23" s="1">
        <v>6.0124000000000004</v>
      </c>
    </row>
    <row r="24" spans="1:22" x14ac:dyDescent="0.25">
      <c r="A24" s="1">
        <v>0.99790000000000001</v>
      </c>
      <c r="B24" s="9" t="s">
        <v>4052</v>
      </c>
      <c r="C24" s="2">
        <v>1787</v>
      </c>
      <c r="D24" s="3" t="s">
        <v>740</v>
      </c>
      <c r="E24" s="9" t="s">
        <v>4053</v>
      </c>
      <c r="F24" s="9" t="s">
        <v>4054</v>
      </c>
      <c r="G24" s="1">
        <v>1394.8567</v>
      </c>
      <c r="H24" s="2">
        <v>168</v>
      </c>
      <c r="I24" s="2">
        <v>3</v>
      </c>
      <c r="J24" s="1">
        <v>1394.8137999999999</v>
      </c>
      <c r="K24" s="1">
        <v>465.95949999999999</v>
      </c>
      <c r="L24" s="9" t="s">
        <v>4055</v>
      </c>
      <c r="M24" s="2">
        <v>9.5299999999999994</v>
      </c>
      <c r="N24" s="4">
        <v>2068.5500000000002</v>
      </c>
      <c r="O24" s="1">
        <f t="shared" si="0"/>
        <v>-18.036726875173962</v>
      </c>
      <c r="P24" s="6">
        <v>32.6</v>
      </c>
      <c r="Q24" s="6">
        <v>20.8</v>
      </c>
      <c r="R24" s="6">
        <v>10.3</v>
      </c>
      <c r="S24" s="6">
        <v>11.9</v>
      </c>
      <c r="T24" s="5">
        <v>2.5000000000000001E-2</v>
      </c>
      <c r="U24" s="1">
        <v>-4.2900000000000001E-2</v>
      </c>
      <c r="V24" s="1">
        <v>4.8223000000000003</v>
      </c>
    </row>
    <row r="25" spans="1:22" x14ac:dyDescent="0.25">
      <c r="A25" s="1">
        <v>0.99409999999999998</v>
      </c>
      <c r="B25" s="9" t="s">
        <v>4056</v>
      </c>
      <c r="C25" s="2">
        <v>1803</v>
      </c>
      <c r="D25" s="3" t="s">
        <v>149</v>
      </c>
      <c r="E25" s="9" t="s">
        <v>1891</v>
      </c>
      <c r="F25" s="9" t="s">
        <v>1832</v>
      </c>
      <c r="G25" s="1">
        <v>1469.7297000000001</v>
      </c>
      <c r="H25" s="2">
        <v>170</v>
      </c>
      <c r="I25" s="2">
        <v>3</v>
      </c>
      <c r="J25" s="1">
        <v>1469.6959999999999</v>
      </c>
      <c r="K25" s="1">
        <v>490.91719999999998</v>
      </c>
      <c r="L25" s="9" t="s">
        <v>518</v>
      </c>
      <c r="M25" s="2">
        <v>9.99</v>
      </c>
      <c r="N25" s="4">
        <v>2098.15</v>
      </c>
      <c r="O25" s="1">
        <f t="shared" si="0"/>
        <v>-15.262160011139846</v>
      </c>
      <c r="P25" s="6">
        <v>27.5</v>
      </c>
      <c r="Q25" s="6">
        <v>21.8</v>
      </c>
      <c r="R25" s="6">
        <v>7.1</v>
      </c>
      <c r="S25" s="6">
        <v>7.3</v>
      </c>
      <c r="T25" s="5">
        <v>2.3E-2</v>
      </c>
      <c r="U25" s="1">
        <v>-3.3700000000000001E-2</v>
      </c>
      <c r="V25" s="1">
        <v>3.7246999999999999</v>
      </c>
    </row>
    <row r="26" spans="1:22" x14ac:dyDescent="0.25">
      <c r="A26" s="1">
        <v>0.99970000000000003</v>
      </c>
      <c r="B26" s="9" t="s">
        <v>4057</v>
      </c>
      <c r="C26" s="2">
        <v>1817</v>
      </c>
      <c r="D26" s="3" t="s">
        <v>270</v>
      </c>
      <c r="E26" s="9" t="s">
        <v>1142</v>
      </c>
      <c r="F26" s="9" t="s">
        <v>4058</v>
      </c>
      <c r="G26" s="1">
        <v>1498.6327000000001</v>
      </c>
      <c r="H26" s="2">
        <v>737</v>
      </c>
      <c r="I26" s="2">
        <v>2</v>
      </c>
      <c r="J26" s="1">
        <v>1498.5987</v>
      </c>
      <c r="K26" s="1">
        <v>750.32360000000006</v>
      </c>
      <c r="L26" s="9" t="s">
        <v>714</v>
      </c>
      <c r="M26" s="2">
        <v>4.63</v>
      </c>
      <c r="N26" s="4">
        <v>2126.6999999999998</v>
      </c>
      <c r="O26" s="1">
        <f t="shared" si="0"/>
        <v>-13.139996967481327</v>
      </c>
      <c r="P26" s="6">
        <v>41.4</v>
      </c>
      <c r="Q26" s="6">
        <v>21.1</v>
      </c>
      <c r="R26" s="6">
        <v>11.1</v>
      </c>
      <c r="S26" s="6">
        <v>9</v>
      </c>
      <c r="T26" s="5">
        <v>1.1000000000000001E-6</v>
      </c>
      <c r="U26" s="1">
        <v>-3.4000000000000002E-2</v>
      </c>
      <c r="V26" s="1">
        <v>8.3637999999999995</v>
      </c>
    </row>
    <row r="27" spans="1:22" x14ac:dyDescent="0.25">
      <c r="A27" s="1">
        <v>0.99550000000000005</v>
      </c>
      <c r="B27" s="9" t="s">
        <v>4059</v>
      </c>
      <c r="C27" s="2">
        <v>1821</v>
      </c>
      <c r="D27" s="3" t="s">
        <v>621</v>
      </c>
      <c r="E27" s="9" t="s">
        <v>4060</v>
      </c>
      <c r="F27" s="9" t="s">
        <v>4061</v>
      </c>
      <c r="G27" s="1">
        <v>1298.6907000000001</v>
      </c>
      <c r="H27" s="2">
        <v>373</v>
      </c>
      <c r="I27" s="2">
        <v>2</v>
      </c>
      <c r="J27" s="1">
        <v>1298.6538</v>
      </c>
      <c r="K27" s="1">
        <v>650.35260000000005</v>
      </c>
      <c r="L27" s="9" t="s">
        <v>4062</v>
      </c>
      <c r="M27" s="2">
        <v>6.25</v>
      </c>
      <c r="N27" s="4">
        <v>2134.11</v>
      </c>
      <c r="O27" s="1">
        <f t="shared" si="0"/>
        <v>-16.012325013696564</v>
      </c>
      <c r="P27" s="6">
        <v>35.700000000000003</v>
      </c>
      <c r="Q27" s="6">
        <v>27</v>
      </c>
      <c r="R27" s="6">
        <v>10.4</v>
      </c>
      <c r="S27" s="6">
        <v>10.7</v>
      </c>
      <c r="T27" s="5">
        <v>3.8E-3</v>
      </c>
      <c r="U27" s="1">
        <v>-3.6900000000000002E-2</v>
      </c>
      <c r="V27" s="1">
        <v>4.4526000000000003</v>
      </c>
    </row>
    <row r="28" spans="1:22" x14ac:dyDescent="0.25">
      <c r="A28" s="1">
        <v>0.99860000000000004</v>
      </c>
      <c r="B28" s="9" t="s">
        <v>4063</v>
      </c>
      <c r="C28" s="2">
        <v>1824</v>
      </c>
      <c r="D28" s="3" t="s">
        <v>149</v>
      </c>
      <c r="E28" s="9" t="s">
        <v>4064</v>
      </c>
      <c r="F28" s="9" t="s">
        <v>239</v>
      </c>
      <c r="G28" s="1">
        <v>1854.7917</v>
      </c>
      <c r="H28" s="2">
        <v>738</v>
      </c>
      <c r="I28" s="2">
        <v>2</v>
      </c>
      <c r="J28" s="1">
        <v>1854.7392</v>
      </c>
      <c r="K28" s="1">
        <v>928.40309999999999</v>
      </c>
      <c r="L28" s="9" t="s">
        <v>81</v>
      </c>
      <c r="M28" s="2">
        <v>5.21</v>
      </c>
      <c r="N28" s="4">
        <v>2139.41</v>
      </c>
      <c r="O28" s="1">
        <f t="shared" si="0"/>
        <v>-30.839866568407242</v>
      </c>
      <c r="P28" s="6">
        <v>42</v>
      </c>
      <c r="Q28" s="6">
        <v>27.6</v>
      </c>
      <c r="R28" s="6">
        <v>12.2</v>
      </c>
      <c r="S28" s="6">
        <v>8.6</v>
      </c>
      <c r="T28" s="5">
        <v>1.4E-5</v>
      </c>
      <c r="U28" s="1">
        <v>-5.2499999999999998E-2</v>
      </c>
      <c r="V28" s="1">
        <v>5.4992999999999999</v>
      </c>
    </row>
    <row r="29" spans="1:22" x14ac:dyDescent="0.25">
      <c r="A29" s="1">
        <v>0.99139999999999995</v>
      </c>
      <c r="B29" s="9" t="s">
        <v>4065</v>
      </c>
      <c r="C29" s="2">
        <v>1840</v>
      </c>
      <c r="D29" s="3" t="s">
        <v>740</v>
      </c>
      <c r="E29" s="9" t="s">
        <v>4066</v>
      </c>
      <c r="F29" s="9" t="s">
        <v>4067</v>
      </c>
      <c r="G29" s="1">
        <v>1306.7176999999999</v>
      </c>
      <c r="H29" s="2">
        <v>171</v>
      </c>
      <c r="I29" s="2">
        <v>3</v>
      </c>
      <c r="J29" s="1">
        <v>1306.6824999999999</v>
      </c>
      <c r="K29" s="1">
        <v>436.57979999999998</v>
      </c>
      <c r="L29" s="9" t="s">
        <v>4068</v>
      </c>
      <c r="M29" s="2">
        <v>10.84</v>
      </c>
      <c r="N29" s="4">
        <v>2164.7600000000002</v>
      </c>
      <c r="O29" s="1">
        <f t="shared" si="0"/>
        <v>-28.546002649605473</v>
      </c>
      <c r="P29" s="6">
        <v>33.799999999999997</v>
      </c>
      <c r="Q29" s="6">
        <v>28.5</v>
      </c>
      <c r="R29" s="6">
        <v>11.1</v>
      </c>
      <c r="S29" s="6">
        <v>11.5</v>
      </c>
      <c r="T29" s="5">
        <v>2.7E-2</v>
      </c>
      <c r="U29" s="1">
        <v>-3.5200000000000002E-2</v>
      </c>
      <c r="V29" s="1">
        <v>3.4761000000000002</v>
      </c>
    </row>
    <row r="30" spans="1:22" x14ac:dyDescent="0.25">
      <c r="A30" s="1">
        <v>0.98460000000000003</v>
      </c>
      <c r="B30" s="9" t="s">
        <v>4069</v>
      </c>
      <c r="C30" s="2">
        <v>1843</v>
      </c>
      <c r="D30" s="3" t="s">
        <v>2118</v>
      </c>
      <c r="E30" s="9" t="s">
        <v>4070</v>
      </c>
      <c r="F30" s="9" t="s">
        <v>1590</v>
      </c>
      <c r="G30" s="1">
        <v>1120.5367000000001</v>
      </c>
      <c r="H30" s="2">
        <v>172</v>
      </c>
      <c r="I30" s="2">
        <v>2</v>
      </c>
      <c r="J30" s="1">
        <v>1120.5079000000001</v>
      </c>
      <c r="K30" s="1">
        <v>561.27560000000005</v>
      </c>
      <c r="L30" s="9" t="s">
        <v>49</v>
      </c>
      <c r="M30" s="2">
        <v>8.2200000000000006</v>
      </c>
      <c r="N30" s="4">
        <v>2172.16</v>
      </c>
      <c r="O30" s="1">
        <f t="shared" si="0"/>
        <v>-31.040559843255874</v>
      </c>
      <c r="P30" s="6">
        <v>36.6</v>
      </c>
      <c r="Q30" s="6">
        <v>33.299999999999997</v>
      </c>
      <c r="R30" s="6">
        <v>9.5</v>
      </c>
      <c r="S30" s="6">
        <v>8.8000000000000007</v>
      </c>
      <c r="T30" s="5">
        <v>3.9E-2</v>
      </c>
      <c r="U30" s="1">
        <v>-2.8799999999999999E-2</v>
      </c>
      <c r="V30" s="1">
        <v>2.7452000000000001</v>
      </c>
    </row>
    <row r="31" spans="1:22" x14ac:dyDescent="0.25">
      <c r="A31" s="1">
        <v>0.99690000000000001</v>
      </c>
      <c r="B31" s="9" t="s">
        <v>4071</v>
      </c>
      <c r="C31" s="2">
        <v>1847</v>
      </c>
      <c r="D31" s="3" t="s">
        <v>154</v>
      </c>
      <c r="E31" s="9" t="s">
        <v>1914</v>
      </c>
      <c r="F31" s="9" t="s">
        <v>1915</v>
      </c>
      <c r="G31" s="1">
        <v>1093.5436999999999</v>
      </c>
      <c r="H31" s="2">
        <v>173</v>
      </c>
      <c r="I31" s="2">
        <v>2</v>
      </c>
      <c r="J31" s="1">
        <v>1093.5138999999999</v>
      </c>
      <c r="K31" s="1">
        <v>547.77909999999997</v>
      </c>
      <c r="L31" s="9" t="s">
        <v>1916</v>
      </c>
      <c r="M31" s="2">
        <v>8.75</v>
      </c>
      <c r="N31" s="4">
        <v>2179.56</v>
      </c>
      <c r="O31" s="1">
        <f t="shared" si="0"/>
        <v>-23.868693543080802</v>
      </c>
      <c r="P31" s="6">
        <v>33.1</v>
      </c>
      <c r="Q31" s="6">
        <v>22.3</v>
      </c>
      <c r="R31" s="6">
        <v>9.1</v>
      </c>
      <c r="S31" s="6">
        <v>8.4</v>
      </c>
      <c r="T31" s="5">
        <v>1.4999999999999999E-2</v>
      </c>
      <c r="U31" s="1">
        <v>-2.98E-2</v>
      </c>
      <c r="V31" s="1">
        <v>4.38</v>
      </c>
    </row>
    <row r="32" spans="1:22" x14ac:dyDescent="0.25">
      <c r="A32" s="1">
        <v>0.99880000000000002</v>
      </c>
      <c r="B32" s="9" t="s">
        <v>4072</v>
      </c>
      <c r="C32" s="2">
        <v>1860</v>
      </c>
      <c r="D32" s="3" t="s">
        <v>93</v>
      </c>
      <c r="E32" s="9" t="s">
        <v>4073</v>
      </c>
      <c r="F32" s="9" t="s">
        <v>117</v>
      </c>
      <c r="G32" s="1">
        <v>1168.5657000000001</v>
      </c>
      <c r="H32" s="2">
        <v>741</v>
      </c>
      <c r="I32" s="2">
        <v>2</v>
      </c>
      <c r="J32" s="1">
        <v>1168.5336</v>
      </c>
      <c r="K32" s="1">
        <v>585.29010000000005</v>
      </c>
      <c r="L32" s="9" t="s">
        <v>118</v>
      </c>
      <c r="M32" s="2">
        <v>8.73</v>
      </c>
      <c r="N32" s="4">
        <v>2206.0100000000002</v>
      </c>
      <c r="O32" s="1">
        <f t="shared" si="0"/>
        <v>-28.593825291893229</v>
      </c>
      <c r="P32" s="6">
        <v>54.3</v>
      </c>
      <c r="Q32" s="6">
        <v>39.700000000000003</v>
      </c>
      <c r="R32" s="6">
        <v>10.5</v>
      </c>
      <c r="S32" s="6">
        <v>11.2</v>
      </c>
      <c r="T32" s="5">
        <v>2.5000000000000001E-4</v>
      </c>
      <c r="U32" s="1">
        <v>-3.2099999999999997E-2</v>
      </c>
      <c r="V32" s="1">
        <v>5.6982999999999997</v>
      </c>
    </row>
    <row r="33" spans="1:22" x14ac:dyDescent="0.25">
      <c r="A33" s="1">
        <v>0.998</v>
      </c>
      <c r="B33" s="9" t="s">
        <v>4074</v>
      </c>
      <c r="C33" s="2">
        <v>1871</v>
      </c>
      <c r="D33" s="3" t="s">
        <v>275</v>
      </c>
      <c r="E33" s="9" t="s">
        <v>4075</v>
      </c>
      <c r="F33" s="9" t="s">
        <v>860</v>
      </c>
      <c r="G33" s="1">
        <v>1529.8597</v>
      </c>
      <c r="H33" s="2">
        <v>843</v>
      </c>
      <c r="I33" s="2">
        <v>3</v>
      </c>
      <c r="J33" s="1">
        <v>1529.8062</v>
      </c>
      <c r="K33" s="1">
        <v>510.96050000000002</v>
      </c>
      <c r="L33" s="9" t="s">
        <v>673</v>
      </c>
      <c r="M33" s="2">
        <v>11.17</v>
      </c>
      <c r="N33" s="4">
        <v>2226.11</v>
      </c>
      <c r="O33" s="1">
        <f t="shared" si="0"/>
        <v>-15.113857967662332</v>
      </c>
      <c r="P33" s="6">
        <v>38.9</v>
      </c>
      <c r="Q33" s="6">
        <v>27.9</v>
      </c>
      <c r="R33" s="6">
        <v>10.1</v>
      </c>
      <c r="S33" s="6">
        <v>12.5</v>
      </c>
      <c r="T33" s="5">
        <v>2.8E-3</v>
      </c>
      <c r="U33" s="1">
        <v>-5.3499999999999999E-2</v>
      </c>
      <c r="V33" s="1">
        <v>5.2263999999999999</v>
      </c>
    </row>
    <row r="34" spans="1:22" x14ac:dyDescent="0.25">
      <c r="A34" s="1">
        <v>0.98019999999999996</v>
      </c>
      <c r="B34" s="9" t="s">
        <v>4076</v>
      </c>
      <c r="C34" s="2">
        <v>1879</v>
      </c>
      <c r="D34" s="3" t="s">
        <v>78</v>
      </c>
      <c r="E34" s="9" t="s">
        <v>4077</v>
      </c>
      <c r="F34" s="9" t="s">
        <v>4078</v>
      </c>
      <c r="G34" s="1">
        <v>1228.6237000000001</v>
      </c>
      <c r="H34" s="2">
        <v>175</v>
      </c>
      <c r="I34" s="2">
        <v>2</v>
      </c>
      <c r="J34" s="1">
        <v>1228.5965000000001</v>
      </c>
      <c r="K34" s="1">
        <v>615.31910000000005</v>
      </c>
      <c r="L34" s="9" t="s">
        <v>1269</v>
      </c>
      <c r="M34" s="2">
        <v>8.75</v>
      </c>
      <c r="N34" s="4">
        <v>2238.7600000000002</v>
      </c>
      <c r="O34" s="1">
        <f t="shared" si="0"/>
        <v>-21.005896100824017</v>
      </c>
      <c r="P34" s="6">
        <v>39.4</v>
      </c>
      <c r="Q34" s="6">
        <v>31.9</v>
      </c>
      <c r="R34" s="6">
        <v>11.8</v>
      </c>
      <c r="S34" s="6">
        <v>11</v>
      </c>
      <c r="T34" s="5">
        <v>9.6000000000000002E-2</v>
      </c>
      <c r="U34" s="1">
        <v>-2.7199999999999998E-2</v>
      </c>
      <c r="V34" s="1">
        <v>2.5488</v>
      </c>
    </row>
    <row r="35" spans="1:22" x14ac:dyDescent="0.25">
      <c r="A35" s="1">
        <v>0.98939999999999995</v>
      </c>
      <c r="B35" s="9" t="s">
        <v>4079</v>
      </c>
      <c r="C35" s="2">
        <v>1900</v>
      </c>
      <c r="D35" s="3" t="s">
        <v>370</v>
      </c>
      <c r="E35" s="9" t="s">
        <v>4080</v>
      </c>
      <c r="F35" s="9" t="s">
        <v>4081</v>
      </c>
      <c r="G35" s="1">
        <v>1383.8157000000001</v>
      </c>
      <c r="H35" s="2">
        <v>485</v>
      </c>
      <c r="I35" s="2">
        <v>2</v>
      </c>
      <c r="J35" s="1">
        <v>1383.7864</v>
      </c>
      <c r="K35" s="1">
        <v>692.91510000000005</v>
      </c>
      <c r="L35" s="9" t="s">
        <v>4082</v>
      </c>
      <c r="M35" s="2">
        <v>10.3</v>
      </c>
      <c r="N35" s="4">
        <v>2275.7600000000002</v>
      </c>
      <c r="O35" s="1">
        <f t="shared" si="0"/>
        <v>-19.886742790171883</v>
      </c>
      <c r="P35" s="6">
        <v>41.5</v>
      </c>
      <c r="Q35" s="6">
        <v>31.7</v>
      </c>
      <c r="R35" s="6">
        <v>10.4</v>
      </c>
      <c r="S35" s="6">
        <v>10.6</v>
      </c>
      <c r="T35" s="5">
        <v>1.4999999999999999E-2</v>
      </c>
      <c r="U35" s="1">
        <v>-2.93E-2</v>
      </c>
      <c r="V35" s="1">
        <v>3.5651999999999999</v>
      </c>
    </row>
    <row r="36" spans="1:22" x14ac:dyDescent="0.25">
      <c r="A36" s="1">
        <v>0.97170000000000001</v>
      </c>
      <c r="B36" s="9" t="s">
        <v>4083</v>
      </c>
      <c r="C36" s="2">
        <v>1913</v>
      </c>
      <c r="D36" s="3" t="s">
        <v>146</v>
      </c>
      <c r="E36" s="9" t="s">
        <v>4084</v>
      </c>
      <c r="F36" s="9" t="s">
        <v>53</v>
      </c>
      <c r="G36" s="1">
        <v>1357.7637</v>
      </c>
      <c r="H36" s="2">
        <v>178</v>
      </c>
      <c r="I36" s="2">
        <v>2</v>
      </c>
      <c r="J36" s="1">
        <v>1357.7352000000001</v>
      </c>
      <c r="K36" s="1">
        <v>679.88909999999998</v>
      </c>
      <c r="L36" s="9" t="s">
        <v>54</v>
      </c>
      <c r="M36" s="2">
        <v>8.5</v>
      </c>
      <c r="N36" s="4">
        <v>2297.96</v>
      </c>
      <c r="O36" s="1">
        <f t="shared" si="0"/>
        <v>-23.078153733819697</v>
      </c>
      <c r="P36" s="6">
        <v>37.1</v>
      </c>
      <c r="Q36" s="6">
        <v>31</v>
      </c>
      <c r="R36" s="6">
        <v>9.6</v>
      </c>
      <c r="S36" s="6">
        <v>9.8000000000000007</v>
      </c>
      <c r="T36" s="5">
        <v>7.9000000000000001E-2</v>
      </c>
      <c r="U36" s="1">
        <v>-2.8500000000000001E-2</v>
      </c>
      <c r="V36" s="1">
        <v>2.4177</v>
      </c>
    </row>
    <row r="37" spans="1:22" x14ac:dyDescent="0.25">
      <c r="A37" s="1">
        <v>0.96830000000000005</v>
      </c>
      <c r="B37" s="9" t="s">
        <v>4085</v>
      </c>
      <c r="C37" s="2">
        <v>1916</v>
      </c>
      <c r="D37" s="3" t="s">
        <v>69</v>
      </c>
      <c r="E37" s="9" t="s">
        <v>4086</v>
      </c>
      <c r="F37" s="9" t="s">
        <v>4087</v>
      </c>
      <c r="G37" s="1">
        <v>1189.6277</v>
      </c>
      <c r="H37" s="2">
        <v>743</v>
      </c>
      <c r="I37" s="2">
        <v>2</v>
      </c>
      <c r="J37" s="1">
        <v>1189.5655999999999</v>
      </c>
      <c r="K37" s="1">
        <v>595.8211</v>
      </c>
      <c r="L37" s="9" t="s">
        <v>4088</v>
      </c>
      <c r="M37" s="2">
        <v>9.6</v>
      </c>
      <c r="N37" s="4">
        <v>2309.61</v>
      </c>
      <c r="O37" s="1">
        <f t="shared" si="0"/>
        <v>-25.403977795364881</v>
      </c>
      <c r="P37" s="6">
        <v>37</v>
      </c>
      <c r="Q37" s="6">
        <v>29.9</v>
      </c>
      <c r="R37" s="6">
        <v>8</v>
      </c>
      <c r="S37" s="6">
        <v>9.6999999999999993</v>
      </c>
      <c r="T37" s="5">
        <v>6.3E-2</v>
      </c>
      <c r="U37" s="1">
        <v>-6.2100000000000002E-2</v>
      </c>
      <c r="V37" s="1">
        <v>2.8978999999999999</v>
      </c>
    </row>
    <row r="38" spans="1:22" x14ac:dyDescent="0.25">
      <c r="A38" s="1">
        <v>0.97160000000000002</v>
      </c>
      <c r="B38" s="9" t="s">
        <v>4089</v>
      </c>
      <c r="C38" s="2">
        <v>1919</v>
      </c>
      <c r="D38" s="3" t="s">
        <v>2708</v>
      </c>
      <c r="E38" s="9" t="s">
        <v>4090</v>
      </c>
      <c r="F38" s="9" t="s">
        <v>632</v>
      </c>
      <c r="G38" s="1">
        <v>1106.5177000000001</v>
      </c>
      <c r="H38" s="2">
        <v>884</v>
      </c>
      <c r="I38" s="2">
        <v>2</v>
      </c>
      <c r="J38" s="1">
        <v>1106.4893</v>
      </c>
      <c r="K38" s="1">
        <v>554.26610000000005</v>
      </c>
      <c r="L38" s="9" t="s">
        <v>633</v>
      </c>
      <c r="M38" s="2">
        <v>8.4600000000000009</v>
      </c>
      <c r="N38" s="4">
        <v>2312.7600000000002</v>
      </c>
      <c r="O38" s="1">
        <f t="shared" si="0"/>
        <v>-30.689362487512327</v>
      </c>
      <c r="P38" s="6">
        <v>27.5</v>
      </c>
      <c r="Q38" s="6">
        <v>21.7</v>
      </c>
      <c r="R38" s="6">
        <v>12.3</v>
      </c>
      <c r="S38" s="6">
        <v>10.9</v>
      </c>
      <c r="T38" s="5">
        <v>0.13</v>
      </c>
      <c r="U38" s="1">
        <v>-2.8400000000000002E-2</v>
      </c>
      <c r="V38" s="1">
        <v>2.7471999999999999</v>
      </c>
    </row>
    <row r="39" spans="1:22" x14ac:dyDescent="0.25">
      <c r="A39" s="1">
        <v>0.99990000000000001</v>
      </c>
      <c r="B39" s="9" t="s">
        <v>4091</v>
      </c>
      <c r="C39" s="2">
        <v>1947</v>
      </c>
      <c r="D39" s="3" t="s">
        <v>270</v>
      </c>
      <c r="E39" s="9" t="s">
        <v>4092</v>
      </c>
      <c r="F39" s="9" t="s">
        <v>1919</v>
      </c>
      <c r="G39" s="1">
        <v>1819.6857</v>
      </c>
      <c r="H39" s="2">
        <v>489</v>
      </c>
      <c r="I39" s="2">
        <v>2</v>
      </c>
      <c r="J39" s="1">
        <v>1819.6486</v>
      </c>
      <c r="K39" s="1">
        <v>910.8501</v>
      </c>
      <c r="L39" s="9" t="s">
        <v>1920</v>
      </c>
      <c r="M39" s="2">
        <v>7.82</v>
      </c>
      <c r="N39" s="4">
        <v>2364.56</v>
      </c>
      <c r="O39" s="1">
        <f t="shared" si="0"/>
        <v>-22.88233806705761</v>
      </c>
      <c r="P39" s="6">
        <v>41.2</v>
      </c>
      <c r="Q39" s="6">
        <v>27.4</v>
      </c>
      <c r="R39" s="6">
        <v>10.8</v>
      </c>
      <c r="S39" s="6">
        <v>9.8000000000000007</v>
      </c>
      <c r="T39" s="5">
        <v>3.1000000000000001E-5</v>
      </c>
      <c r="U39" s="1">
        <v>-3.7100000000000001E-2</v>
      </c>
      <c r="V39" s="1">
        <v>6.2716000000000003</v>
      </c>
    </row>
    <row r="40" spans="1:22" x14ac:dyDescent="0.25">
      <c r="A40" s="1">
        <v>0.96189999999999998</v>
      </c>
      <c r="B40" s="9" t="s">
        <v>4093</v>
      </c>
      <c r="C40" s="2">
        <v>1952</v>
      </c>
      <c r="D40" s="3" t="s">
        <v>183</v>
      </c>
      <c r="E40" s="9" t="s">
        <v>4094</v>
      </c>
      <c r="F40" s="9" t="s">
        <v>3082</v>
      </c>
      <c r="G40" s="1">
        <v>1288.4817</v>
      </c>
      <c r="H40" s="2">
        <v>744</v>
      </c>
      <c r="I40" s="2">
        <v>2</v>
      </c>
      <c r="J40" s="1">
        <v>1288.4540999999999</v>
      </c>
      <c r="K40" s="1">
        <v>645.24810000000002</v>
      </c>
      <c r="L40" s="9" t="s">
        <v>678</v>
      </c>
      <c r="M40" s="2">
        <v>4.45</v>
      </c>
      <c r="N40" s="4">
        <v>2376.21</v>
      </c>
      <c r="O40" s="1">
        <f t="shared" si="0"/>
        <v>-22.656890973441325</v>
      </c>
      <c r="P40" s="6">
        <v>31.2</v>
      </c>
      <c r="Q40" s="6">
        <v>25.4</v>
      </c>
      <c r="R40" s="6">
        <v>9.9</v>
      </c>
      <c r="S40" s="6">
        <v>9.4</v>
      </c>
      <c r="T40" s="5">
        <v>5.8999999999999997E-2</v>
      </c>
      <c r="U40" s="1">
        <v>-2.76E-2</v>
      </c>
      <c r="V40" s="1">
        <v>2.7726000000000002</v>
      </c>
    </row>
    <row r="41" spans="1:22" x14ac:dyDescent="0.25">
      <c r="A41" s="1">
        <v>0.9849</v>
      </c>
      <c r="B41" s="9" t="s">
        <v>4095</v>
      </c>
      <c r="C41" s="2">
        <v>1972</v>
      </c>
      <c r="D41" s="3" t="s">
        <v>2104</v>
      </c>
      <c r="E41" s="9" t="s">
        <v>4096</v>
      </c>
      <c r="F41" s="9" t="s">
        <v>1430</v>
      </c>
      <c r="G41" s="1">
        <v>1270.7427</v>
      </c>
      <c r="H41" s="2">
        <v>41</v>
      </c>
      <c r="I41" s="2">
        <v>3</v>
      </c>
      <c r="J41" s="1">
        <v>1270.7245</v>
      </c>
      <c r="K41" s="1">
        <v>424.58819999999997</v>
      </c>
      <c r="L41" s="9" t="s">
        <v>1431</v>
      </c>
      <c r="M41" s="2">
        <v>11.17</v>
      </c>
      <c r="N41" s="4">
        <v>2408.96</v>
      </c>
      <c r="O41" s="1">
        <f t="shared" si="0"/>
        <v>-28.36922617054195</v>
      </c>
      <c r="P41" s="6">
        <v>28.2</v>
      </c>
      <c r="Q41" s="6">
        <v>21</v>
      </c>
      <c r="R41" s="6">
        <v>10.8</v>
      </c>
      <c r="S41" s="6">
        <v>8.6999999999999993</v>
      </c>
      <c r="T41" s="5">
        <v>4.8000000000000001E-2</v>
      </c>
      <c r="U41" s="1">
        <v>-1.8200000000000001E-2</v>
      </c>
      <c r="V41" s="1">
        <v>3.7353000000000001</v>
      </c>
    </row>
    <row r="42" spans="1:22" x14ac:dyDescent="0.25">
      <c r="A42" s="1">
        <v>0.9748</v>
      </c>
      <c r="B42" s="9" t="s">
        <v>4097</v>
      </c>
      <c r="C42" s="2">
        <v>2001</v>
      </c>
      <c r="D42" s="3" t="s">
        <v>891</v>
      </c>
      <c r="E42" s="9" t="s">
        <v>4098</v>
      </c>
      <c r="F42" s="9" t="s">
        <v>4099</v>
      </c>
      <c r="G42" s="1">
        <v>948.39369999999997</v>
      </c>
      <c r="H42" s="2">
        <v>183</v>
      </c>
      <c r="I42" s="2">
        <v>2</v>
      </c>
      <c r="J42" s="1">
        <v>948.37959999999998</v>
      </c>
      <c r="K42" s="1">
        <v>475.20409999999998</v>
      </c>
      <c r="L42" s="9" t="s">
        <v>4100</v>
      </c>
      <c r="M42" s="2">
        <v>4.5999999999999996</v>
      </c>
      <c r="N42" s="4">
        <v>2460.77</v>
      </c>
      <c r="O42" s="1">
        <f t="shared" si="0"/>
        <v>-28.274356257535114</v>
      </c>
      <c r="P42" s="6">
        <v>29.1</v>
      </c>
      <c r="Q42" s="6">
        <v>27.1</v>
      </c>
      <c r="R42" s="6">
        <v>5.7</v>
      </c>
      <c r="S42" s="6">
        <v>8.5</v>
      </c>
      <c r="T42" s="5">
        <v>2.4E-2</v>
      </c>
      <c r="U42" s="1">
        <v>-1.41E-2</v>
      </c>
      <c r="V42" s="1">
        <v>2.8986000000000001</v>
      </c>
    </row>
    <row r="43" spans="1:22" x14ac:dyDescent="0.25">
      <c r="A43" s="1">
        <v>0.96679999999999999</v>
      </c>
      <c r="B43" s="9" t="s">
        <v>4101</v>
      </c>
      <c r="C43" s="2">
        <v>2011</v>
      </c>
      <c r="D43" s="3" t="s">
        <v>141</v>
      </c>
      <c r="E43" s="9" t="s">
        <v>1946</v>
      </c>
      <c r="F43" s="9" t="s">
        <v>1947</v>
      </c>
      <c r="G43" s="1">
        <v>1288.6696999999999</v>
      </c>
      <c r="H43" s="2">
        <v>184</v>
      </c>
      <c r="I43" s="2">
        <v>2</v>
      </c>
      <c r="J43" s="1">
        <v>1288.6307999999999</v>
      </c>
      <c r="K43" s="1">
        <v>645.34209999999996</v>
      </c>
      <c r="L43" s="9" t="s">
        <v>1840</v>
      </c>
      <c r="M43" s="2">
        <v>8.31</v>
      </c>
      <c r="N43" s="4">
        <v>2482.9699999999998</v>
      </c>
      <c r="O43" s="1">
        <f t="shared" si="0"/>
        <v>-26.875575400724756</v>
      </c>
      <c r="P43" s="6">
        <v>44.9</v>
      </c>
      <c r="Q43" s="6">
        <v>39.5</v>
      </c>
      <c r="R43" s="6">
        <v>9.8000000000000007</v>
      </c>
      <c r="S43" s="6">
        <v>11</v>
      </c>
      <c r="T43" s="5">
        <v>3.6999999999999998E-2</v>
      </c>
      <c r="U43" s="1">
        <v>-3.8899999999999997E-2</v>
      </c>
      <c r="V43" s="1">
        <v>2.5706000000000002</v>
      </c>
    </row>
    <row r="44" spans="1:22" x14ac:dyDescent="0.25">
      <c r="A44" s="1">
        <v>0.96419999999999995</v>
      </c>
      <c r="B44" s="9" t="s">
        <v>4102</v>
      </c>
      <c r="C44" s="2">
        <v>2023</v>
      </c>
      <c r="D44" s="3" t="s">
        <v>95</v>
      </c>
      <c r="E44" s="9" t="s">
        <v>4103</v>
      </c>
      <c r="F44" s="9" t="s">
        <v>4104</v>
      </c>
      <c r="G44" s="1">
        <v>1434.6387</v>
      </c>
      <c r="H44" s="2">
        <v>369</v>
      </c>
      <c r="I44" s="2">
        <v>2</v>
      </c>
      <c r="J44" s="1">
        <v>1434.6172999999999</v>
      </c>
      <c r="K44" s="1">
        <v>718.32659999999998</v>
      </c>
      <c r="L44" s="9" t="s">
        <v>4105</v>
      </c>
      <c r="M44" s="2">
        <v>8.2200000000000006</v>
      </c>
      <c r="N44" s="4">
        <v>2507.3200000000002</v>
      </c>
      <c r="O44" s="1">
        <f t="shared" si="0"/>
        <v>-25.655845363668043</v>
      </c>
      <c r="P44" s="6">
        <v>29.9</v>
      </c>
      <c r="Q44" s="6">
        <v>25.9</v>
      </c>
      <c r="R44" s="6">
        <v>10</v>
      </c>
      <c r="S44" s="6">
        <v>12.6</v>
      </c>
      <c r="T44" s="5">
        <v>8.8999999999999996E-2</v>
      </c>
      <c r="U44" s="1">
        <v>-2.1399999999999999E-2</v>
      </c>
      <c r="V44" s="1">
        <v>2.2124000000000001</v>
      </c>
    </row>
    <row r="45" spans="1:22" x14ac:dyDescent="0.25">
      <c r="A45" s="1">
        <v>0.97270000000000001</v>
      </c>
      <c r="B45" s="9" t="s">
        <v>4106</v>
      </c>
      <c r="C45" s="2">
        <v>2027</v>
      </c>
      <c r="D45" s="3" t="s">
        <v>891</v>
      </c>
      <c r="E45" s="9" t="s">
        <v>4107</v>
      </c>
      <c r="F45" s="9" t="s">
        <v>4108</v>
      </c>
      <c r="G45" s="1">
        <v>1123.5947000000001</v>
      </c>
      <c r="H45" s="2">
        <v>357</v>
      </c>
      <c r="I45" s="2">
        <v>2</v>
      </c>
      <c r="J45" s="1">
        <v>1123.5744</v>
      </c>
      <c r="K45" s="1">
        <v>562.80460000000005</v>
      </c>
      <c r="L45" s="9" t="s">
        <v>4109</v>
      </c>
      <c r="M45" s="2">
        <v>8.4700000000000006</v>
      </c>
      <c r="N45" s="4">
        <v>2514.7199999999998</v>
      </c>
      <c r="O45" s="1">
        <f t="shared" si="0"/>
        <v>-27.200745702053986</v>
      </c>
      <c r="P45" s="6">
        <v>31.5</v>
      </c>
      <c r="Q45" s="6">
        <v>26.5</v>
      </c>
      <c r="R45" s="6">
        <v>8.4</v>
      </c>
      <c r="S45" s="6">
        <v>9</v>
      </c>
      <c r="T45" s="5">
        <v>0.14000000000000001</v>
      </c>
      <c r="U45" s="1">
        <v>-2.0299999999999999E-2</v>
      </c>
      <c r="V45" s="1">
        <v>2.4100999999999999</v>
      </c>
    </row>
    <row r="46" spans="1:22" x14ac:dyDescent="0.25">
      <c r="A46" s="1">
        <v>0.99980000000000002</v>
      </c>
      <c r="B46" s="9" t="s">
        <v>4110</v>
      </c>
      <c r="C46" s="2">
        <v>2052</v>
      </c>
      <c r="D46" s="3" t="s">
        <v>3769</v>
      </c>
      <c r="E46" s="9" t="s">
        <v>1960</v>
      </c>
      <c r="F46" s="9" t="s">
        <v>1961</v>
      </c>
      <c r="G46" s="1">
        <v>1379.5957000000001</v>
      </c>
      <c r="H46" s="2">
        <v>497</v>
      </c>
      <c r="I46" s="2">
        <v>2</v>
      </c>
      <c r="J46" s="1">
        <v>1379.5732</v>
      </c>
      <c r="K46" s="1">
        <v>690.80510000000004</v>
      </c>
      <c r="L46" s="9" t="s">
        <v>1962</v>
      </c>
      <c r="M46" s="2">
        <v>5.95</v>
      </c>
      <c r="N46" s="4">
        <v>2556.9699999999998</v>
      </c>
      <c r="O46" s="1">
        <f t="shared" si="0"/>
        <v>-27.422298788241925</v>
      </c>
      <c r="P46" s="6">
        <v>65.2</v>
      </c>
      <c r="Q46" s="6">
        <v>36.200000000000003</v>
      </c>
      <c r="R46" s="6">
        <v>10.4</v>
      </c>
      <c r="S46" s="6">
        <v>12</v>
      </c>
      <c r="T46" s="5">
        <v>8.8000000000000004E-7</v>
      </c>
      <c r="U46" s="1">
        <v>-2.2499999999999999E-2</v>
      </c>
      <c r="V46" s="1">
        <v>8.8945000000000007</v>
      </c>
    </row>
    <row r="47" spans="1:22" x14ac:dyDescent="0.25">
      <c r="A47" s="1">
        <v>0.99950000000000006</v>
      </c>
      <c r="B47" s="9" t="s">
        <v>4111</v>
      </c>
      <c r="C47" s="2">
        <v>2064</v>
      </c>
      <c r="D47" s="3" t="s">
        <v>326</v>
      </c>
      <c r="E47" s="9" t="s">
        <v>4112</v>
      </c>
      <c r="F47" s="9" t="s">
        <v>2081</v>
      </c>
      <c r="G47" s="1">
        <v>1265.5897</v>
      </c>
      <c r="H47" s="2">
        <v>499</v>
      </c>
      <c r="I47" s="2">
        <v>2</v>
      </c>
      <c r="J47" s="1">
        <v>1265.5589</v>
      </c>
      <c r="K47" s="1">
        <v>633.8021</v>
      </c>
      <c r="L47" s="9" t="s">
        <v>2082</v>
      </c>
      <c r="M47" s="2">
        <v>6.71</v>
      </c>
      <c r="N47" s="4">
        <v>2579.17</v>
      </c>
      <c r="O47" s="1">
        <f t="shared" si="0"/>
        <v>-34.901588935609176</v>
      </c>
      <c r="P47" s="6">
        <v>42.4</v>
      </c>
      <c r="Q47" s="6">
        <v>29.4</v>
      </c>
      <c r="R47" s="6">
        <v>10.9</v>
      </c>
      <c r="S47" s="6">
        <v>12</v>
      </c>
      <c r="T47" s="5">
        <v>9.0000000000000006E-5</v>
      </c>
      <c r="U47" s="1">
        <v>-3.0800000000000001E-2</v>
      </c>
      <c r="V47" s="1">
        <v>6.6646999999999998</v>
      </c>
    </row>
    <row r="48" spans="1:22" x14ac:dyDescent="0.25">
      <c r="A48" s="1">
        <v>0.96970000000000001</v>
      </c>
      <c r="B48" s="9" t="s">
        <v>4113</v>
      </c>
      <c r="C48" s="2">
        <v>2067</v>
      </c>
      <c r="D48" s="3" t="s">
        <v>78</v>
      </c>
      <c r="E48" s="9" t="s">
        <v>4114</v>
      </c>
      <c r="F48" s="9" t="s">
        <v>102</v>
      </c>
      <c r="G48" s="1">
        <v>1242.6167</v>
      </c>
      <c r="H48" s="2">
        <v>186</v>
      </c>
      <c r="I48" s="2">
        <v>2</v>
      </c>
      <c r="J48" s="1">
        <v>1242.5916</v>
      </c>
      <c r="K48" s="1">
        <v>622.31560000000002</v>
      </c>
      <c r="L48" s="9" t="s">
        <v>103</v>
      </c>
      <c r="M48" s="2">
        <v>4.8499999999999996</v>
      </c>
      <c r="N48" s="4">
        <v>2586.5700000000002</v>
      </c>
      <c r="O48" s="1">
        <f t="shared" si="0"/>
        <v>-22.102353071763901</v>
      </c>
      <c r="P48" s="6">
        <v>41.1</v>
      </c>
      <c r="Q48" s="6">
        <v>37.6</v>
      </c>
      <c r="R48" s="6">
        <v>13.7</v>
      </c>
      <c r="S48" s="6">
        <v>12.1</v>
      </c>
      <c r="T48" s="5">
        <v>4.8000000000000001E-2</v>
      </c>
      <c r="U48" s="1">
        <v>-2.5100000000000001E-2</v>
      </c>
      <c r="V48" s="1">
        <v>2.3673000000000002</v>
      </c>
    </row>
    <row r="49" spans="1:22" x14ac:dyDescent="0.25">
      <c r="A49" s="1">
        <v>0.99709999999999999</v>
      </c>
      <c r="B49" s="9" t="s">
        <v>4115</v>
      </c>
      <c r="C49" s="2">
        <v>2075</v>
      </c>
      <c r="D49" s="3" t="s">
        <v>146</v>
      </c>
      <c r="E49" s="9" t="s">
        <v>4116</v>
      </c>
      <c r="F49" s="9" t="s">
        <v>102</v>
      </c>
      <c r="G49" s="1">
        <v>1357.6437000000001</v>
      </c>
      <c r="H49" s="2">
        <v>386</v>
      </c>
      <c r="I49" s="2">
        <v>2</v>
      </c>
      <c r="J49" s="1">
        <v>1357.6165000000001</v>
      </c>
      <c r="K49" s="1">
        <v>679.82910000000004</v>
      </c>
      <c r="L49" s="9" t="s">
        <v>103</v>
      </c>
      <c r="M49" s="2">
        <v>4.42</v>
      </c>
      <c r="N49" s="4">
        <v>2603.52</v>
      </c>
      <c r="O49" s="1">
        <f t="shared" si="0"/>
        <v>-21.142561332549974</v>
      </c>
      <c r="P49" s="6">
        <v>41.1</v>
      </c>
      <c r="Q49" s="6">
        <v>27</v>
      </c>
      <c r="R49" s="6">
        <v>13.8</v>
      </c>
      <c r="S49" s="6">
        <v>12.1</v>
      </c>
      <c r="T49" s="5">
        <v>4.5999999999999999E-3</v>
      </c>
      <c r="U49" s="1">
        <v>-2.7199999999999998E-2</v>
      </c>
      <c r="V49" s="1">
        <v>4.6512000000000002</v>
      </c>
    </row>
    <row r="50" spans="1:22" x14ac:dyDescent="0.25">
      <c r="A50" s="1">
        <v>0.98599999999999999</v>
      </c>
      <c r="B50" s="9" t="s">
        <v>4117</v>
      </c>
      <c r="C50" s="2">
        <v>2079</v>
      </c>
      <c r="D50" s="3" t="s">
        <v>260</v>
      </c>
      <c r="E50" s="9" t="s">
        <v>3668</v>
      </c>
      <c r="F50" s="9" t="s">
        <v>1924</v>
      </c>
      <c r="G50" s="1">
        <v>1069.5047</v>
      </c>
      <c r="H50" s="2">
        <v>501</v>
      </c>
      <c r="I50" s="2">
        <v>2</v>
      </c>
      <c r="J50" s="1">
        <v>1069.4945</v>
      </c>
      <c r="K50" s="1">
        <v>535.75959999999998</v>
      </c>
      <c r="L50" s="9" t="s">
        <v>898</v>
      </c>
      <c r="M50" s="2">
        <v>8.23</v>
      </c>
      <c r="N50" s="4">
        <v>2608.77</v>
      </c>
      <c r="O50" s="1">
        <f t="shared" si="0"/>
        <v>-20.959300568283858</v>
      </c>
      <c r="P50" s="6">
        <v>31.2</v>
      </c>
      <c r="Q50" s="6">
        <v>25.3</v>
      </c>
      <c r="R50" s="6">
        <v>9.3000000000000007</v>
      </c>
      <c r="S50" s="6">
        <v>10</v>
      </c>
      <c r="T50" s="5">
        <v>2.5999999999999999E-2</v>
      </c>
      <c r="U50" s="1">
        <v>-1.0200000000000001E-2</v>
      </c>
      <c r="V50" s="1">
        <v>3.355</v>
      </c>
    </row>
    <row r="51" spans="1:22" x14ac:dyDescent="0.25">
      <c r="A51" s="1">
        <v>0.95750000000000002</v>
      </c>
      <c r="B51" s="9" t="s">
        <v>4118</v>
      </c>
      <c r="C51" s="2">
        <v>2091</v>
      </c>
      <c r="D51" s="3" t="s">
        <v>891</v>
      </c>
      <c r="E51" s="9" t="s">
        <v>4119</v>
      </c>
      <c r="F51" s="9" t="s">
        <v>1953</v>
      </c>
      <c r="G51" s="1">
        <v>1081.5227</v>
      </c>
      <c r="H51" s="2">
        <v>423</v>
      </c>
      <c r="I51" s="2">
        <v>2</v>
      </c>
      <c r="J51" s="1">
        <v>1081.5039999999999</v>
      </c>
      <c r="K51" s="1">
        <v>541.76859999999999</v>
      </c>
      <c r="L51" s="9" t="s">
        <v>1954</v>
      </c>
      <c r="M51" s="2">
        <v>8.59</v>
      </c>
      <c r="N51" s="4">
        <v>2633.12</v>
      </c>
      <c r="O51" s="1">
        <f t="shared" si="0"/>
        <v>-52.112958067446762</v>
      </c>
      <c r="P51" s="6">
        <v>29.1</v>
      </c>
      <c r="Q51" s="6">
        <v>23.3</v>
      </c>
      <c r="R51" s="6">
        <v>8.5</v>
      </c>
      <c r="S51" s="6">
        <v>7.7</v>
      </c>
      <c r="T51" s="5">
        <v>0.37</v>
      </c>
      <c r="U51" s="1">
        <v>-1.8700000000000001E-2</v>
      </c>
      <c r="V51" s="1">
        <v>2.0899000000000001</v>
      </c>
    </row>
    <row r="52" spans="1:22" x14ac:dyDescent="0.25">
      <c r="A52" s="1">
        <v>0.97509999999999997</v>
      </c>
      <c r="B52" s="9" t="s">
        <v>4120</v>
      </c>
      <c r="C52" s="2">
        <v>2096</v>
      </c>
      <c r="D52" s="3" t="s">
        <v>702</v>
      </c>
      <c r="E52" s="9" t="s">
        <v>4116</v>
      </c>
      <c r="F52" s="9" t="s">
        <v>102</v>
      </c>
      <c r="G52" s="1">
        <v>1357.6437000000001</v>
      </c>
      <c r="H52" s="2">
        <v>188</v>
      </c>
      <c r="I52" s="2">
        <v>2</v>
      </c>
      <c r="J52" s="1">
        <v>1357.6239</v>
      </c>
      <c r="K52" s="1">
        <v>679.82910000000004</v>
      </c>
      <c r="L52" s="9" t="s">
        <v>103</v>
      </c>
      <c r="M52" s="2">
        <v>4.42</v>
      </c>
      <c r="N52" s="4">
        <v>2638.37</v>
      </c>
      <c r="O52" s="1">
        <f t="shared" si="0"/>
        <v>-25.619463286677643</v>
      </c>
      <c r="P52" s="6">
        <v>38.200000000000003</v>
      </c>
      <c r="Q52" s="6">
        <v>28.7</v>
      </c>
      <c r="R52" s="6">
        <v>13.7</v>
      </c>
      <c r="S52" s="6">
        <v>11.8</v>
      </c>
      <c r="T52" s="5">
        <v>0.15</v>
      </c>
      <c r="U52" s="1">
        <v>-1.9800000000000002E-2</v>
      </c>
      <c r="V52" s="1">
        <v>2.5148999999999999</v>
      </c>
    </row>
    <row r="53" spans="1:22" x14ac:dyDescent="0.25">
      <c r="A53" s="1">
        <v>0.99970000000000003</v>
      </c>
      <c r="B53" s="9" t="s">
        <v>4121</v>
      </c>
      <c r="C53" s="2">
        <v>2127</v>
      </c>
      <c r="D53" s="3" t="s">
        <v>125</v>
      </c>
      <c r="E53" s="9" t="s">
        <v>4122</v>
      </c>
      <c r="F53" s="9" t="s">
        <v>97</v>
      </c>
      <c r="G53" s="1">
        <v>1826.8737000000001</v>
      </c>
      <c r="H53" s="2">
        <v>505</v>
      </c>
      <c r="I53" s="2">
        <v>3</v>
      </c>
      <c r="J53" s="1">
        <v>1826.8492000000001</v>
      </c>
      <c r="K53" s="1">
        <v>609.96519999999998</v>
      </c>
      <c r="L53" s="9" t="s">
        <v>98</v>
      </c>
      <c r="M53" s="2">
        <v>6.26</v>
      </c>
      <c r="N53" s="4">
        <v>2697.58</v>
      </c>
      <c r="O53" s="1">
        <f t="shared" si="0"/>
        <v>-20.365590342472377</v>
      </c>
      <c r="P53" s="6">
        <v>48.6</v>
      </c>
      <c r="Q53" s="6">
        <v>35.799999999999997</v>
      </c>
      <c r="R53" s="6">
        <v>11.2</v>
      </c>
      <c r="S53" s="6">
        <v>13.6</v>
      </c>
      <c r="T53" s="5">
        <v>1.6000000000000001E-4</v>
      </c>
      <c r="U53" s="1">
        <v>-2.4500000000000001E-2</v>
      </c>
      <c r="V53" s="1">
        <v>5.8869999999999996</v>
      </c>
    </row>
    <row r="54" spans="1:22" x14ac:dyDescent="0.25">
      <c r="A54" s="1">
        <v>0.99590000000000001</v>
      </c>
      <c r="B54" s="9" t="s">
        <v>4123</v>
      </c>
      <c r="C54" s="2">
        <v>2133</v>
      </c>
      <c r="D54" s="3" t="s">
        <v>396</v>
      </c>
      <c r="E54" s="9" t="s">
        <v>2487</v>
      </c>
      <c r="F54" s="9" t="s">
        <v>2488</v>
      </c>
      <c r="G54" s="1">
        <v>1160.5857000000001</v>
      </c>
      <c r="H54" s="2">
        <v>418</v>
      </c>
      <c r="I54" s="2">
        <v>2</v>
      </c>
      <c r="J54" s="1">
        <v>1160.5628999999999</v>
      </c>
      <c r="K54" s="1">
        <v>581.30010000000004</v>
      </c>
      <c r="L54" s="9" t="s">
        <v>2489</v>
      </c>
      <c r="M54" s="2">
        <v>6.25</v>
      </c>
      <c r="N54" s="4">
        <v>2711.33</v>
      </c>
      <c r="O54" s="1">
        <f t="shared" si="0"/>
        <v>-21.387122255764876</v>
      </c>
      <c r="P54" s="6">
        <v>47.8</v>
      </c>
      <c r="Q54" s="6">
        <v>33.4</v>
      </c>
      <c r="R54" s="6">
        <v>8.1</v>
      </c>
      <c r="S54" s="6">
        <v>11.7</v>
      </c>
      <c r="T54" s="5">
        <v>1.7000000000000001E-2</v>
      </c>
      <c r="U54" s="1">
        <v>-2.2800000000000001E-2</v>
      </c>
      <c r="V54" s="1">
        <v>4.1798000000000002</v>
      </c>
    </row>
    <row r="55" spans="1:22" x14ac:dyDescent="0.25">
      <c r="A55" s="1">
        <v>0.99380000000000002</v>
      </c>
      <c r="B55" s="9" t="s">
        <v>4124</v>
      </c>
      <c r="C55" s="2">
        <v>2151</v>
      </c>
      <c r="D55" s="3" t="s">
        <v>396</v>
      </c>
      <c r="E55" s="9" t="s">
        <v>2487</v>
      </c>
      <c r="F55" s="9" t="s">
        <v>2488</v>
      </c>
      <c r="G55" s="1">
        <v>1160.5857000000001</v>
      </c>
      <c r="H55" s="2">
        <v>406</v>
      </c>
      <c r="I55" s="2">
        <v>2</v>
      </c>
      <c r="J55" s="1">
        <v>1160.5731000000001</v>
      </c>
      <c r="K55" s="1">
        <v>581.30010000000004</v>
      </c>
      <c r="L55" s="9" t="s">
        <v>2489</v>
      </c>
      <c r="M55" s="2">
        <v>6.25</v>
      </c>
      <c r="N55" s="4">
        <v>2744.13</v>
      </c>
      <c r="O55" s="1">
        <f t="shared" si="0"/>
        <v>-14.288354378823216</v>
      </c>
      <c r="P55" s="6">
        <v>47.6</v>
      </c>
      <c r="Q55" s="6">
        <v>33.5</v>
      </c>
      <c r="R55" s="6">
        <v>8.3000000000000007</v>
      </c>
      <c r="S55" s="6">
        <v>11.4</v>
      </c>
      <c r="T55" s="5">
        <v>1.2999999999999999E-2</v>
      </c>
      <c r="U55" s="1">
        <v>-1.26E-2</v>
      </c>
      <c r="V55" s="1">
        <v>4.2960000000000003</v>
      </c>
    </row>
    <row r="56" spans="1:22" x14ac:dyDescent="0.25">
      <c r="A56" s="1">
        <v>0.99770000000000003</v>
      </c>
      <c r="B56" s="9" t="s">
        <v>4125</v>
      </c>
      <c r="C56" s="2">
        <v>2157</v>
      </c>
      <c r="D56" s="3" t="s">
        <v>370</v>
      </c>
      <c r="E56" s="9" t="s">
        <v>4126</v>
      </c>
      <c r="F56" s="9" t="s">
        <v>112</v>
      </c>
      <c r="G56" s="1">
        <v>1344.6357</v>
      </c>
      <c r="H56" s="2">
        <v>507</v>
      </c>
      <c r="I56" s="2">
        <v>2</v>
      </c>
      <c r="J56" s="1">
        <v>1344.5987</v>
      </c>
      <c r="K56" s="1">
        <v>673.32510000000002</v>
      </c>
      <c r="L56" s="9" t="s">
        <v>113</v>
      </c>
      <c r="M56" s="2">
        <v>8.6</v>
      </c>
      <c r="N56" s="4">
        <v>2749.38</v>
      </c>
      <c r="O56" s="1">
        <f t="shared" si="0"/>
        <v>-14.835730583974339</v>
      </c>
      <c r="P56" s="6">
        <v>40.1</v>
      </c>
      <c r="Q56" s="6">
        <v>25.3</v>
      </c>
      <c r="R56" s="6">
        <v>9.5</v>
      </c>
      <c r="S56" s="6">
        <v>8.9</v>
      </c>
      <c r="T56" s="5">
        <v>3.5000000000000001E-3</v>
      </c>
      <c r="U56" s="1">
        <v>-3.6999999999999998E-2</v>
      </c>
      <c r="V56" s="1">
        <v>4.9085999999999999</v>
      </c>
    </row>
    <row r="57" spans="1:22" x14ac:dyDescent="0.25">
      <c r="A57" s="1">
        <v>0.98980000000000001</v>
      </c>
      <c r="B57" s="9" t="s">
        <v>4127</v>
      </c>
      <c r="C57" s="2">
        <v>2164</v>
      </c>
      <c r="D57" s="3" t="s">
        <v>1845</v>
      </c>
      <c r="E57" s="9" t="s">
        <v>1967</v>
      </c>
      <c r="F57" s="9" t="s">
        <v>1968</v>
      </c>
      <c r="G57" s="1">
        <v>1436.8357000000001</v>
      </c>
      <c r="H57" s="2">
        <v>508</v>
      </c>
      <c r="I57" s="2">
        <v>3</v>
      </c>
      <c r="J57" s="1">
        <v>1436.7931000000001</v>
      </c>
      <c r="K57" s="1">
        <v>479.95249999999999</v>
      </c>
      <c r="L57" s="9" t="s">
        <v>1969</v>
      </c>
      <c r="M57" s="2">
        <v>11.17</v>
      </c>
      <c r="N57" s="4">
        <v>2764.18</v>
      </c>
      <c r="O57" s="1">
        <f t="shared" si="0"/>
        <v>-30.139053379595101</v>
      </c>
      <c r="P57" s="6">
        <v>26.5</v>
      </c>
      <c r="Q57" s="6">
        <v>20.6</v>
      </c>
      <c r="R57" s="6">
        <v>6.8</v>
      </c>
      <c r="S57" s="6">
        <v>9.1</v>
      </c>
      <c r="T57" s="5">
        <v>6.4000000000000001E-2</v>
      </c>
      <c r="U57" s="1">
        <v>-4.2599999999999999E-2</v>
      </c>
      <c r="V57" s="1">
        <v>3.2002000000000002</v>
      </c>
    </row>
    <row r="58" spans="1:22" x14ac:dyDescent="0.25">
      <c r="A58" s="1">
        <v>0.99770000000000003</v>
      </c>
      <c r="B58" s="9" t="s">
        <v>4128</v>
      </c>
      <c r="C58" s="2">
        <v>2167</v>
      </c>
      <c r="D58" s="3" t="s">
        <v>214</v>
      </c>
      <c r="E58" s="9" t="s">
        <v>89</v>
      </c>
      <c r="F58" s="9" t="s">
        <v>90</v>
      </c>
      <c r="G58" s="1">
        <v>1263.6377</v>
      </c>
      <c r="H58" s="2">
        <v>194</v>
      </c>
      <c r="I58" s="2">
        <v>2</v>
      </c>
      <c r="J58" s="1">
        <v>1263.6128000000001</v>
      </c>
      <c r="K58" s="1">
        <v>632.8261</v>
      </c>
      <c r="L58" s="9" t="s">
        <v>91</v>
      </c>
      <c r="M58" s="2">
        <v>6.22</v>
      </c>
      <c r="N58" s="4">
        <v>2771.58</v>
      </c>
      <c r="O58" s="1">
        <f t="shared" si="0"/>
        <v>-14.895731273211934</v>
      </c>
      <c r="P58" s="6">
        <v>53.6</v>
      </c>
      <c r="Q58" s="6">
        <v>36.299999999999997</v>
      </c>
      <c r="R58" s="6">
        <v>8.6999999999999993</v>
      </c>
      <c r="S58" s="6">
        <v>9.9</v>
      </c>
      <c r="T58" s="5">
        <v>1.6999999999999999E-3</v>
      </c>
      <c r="U58" s="1">
        <v>-2.4899999999999999E-2</v>
      </c>
      <c r="V58" s="1">
        <v>5.0335000000000001</v>
      </c>
    </row>
    <row r="59" spans="1:22" x14ac:dyDescent="0.25">
      <c r="A59" s="1">
        <v>0.99850000000000005</v>
      </c>
      <c r="B59" s="9" t="s">
        <v>4129</v>
      </c>
      <c r="C59" s="2">
        <v>2185</v>
      </c>
      <c r="D59" s="3" t="s">
        <v>1246</v>
      </c>
      <c r="E59" s="9" t="s">
        <v>4130</v>
      </c>
      <c r="F59" s="9" t="s">
        <v>1847</v>
      </c>
      <c r="G59" s="1">
        <v>2088.0556999999999</v>
      </c>
      <c r="H59" s="2">
        <v>850</v>
      </c>
      <c r="I59" s="2">
        <v>3</v>
      </c>
      <c r="J59" s="1">
        <v>2088.0144</v>
      </c>
      <c r="K59" s="1">
        <v>697.0258</v>
      </c>
      <c r="L59" s="9" t="s">
        <v>1848</v>
      </c>
      <c r="M59" s="2">
        <v>5.36</v>
      </c>
      <c r="N59" s="4">
        <v>2807.53</v>
      </c>
      <c r="O59" s="1">
        <f t="shared" si="0"/>
        <v>-18.034678465669966</v>
      </c>
      <c r="P59" s="6">
        <v>38.9</v>
      </c>
      <c r="Q59" s="6">
        <v>25.3</v>
      </c>
      <c r="R59" s="6">
        <v>11.8</v>
      </c>
      <c r="S59" s="6">
        <v>13.8</v>
      </c>
      <c r="T59" s="5">
        <v>5.9000000000000003E-4</v>
      </c>
      <c r="U59" s="1">
        <v>-4.1300000000000003E-2</v>
      </c>
      <c r="V59" s="1">
        <v>5.5026000000000002</v>
      </c>
    </row>
    <row r="60" spans="1:22" x14ac:dyDescent="0.25">
      <c r="A60" s="1">
        <v>0.99939999999999996</v>
      </c>
      <c r="B60" s="9" t="s">
        <v>4131</v>
      </c>
      <c r="C60" s="2">
        <v>2197</v>
      </c>
      <c r="D60" s="3" t="s">
        <v>146</v>
      </c>
      <c r="E60" s="9" t="s">
        <v>96</v>
      </c>
      <c r="F60" s="9" t="s">
        <v>97</v>
      </c>
      <c r="G60" s="1">
        <v>1205.5137</v>
      </c>
      <c r="H60" s="2">
        <v>510</v>
      </c>
      <c r="I60" s="2">
        <v>2</v>
      </c>
      <c r="J60" s="1">
        <v>1205.4860000000001</v>
      </c>
      <c r="K60" s="1">
        <v>603.76409999999998</v>
      </c>
      <c r="L60" s="9" t="s">
        <v>98</v>
      </c>
      <c r="M60" s="2">
        <v>5.05</v>
      </c>
      <c r="N60" s="4">
        <v>2823.38</v>
      </c>
      <c r="O60" s="1">
        <f t="shared" si="0"/>
        <v>-16.285345895680269</v>
      </c>
      <c r="P60" s="6">
        <v>40.299999999999997</v>
      </c>
      <c r="Q60" s="6">
        <v>28</v>
      </c>
      <c r="R60" s="6">
        <v>11.2</v>
      </c>
      <c r="S60" s="6">
        <v>13.7</v>
      </c>
      <c r="T60" s="5">
        <v>5.1999999999999997E-5</v>
      </c>
      <c r="U60" s="1">
        <v>-2.7699999999999999E-2</v>
      </c>
      <c r="V60" s="1">
        <v>6.6311</v>
      </c>
    </row>
    <row r="61" spans="1:22" x14ac:dyDescent="0.25">
      <c r="A61" s="1">
        <v>0.99939999999999996</v>
      </c>
      <c r="B61" s="9" t="s">
        <v>4132</v>
      </c>
      <c r="C61" s="2">
        <v>2211</v>
      </c>
      <c r="D61" s="3" t="s">
        <v>275</v>
      </c>
      <c r="E61" s="9" t="s">
        <v>1971</v>
      </c>
      <c r="F61" s="9" t="s">
        <v>1972</v>
      </c>
      <c r="G61" s="1">
        <v>1551.8626999999999</v>
      </c>
      <c r="H61" s="2">
        <v>195</v>
      </c>
      <c r="I61" s="2">
        <v>3</v>
      </c>
      <c r="J61" s="1">
        <v>1551.8305</v>
      </c>
      <c r="K61" s="1">
        <v>518.29480000000001</v>
      </c>
      <c r="L61" s="9" t="s">
        <v>1969</v>
      </c>
      <c r="M61" s="2">
        <v>9.99</v>
      </c>
      <c r="N61" s="4">
        <v>2852.98</v>
      </c>
      <c r="O61" s="1">
        <f t="shared" si="0"/>
        <v>-24.297805261295284</v>
      </c>
      <c r="P61" s="6">
        <v>33.6</v>
      </c>
      <c r="Q61" s="6">
        <v>22.9</v>
      </c>
      <c r="R61" s="6">
        <v>8.8000000000000007</v>
      </c>
      <c r="S61" s="6">
        <v>10.6</v>
      </c>
      <c r="T61" s="5">
        <v>3.3E-3</v>
      </c>
      <c r="U61" s="1">
        <v>-3.2199999999999999E-2</v>
      </c>
      <c r="V61" s="1">
        <v>5.3375000000000004</v>
      </c>
    </row>
    <row r="62" spans="1:22" x14ac:dyDescent="0.25">
      <c r="A62" s="1">
        <v>0.99739999999999995</v>
      </c>
      <c r="B62" s="9" t="s">
        <v>4133</v>
      </c>
      <c r="C62" s="2">
        <v>2215</v>
      </c>
      <c r="D62" s="3" t="s">
        <v>302</v>
      </c>
      <c r="E62" s="9" t="s">
        <v>96</v>
      </c>
      <c r="F62" s="9" t="s">
        <v>97</v>
      </c>
      <c r="G62" s="1">
        <v>1205.5137</v>
      </c>
      <c r="H62" s="2">
        <v>512</v>
      </c>
      <c r="I62" s="2">
        <v>2</v>
      </c>
      <c r="J62" s="1">
        <v>1205.4970000000001</v>
      </c>
      <c r="K62" s="1">
        <v>603.76409999999998</v>
      </c>
      <c r="L62" s="9" t="s">
        <v>98</v>
      </c>
      <c r="M62" s="2">
        <v>5.05</v>
      </c>
      <c r="N62" s="4">
        <v>2860.38</v>
      </c>
      <c r="O62" s="1">
        <f t="shared" si="0"/>
        <v>-20.166616424206623</v>
      </c>
      <c r="P62" s="6">
        <v>33.799999999999997</v>
      </c>
      <c r="Q62" s="6">
        <v>22.4</v>
      </c>
      <c r="R62" s="6">
        <v>11.1</v>
      </c>
      <c r="S62" s="6">
        <v>13.7</v>
      </c>
      <c r="T62" s="5">
        <v>3.3E-3</v>
      </c>
      <c r="U62" s="1">
        <v>-1.67E-2</v>
      </c>
      <c r="V62" s="1">
        <v>4.7835000000000001</v>
      </c>
    </row>
    <row r="63" spans="1:22" x14ac:dyDescent="0.25">
      <c r="A63" s="1">
        <v>0.96099999999999997</v>
      </c>
      <c r="B63" s="9" t="s">
        <v>4134</v>
      </c>
      <c r="C63" s="2">
        <v>2224</v>
      </c>
      <c r="D63" s="3" t="s">
        <v>370</v>
      </c>
      <c r="E63" s="9" t="s">
        <v>4135</v>
      </c>
      <c r="F63" s="9" t="s">
        <v>552</v>
      </c>
      <c r="G63" s="1">
        <v>1270.7687000000001</v>
      </c>
      <c r="H63" s="2">
        <v>753</v>
      </c>
      <c r="I63" s="2">
        <v>2</v>
      </c>
      <c r="J63" s="1">
        <v>1270.7415000000001</v>
      </c>
      <c r="K63" s="1">
        <v>636.39160000000004</v>
      </c>
      <c r="L63" s="9" t="s">
        <v>456</v>
      </c>
      <c r="M63" s="2">
        <v>9.6999999999999993</v>
      </c>
      <c r="N63" s="4">
        <v>2879.43</v>
      </c>
      <c r="O63" s="1">
        <f t="shared" si="0"/>
        <v>-20.005027734176132</v>
      </c>
      <c r="P63" s="6">
        <v>42</v>
      </c>
      <c r="Q63" s="6">
        <v>33.9</v>
      </c>
      <c r="R63" s="6">
        <v>10.3</v>
      </c>
      <c r="S63" s="6">
        <v>11.4</v>
      </c>
      <c r="T63" s="5">
        <v>5.1999999999999998E-2</v>
      </c>
      <c r="U63" s="1">
        <v>-2.7199999999999998E-2</v>
      </c>
      <c r="V63" s="1">
        <v>2.7566999999999999</v>
      </c>
    </row>
    <row r="64" spans="1:22" x14ac:dyDescent="0.25">
      <c r="A64" s="1">
        <v>0.98929999999999996</v>
      </c>
      <c r="B64" s="9" t="s">
        <v>4136</v>
      </c>
      <c r="C64" s="2">
        <v>2241</v>
      </c>
      <c r="D64" s="3" t="s">
        <v>260</v>
      </c>
      <c r="E64" s="9" t="s">
        <v>4137</v>
      </c>
      <c r="F64" s="9" t="s">
        <v>647</v>
      </c>
      <c r="G64" s="1">
        <v>1163.5277000000001</v>
      </c>
      <c r="H64" s="2">
        <v>196</v>
      </c>
      <c r="I64" s="2">
        <v>2</v>
      </c>
      <c r="J64" s="1">
        <v>1163.5085999999999</v>
      </c>
      <c r="K64" s="1">
        <v>582.77110000000005</v>
      </c>
      <c r="L64" s="9" t="s">
        <v>118</v>
      </c>
      <c r="M64" s="2">
        <v>5.96</v>
      </c>
      <c r="N64" s="4">
        <v>2904.78</v>
      </c>
      <c r="O64" s="1">
        <f t="shared" si="0"/>
        <v>-9.5191948030422608</v>
      </c>
      <c r="P64" s="6">
        <v>34.200000000000003</v>
      </c>
      <c r="Q64" s="6">
        <v>27.7</v>
      </c>
      <c r="R64" s="6">
        <v>10.6</v>
      </c>
      <c r="S64" s="6">
        <v>13.6</v>
      </c>
      <c r="T64" s="5">
        <v>0.03</v>
      </c>
      <c r="U64" s="1">
        <v>-1.9099999999999999E-2</v>
      </c>
      <c r="V64" s="1">
        <v>3.2837999999999998</v>
      </c>
    </row>
    <row r="65" spans="1:22" x14ac:dyDescent="0.25">
      <c r="A65" s="1">
        <v>0.97550000000000003</v>
      </c>
      <c r="B65" s="9" t="s">
        <v>4138</v>
      </c>
      <c r="C65" s="2">
        <v>2253</v>
      </c>
      <c r="D65" s="3" t="s">
        <v>779</v>
      </c>
      <c r="E65" s="9" t="s">
        <v>2493</v>
      </c>
      <c r="F65" s="9" t="s">
        <v>1478</v>
      </c>
      <c r="G65" s="1">
        <v>1490.7537</v>
      </c>
      <c r="H65" s="2">
        <v>515</v>
      </c>
      <c r="I65" s="2">
        <v>3</v>
      </c>
      <c r="J65" s="1">
        <v>1490.7221999999999</v>
      </c>
      <c r="K65" s="1">
        <v>497.92520000000002</v>
      </c>
      <c r="L65" s="9" t="s">
        <v>1479</v>
      </c>
      <c r="M65" s="2">
        <v>4.63</v>
      </c>
      <c r="N65" s="4">
        <v>2926.98</v>
      </c>
      <c r="O65" s="1">
        <f t="shared" si="0"/>
        <v>-17.258290716737736</v>
      </c>
      <c r="P65" s="6">
        <v>35.200000000000003</v>
      </c>
      <c r="Q65" s="6">
        <v>27.3</v>
      </c>
      <c r="R65" s="6">
        <v>9.3000000000000007</v>
      </c>
      <c r="S65" s="6">
        <v>10.4</v>
      </c>
      <c r="T65" s="5">
        <v>0.16</v>
      </c>
      <c r="U65" s="1">
        <v>-3.15E-2</v>
      </c>
      <c r="V65" s="1">
        <v>2.6585000000000001</v>
      </c>
    </row>
    <row r="66" spans="1:22" x14ac:dyDescent="0.25">
      <c r="A66" s="1">
        <v>0.98250000000000004</v>
      </c>
      <c r="B66" s="9" t="s">
        <v>4139</v>
      </c>
      <c r="C66" s="2">
        <v>2273</v>
      </c>
      <c r="D66" s="3" t="s">
        <v>891</v>
      </c>
      <c r="E66" s="9" t="s">
        <v>4140</v>
      </c>
      <c r="F66" s="9" t="s">
        <v>4141</v>
      </c>
      <c r="G66" s="1">
        <v>1022.5217</v>
      </c>
      <c r="H66" s="2">
        <v>755</v>
      </c>
      <c r="I66" s="2">
        <v>2</v>
      </c>
      <c r="J66" s="1">
        <v>1022.4941</v>
      </c>
      <c r="K66" s="1">
        <v>512.2681</v>
      </c>
      <c r="L66" s="9" t="s">
        <v>4142</v>
      </c>
      <c r="M66" s="2">
        <v>6.74</v>
      </c>
      <c r="N66" s="4">
        <v>2970.33</v>
      </c>
      <c r="O66" s="1">
        <f t="shared" si="0"/>
        <v>-14.56248342414292</v>
      </c>
      <c r="P66" s="6">
        <v>33.299999999999997</v>
      </c>
      <c r="Q66" s="6">
        <v>25.7</v>
      </c>
      <c r="R66" s="6">
        <v>7.9</v>
      </c>
      <c r="S66" s="6">
        <v>11.5</v>
      </c>
      <c r="T66" s="5">
        <v>5.7000000000000002E-2</v>
      </c>
      <c r="U66" s="1">
        <v>-2.76E-2</v>
      </c>
      <c r="V66" s="1">
        <v>3.3115999999999999</v>
      </c>
    </row>
    <row r="67" spans="1:22" x14ac:dyDescent="0.25">
      <c r="A67" s="1">
        <v>0.99970000000000003</v>
      </c>
      <c r="B67" s="9" t="s">
        <v>4143</v>
      </c>
      <c r="C67" s="2">
        <v>2275</v>
      </c>
      <c r="D67" s="3" t="s">
        <v>2518</v>
      </c>
      <c r="E67" s="9" t="s">
        <v>1202</v>
      </c>
      <c r="F67" s="9" t="s">
        <v>363</v>
      </c>
      <c r="G67" s="1">
        <v>1545.8077000000001</v>
      </c>
      <c r="H67" s="2">
        <v>519</v>
      </c>
      <c r="I67" s="2">
        <v>2</v>
      </c>
      <c r="J67" s="1">
        <v>1545.7646</v>
      </c>
      <c r="K67" s="1">
        <v>773.91110000000003</v>
      </c>
      <c r="L67" s="9" t="s">
        <v>364</v>
      </c>
      <c r="M67" s="2">
        <v>8.59</v>
      </c>
      <c r="N67" s="4">
        <v>2971.39</v>
      </c>
      <c r="O67" s="1">
        <f t="shared" si="0"/>
        <v>-13.388741958830877</v>
      </c>
      <c r="P67" s="6">
        <v>64.7</v>
      </c>
      <c r="Q67" s="6">
        <v>35.700000000000003</v>
      </c>
      <c r="R67" s="6">
        <v>9</v>
      </c>
      <c r="S67" s="6">
        <v>11.1</v>
      </c>
      <c r="T67" s="5">
        <v>1.3E-6</v>
      </c>
      <c r="U67" s="1">
        <v>-4.3099999999999999E-2</v>
      </c>
      <c r="V67" s="1">
        <v>8.1121999999999996</v>
      </c>
    </row>
    <row r="68" spans="1:22" x14ac:dyDescent="0.25">
      <c r="A68" s="1">
        <v>0.99250000000000005</v>
      </c>
      <c r="B68" s="9" t="s">
        <v>4144</v>
      </c>
      <c r="C68" s="2">
        <v>2279</v>
      </c>
      <c r="D68" s="3" t="s">
        <v>370</v>
      </c>
      <c r="E68" s="9" t="s">
        <v>761</v>
      </c>
      <c r="F68" s="9" t="s">
        <v>762</v>
      </c>
      <c r="G68" s="1">
        <v>1235.6947</v>
      </c>
      <c r="H68" s="2">
        <v>439</v>
      </c>
      <c r="I68" s="2">
        <v>2</v>
      </c>
      <c r="J68" s="1">
        <v>1235.6496999999999</v>
      </c>
      <c r="K68" s="1">
        <v>618.8546</v>
      </c>
      <c r="L68" s="9" t="s">
        <v>763</v>
      </c>
      <c r="M68" s="2">
        <v>8.56</v>
      </c>
      <c r="N68" s="4">
        <v>2980.94</v>
      </c>
      <c r="O68" s="1">
        <f t="shared" si="0"/>
        <v>-19.611212865781372</v>
      </c>
      <c r="P68" s="6">
        <v>46.2</v>
      </c>
      <c r="Q68" s="6">
        <v>30.4</v>
      </c>
      <c r="R68" s="6">
        <v>11.9</v>
      </c>
      <c r="S68" s="6">
        <v>10.9</v>
      </c>
      <c r="T68" s="5">
        <v>2.3E-3</v>
      </c>
      <c r="U68" s="1">
        <v>-4.4999999999999998E-2</v>
      </c>
      <c r="V68" s="1">
        <v>4.9804000000000004</v>
      </c>
    </row>
    <row r="69" spans="1:22" x14ac:dyDescent="0.25">
      <c r="A69" s="1">
        <v>0.96330000000000005</v>
      </c>
      <c r="B69" s="9" t="s">
        <v>4145</v>
      </c>
      <c r="C69" s="2">
        <v>2283</v>
      </c>
      <c r="D69" s="3" t="s">
        <v>2492</v>
      </c>
      <c r="E69" s="9" t="s">
        <v>4146</v>
      </c>
      <c r="F69" s="9" t="s">
        <v>860</v>
      </c>
      <c r="G69" s="1">
        <v>1413.8377</v>
      </c>
      <c r="H69" s="2">
        <v>851</v>
      </c>
      <c r="I69" s="2">
        <v>3</v>
      </c>
      <c r="J69" s="1">
        <v>1413.8010999999999</v>
      </c>
      <c r="K69" s="1">
        <v>472.28649999999999</v>
      </c>
      <c r="L69" s="9" t="s">
        <v>673</v>
      </c>
      <c r="M69" s="2">
        <v>11.17</v>
      </c>
      <c r="N69" s="4">
        <v>2988.34</v>
      </c>
      <c r="O69" s="1">
        <f t="shared" si="0"/>
        <v>-10.837775531089706</v>
      </c>
      <c r="P69" s="6">
        <v>38.4</v>
      </c>
      <c r="Q69" s="6">
        <v>31.3</v>
      </c>
      <c r="R69" s="6">
        <v>9.1999999999999993</v>
      </c>
      <c r="S69" s="6">
        <v>12.1</v>
      </c>
      <c r="T69" s="5">
        <v>4.2999999999999997E-2</v>
      </c>
      <c r="U69" s="1">
        <v>-3.6600000000000001E-2</v>
      </c>
      <c r="V69" s="1">
        <v>3.2124000000000001</v>
      </c>
    </row>
    <row r="70" spans="1:22" x14ac:dyDescent="0.25">
      <c r="A70" s="1">
        <v>0.99580000000000002</v>
      </c>
      <c r="B70" s="9" t="s">
        <v>4147</v>
      </c>
      <c r="C70" s="2">
        <v>2297</v>
      </c>
      <c r="D70" s="3" t="s">
        <v>105</v>
      </c>
      <c r="E70" s="9" t="s">
        <v>1202</v>
      </c>
      <c r="F70" s="9" t="s">
        <v>363</v>
      </c>
      <c r="G70" s="1">
        <v>1545.8077000000001</v>
      </c>
      <c r="H70" s="2">
        <v>521</v>
      </c>
      <c r="I70" s="2">
        <v>2</v>
      </c>
      <c r="J70" s="1">
        <v>1545.7855999999999</v>
      </c>
      <c r="K70" s="1">
        <v>773.91110000000003</v>
      </c>
      <c r="L70" s="9" t="s">
        <v>364</v>
      </c>
      <c r="M70" s="2">
        <v>8.59</v>
      </c>
      <c r="N70" s="4">
        <v>3008.39</v>
      </c>
      <c r="O70" s="1">
        <f t="shared" si="0"/>
        <v>-27.475583488570379</v>
      </c>
      <c r="P70" s="6">
        <v>45.9</v>
      </c>
      <c r="Q70" s="6">
        <v>30.4</v>
      </c>
      <c r="R70" s="6">
        <v>8.1999999999999993</v>
      </c>
      <c r="S70" s="6">
        <v>11</v>
      </c>
      <c r="T70" s="5">
        <v>3.0000000000000001E-3</v>
      </c>
      <c r="U70" s="1">
        <v>-2.2100000000000002E-2</v>
      </c>
      <c r="V70" s="1">
        <v>4.3281000000000001</v>
      </c>
    </row>
    <row r="71" spans="1:22" x14ac:dyDescent="0.25">
      <c r="A71" s="1">
        <v>0.99</v>
      </c>
      <c r="B71" s="9" t="s">
        <v>4148</v>
      </c>
      <c r="C71" s="2">
        <v>2300</v>
      </c>
      <c r="D71" s="3" t="s">
        <v>2118</v>
      </c>
      <c r="E71" s="9" t="s">
        <v>4149</v>
      </c>
      <c r="F71" s="9" t="s">
        <v>304</v>
      </c>
      <c r="G71" s="1">
        <v>1043.5797</v>
      </c>
      <c r="H71" s="2">
        <v>323</v>
      </c>
      <c r="I71" s="2">
        <v>2</v>
      </c>
      <c r="J71" s="1">
        <v>1043.5491</v>
      </c>
      <c r="K71" s="1">
        <v>522.7971</v>
      </c>
      <c r="L71" s="9" t="s">
        <v>118</v>
      </c>
      <c r="M71" s="2">
        <v>11</v>
      </c>
      <c r="N71" s="4">
        <v>3020.04</v>
      </c>
      <c r="O71" s="1">
        <f t="shared" si="0"/>
        <v>-29.586261140425353</v>
      </c>
      <c r="P71" s="6">
        <v>41.6</v>
      </c>
      <c r="Q71" s="6">
        <v>31.2</v>
      </c>
      <c r="R71" s="6">
        <v>9.8000000000000007</v>
      </c>
      <c r="S71" s="6">
        <v>11.7</v>
      </c>
      <c r="T71" s="5">
        <v>8.2000000000000003E-2</v>
      </c>
      <c r="U71" s="1">
        <v>-3.0599999999999999E-2</v>
      </c>
      <c r="V71" s="1">
        <v>3.2290000000000001</v>
      </c>
    </row>
    <row r="72" spans="1:22" x14ac:dyDescent="0.25">
      <c r="A72" s="1">
        <v>0.99880000000000002</v>
      </c>
      <c r="B72" s="9" t="s">
        <v>4150</v>
      </c>
      <c r="C72" s="2">
        <v>2345</v>
      </c>
      <c r="D72" s="3" t="s">
        <v>493</v>
      </c>
      <c r="E72" s="9" t="s">
        <v>116</v>
      </c>
      <c r="F72" s="9" t="s">
        <v>117</v>
      </c>
      <c r="G72" s="1">
        <v>1352.6867</v>
      </c>
      <c r="H72" s="2">
        <v>757</v>
      </c>
      <c r="I72" s="2">
        <v>2</v>
      </c>
      <c r="J72" s="1">
        <v>1352.653</v>
      </c>
      <c r="K72" s="1">
        <v>677.35059999999999</v>
      </c>
      <c r="L72" s="9" t="s">
        <v>118</v>
      </c>
      <c r="M72" s="2">
        <v>8.73</v>
      </c>
      <c r="N72" s="4">
        <v>3103.54</v>
      </c>
      <c r="O72" s="1">
        <f t="shared" si="0"/>
        <v>-19.673651260591178</v>
      </c>
      <c r="P72" s="6">
        <v>55.1</v>
      </c>
      <c r="Q72" s="6">
        <v>34.1</v>
      </c>
      <c r="R72" s="6">
        <v>11.4</v>
      </c>
      <c r="S72" s="6">
        <v>11.8</v>
      </c>
      <c r="T72" s="5">
        <v>3.4000000000000002E-4</v>
      </c>
      <c r="U72" s="1">
        <v>-3.3700000000000001E-2</v>
      </c>
      <c r="V72" s="1">
        <v>5.6353999999999997</v>
      </c>
    </row>
    <row r="73" spans="1:22" x14ac:dyDescent="0.25">
      <c r="A73" s="1">
        <v>0.96860000000000002</v>
      </c>
      <c r="B73" s="9" t="s">
        <v>4151</v>
      </c>
      <c r="C73" s="2">
        <v>2356</v>
      </c>
      <c r="D73" s="3" t="s">
        <v>2467</v>
      </c>
      <c r="E73" s="9" t="s">
        <v>4152</v>
      </c>
      <c r="F73" s="9" t="s">
        <v>4153</v>
      </c>
      <c r="G73" s="1">
        <v>1301.6657</v>
      </c>
      <c r="H73" s="2">
        <v>414</v>
      </c>
      <c r="I73" s="2">
        <v>2</v>
      </c>
      <c r="J73" s="1">
        <v>1301.6464000000001</v>
      </c>
      <c r="K73" s="1">
        <v>651.84010000000001</v>
      </c>
      <c r="L73" s="9" t="s">
        <v>4154</v>
      </c>
      <c r="M73" s="2">
        <v>3.79</v>
      </c>
      <c r="N73" s="4">
        <v>3123.64</v>
      </c>
      <c r="O73" s="1">
        <f t="shared" si="0"/>
        <v>-19.750584076897393</v>
      </c>
      <c r="P73" s="6">
        <v>23.1</v>
      </c>
      <c r="Q73" s="6">
        <v>18.100000000000001</v>
      </c>
      <c r="R73" s="6">
        <v>5.0999999999999996</v>
      </c>
      <c r="S73" s="6">
        <v>6.5</v>
      </c>
      <c r="T73" s="5">
        <v>0.16</v>
      </c>
      <c r="U73" s="1">
        <v>-1.9300000000000001E-2</v>
      </c>
      <c r="V73" s="1">
        <v>2.3283</v>
      </c>
    </row>
    <row r="74" spans="1:22" x14ac:dyDescent="0.25">
      <c r="A74" s="1">
        <v>0.99280000000000002</v>
      </c>
      <c r="B74" s="9" t="s">
        <v>4155</v>
      </c>
      <c r="C74" s="2">
        <v>2373</v>
      </c>
      <c r="D74" s="3" t="s">
        <v>2708</v>
      </c>
      <c r="E74" s="9" t="s">
        <v>4156</v>
      </c>
      <c r="F74" s="9" t="s">
        <v>4157</v>
      </c>
      <c r="G74" s="1">
        <v>908.44870000000003</v>
      </c>
      <c r="H74" s="2">
        <v>202</v>
      </c>
      <c r="I74" s="2">
        <v>2</v>
      </c>
      <c r="J74" s="1">
        <v>908.42690000000005</v>
      </c>
      <c r="K74" s="1">
        <v>455.23160000000001</v>
      </c>
      <c r="L74" s="9" t="s">
        <v>4158</v>
      </c>
      <c r="M74" s="2">
        <v>4</v>
      </c>
      <c r="N74" s="4">
        <v>3148.99</v>
      </c>
      <c r="O74" s="1">
        <f t="shared" si="0"/>
        <v>-22.939422863996054</v>
      </c>
      <c r="P74" s="6">
        <v>25.5</v>
      </c>
      <c r="Q74" s="6">
        <v>18.2</v>
      </c>
      <c r="R74" s="6">
        <v>7.3</v>
      </c>
      <c r="S74" s="6">
        <v>10.8</v>
      </c>
      <c r="T74" s="5">
        <v>8.6999999999999994E-2</v>
      </c>
      <c r="U74" s="1">
        <v>-2.18E-2</v>
      </c>
      <c r="V74" s="1">
        <v>3.4007000000000001</v>
      </c>
    </row>
    <row r="75" spans="1:22" x14ac:dyDescent="0.25">
      <c r="A75" s="1">
        <v>0.99239999999999995</v>
      </c>
      <c r="B75" s="9" t="s">
        <v>4159</v>
      </c>
      <c r="C75" s="2">
        <v>2416</v>
      </c>
      <c r="D75" s="3" t="s">
        <v>396</v>
      </c>
      <c r="E75" s="9" t="s">
        <v>4160</v>
      </c>
      <c r="F75" s="9" t="s">
        <v>3898</v>
      </c>
      <c r="G75" s="1">
        <v>1223.6107</v>
      </c>
      <c r="H75" s="2">
        <v>528</v>
      </c>
      <c r="I75" s="2">
        <v>2</v>
      </c>
      <c r="J75" s="1">
        <v>1223.5780999999999</v>
      </c>
      <c r="K75" s="1">
        <v>612.81259999999997</v>
      </c>
      <c r="L75" s="9" t="s">
        <v>3899</v>
      </c>
      <c r="M75" s="2">
        <v>4.8499999999999996</v>
      </c>
      <c r="N75" s="4">
        <v>3230.4</v>
      </c>
      <c r="O75" s="1">
        <f t="shared" si="0"/>
        <v>-20.708935017934447</v>
      </c>
      <c r="P75" s="6">
        <v>42.5</v>
      </c>
      <c r="Q75" s="6">
        <v>36.4</v>
      </c>
      <c r="R75" s="6">
        <v>7.3</v>
      </c>
      <c r="S75" s="6">
        <v>10.5</v>
      </c>
      <c r="T75" s="5">
        <v>7.4999999999999997E-2</v>
      </c>
      <c r="U75" s="1">
        <v>-3.2599999999999997E-2</v>
      </c>
      <c r="V75" s="1">
        <v>2.5470000000000002</v>
      </c>
    </row>
    <row r="76" spans="1:22" x14ac:dyDescent="0.25">
      <c r="A76" s="1">
        <v>0.99950000000000006</v>
      </c>
      <c r="B76" s="9" t="s">
        <v>4161</v>
      </c>
      <c r="C76" s="2">
        <v>2440</v>
      </c>
      <c r="D76" s="3" t="s">
        <v>1887</v>
      </c>
      <c r="E76" s="9" t="s">
        <v>4162</v>
      </c>
      <c r="F76" s="9" t="s">
        <v>860</v>
      </c>
      <c r="G76" s="1">
        <v>1388.6647</v>
      </c>
      <c r="H76" s="2">
        <v>530</v>
      </c>
      <c r="I76" s="2">
        <v>2</v>
      </c>
      <c r="J76" s="1">
        <v>1388.6324999999999</v>
      </c>
      <c r="K76" s="1">
        <v>695.33960000000002</v>
      </c>
      <c r="L76" s="9" t="s">
        <v>673</v>
      </c>
      <c r="M76" s="2">
        <v>4.83</v>
      </c>
      <c r="N76" s="4">
        <v>3274.8</v>
      </c>
      <c r="O76" s="1">
        <f t="shared" si="0"/>
        <v>-13.829904759160076</v>
      </c>
      <c r="P76" s="6">
        <v>56</v>
      </c>
      <c r="Q76" s="6">
        <v>37.5</v>
      </c>
      <c r="R76" s="6">
        <v>9.4</v>
      </c>
      <c r="S76" s="6">
        <v>10.7</v>
      </c>
      <c r="T76" s="5">
        <v>1E-4</v>
      </c>
      <c r="U76" s="1">
        <v>-3.2199999999999999E-2</v>
      </c>
      <c r="V76" s="1">
        <v>6.7316000000000003</v>
      </c>
    </row>
    <row r="77" spans="1:22" x14ac:dyDescent="0.25">
      <c r="A77" s="1">
        <v>0.9597</v>
      </c>
      <c r="B77" s="9" t="s">
        <v>4163</v>
      </c>
      <c r="C77" s="2">
        <v>2472</v>
      </c>
      <c r="D77" s="3" t="s">
        <v>201</v>
      </c>
      <c r="E77" s="9" t="s">
        <v>4164</v>
      </c>
      <c r="F77" s="9" t="s">
        <v>340</v>
      </c>
      <c r="G77" s="1">
        <v>1170.7047</v>
      </c>
      <c r="H77" s="2">
        <v>762</v>
      </c>
      <c r="I77" s="2">
        <v>2</v>
      </c>
      <c r="J77" s="1">
        <v>1170.6668999999999</v>
      </c>
      <c r="K77" s="1">
        <v>586.3596</v>
      </c>
      <c r="L77" s="9" t="s">
        <v>341</v>
      </c>
      <c r="M77" s="2">
        <v>10</v>
      </c>
      <c r="N77" s="4">
        <v>3338.25</v>
      </c>
      <c r="O77" s="1">
        <f t="shared" si="0"/>
        <v>-21.37048949106179</v>
      </c>
      <c r="P77" s="6">
        <v>48.5</v>
      </c>
      <c r="Q77" s="6">
        <v>36.4</v>
      </c>
      <c r="R77" s="6">
        <v>12</v>
      </c>
      <c r="S77" s="6">
        <v>10.4</v>
      </c>
      <c r="T77" s="5">
        <v>0.12</v>
      </c>
      <c r="U77" s="1">
        <v>-3.78E-2</v>
      </c>
      <c r="V77" s="1">
        <v>2.7351000000000001</v>
      </c>
    </row>
    <row r="78" spans="1:22" x14ac:dyDescent="0.25">
      <c r="A78" s="1">
        <v>0.99819999999999998</v>
      </c>
      <c r="B78" s="9" t="s">
        <v>4165</v>
      </c>
      <c r="C78" s="2">
        <v>2483</v>
      </c>
      <c r="D78" s="3" t="s">
        <v>302</v>
      </c>
      <c r="E78" s="9" t="s">
        <v>4166</v>
      </c>
      <c r="F78" s="9" t="s">
        <v>860</v>
      </c>
      <c r="G78" s="1">
        <v>1347.5517</v>
      </c>
      <c r="H78" s="2">
        <v>764</v>
      </c>
      <c r="I78" s="2">
        <v>2</v>
      </c>
      <c r="J78" s="1">
        <v>1347.5256999999999</v>
      </c>
      <c r="K78" s="1">
        <v>674.78309999999999</v>
      </c>
      <c r="L78" s="9" t="s">
        <v>673</v>
      </c>
      <c r="M78" s="2">
        <v>4.53</v>
      </c>
      <c r="N78" s="4">
        <v>3358.35</v>
      </c>
      <c r="O78" s="1">
        <f t="shared" si="0"/>
        <v>-16.387223045205911</v>
      </c>
      <c r="P78" s="6">
        <v>33.6</v>
      </c>
      <c r="Q78" s="6">
        <v>23.6</v>
      </c>
      <c r="R78" s="6">
        <v>10.1</v>
      </c>
      <c r="S78" s="6">
        <v>11.3</v>
      </c>
      <c r="T78" s="5">
        <v>8.8999999999999995E-4</v>
      </c>
      <c r="U78" s="1">
        <v>-2.5999999999999999E-2</v>
      </c>
      <c r="V78" s="1">
        <v>5.2244000000000002</v>
      </c>
    </row>
    <row r="79" spans="1:22" x14ac:dyDescent="0.25">
      <c r="A79" s="1">
        <v>0.99909999999999999</v>
      </c>
      <c r="B79" s="9" t="s">
        <v>4167</v>
      </c>
      <c r="C79" s="2">
        <v>2503</v>
      </c>
      <c r="D79" s="3" t="s">
        <v>702</v>
      </c>
      <c r="E79" s="9" t="s">
        <v>4166</v>
      </c>
      <c r="F79" s="9" t="s">
        <v>860</v>
      </c>
      <c r="G79" s="1">
        <v>1347.5517</v>
      </c>
      <c r="H79" s="2">
        <v>766</v>
      </c>
      <c r="I79" s="2">
        <v>2</v>
      </c>
      <c r="J79" s="1">
        <v>1347.5347999999999</v>
      </c>
      <c r="K79" s="1">
        <v>674.78309999999999</v>
      </c>
      <c r="L79" s="9" t="s">
        <v>673</v>
      </c>
      <c r="M79" s="2">
        <v>4.53</v>
      </c>
      <c r="N79" s="4">
        <v>3395.35</v>
      </c>
      <c r="O79" s="1">
        <f t="shared" si="0"/>
        <v>-21.087504709542721</v>
      </c>
      <c r="P79" s="6">
        <v>37.4</v>
      </c>
      <c r="Q79" s="6">
        <v>25.9</v>
      </c>
      <c r="R79" s="6">
        <v>10.199999999999999</v>
      </c>
      <c r="S79" s="6">
        <v>11.3</v>
      </c>
      <c r="T79" s="5">
        <v>2.1000000000000001E-4</v>
      </c>
      <c r="U79" s="1">
        <v>-1.6899999999999998E-2</v>
      </c>
      <c r="V79" s="1">
        <v>5.9687000000000001</v>
      </c>
    </row>
    <row r="80" spans="1:22" x14ac:dyDescent="0.25">
      <c r="A80" s="1">
        <v>0.99529999999999996</v>
      </c>
      <c r="B80" s="9" t="s">
        <v>4168</v>
      </c>
      <c r="C80" s="2">
        <v>2516</v>
      </c>
      <c r="D80" s="3" t="s">
        <v>201</v>
      </c>
      <c r="E80" s="9" t="s">
        <v>4169</v>
      </c>
      <c r="F80" s="9" t="s">
        <v>27</v>
      </c>
      <c r="G80" s="1">
        <v>1245.6427000000001</v>
      </c>
      <c r="H80" s="2">
        <v>206</v>
      </c>
      <c r="I80" s="2">
        <v>2</v>
      </c>
      <c r="J80" s="1">
        <v>1245.6192000000001</v>
      </c>
      <c r="K80" s="1">
        <v>623.82860000000005</v>
      </c>
      <c r="L80" s="9" t="s">
        <v>28</v>
      </c>
      <c r="M80" s="2">
        <v>8.59</v>
      </c>
      <c r="N80" s="4">
        <v>3415.4</v>
      </c>
      <c r="O80" s="1">
        <f t="shared" si="0"/>
        <v>-26.939018845795786</v>
      </c>
      <c r="P80" s="6">
        <v>43.6</v>
      </c>
      <c r="Q80" s="6">
        <v>30.2</v>
      </c>
      <c r="R80" s="6">
        <v>8.1999999999999993</v>
      </c>
      <c r="S80" s="6">
        <v>9.1</v>
      </c>
      <c r="T80" s="5">
        <v>2.5000000000000001E-2</v>
      </c>
      <c r="U80" s="1">
        <v>-2.35E-2</v>
      </c>
      <c r="V80" s="1">
        <v>3.8214999999999999</v>
      </c>
    </row>
    <row r="81" spans="1:22" x14ac:dyDescent="0.25">
      <c r="A81" s="1">
        <v>1</v>
      </c>
      <c r="B81" s="9" t="s">
        <v>4170</v>
      </c>
      <c r="C81" s="2">
        <v>2547</v>
      </c>
      <c r="D81" s="3" t="s">
        <v>2151</v>
      </c>
      <c r="E81" s="9" t="s">
        <v>4171</v>
      </c>
      <c r="F81" s="9" t="s">
        <v>860</v>
      </c>
      <c r="G81" s="1">
        <v>2017.9167</v>
      </c>
      <c r="H81" s="2">
        <v>537</v>
      </c>
      <c r="I81" s="2">
        <v>3</v>
      </c>
      <c r="J81" s="1">
        <v>2017.8938000000001</v>
      </c>
      <c r="K81" s="1">
        <v>673.64620000000002</v>
      </c>
      <c r="L81" s="9" t="s">
        <v>673</v>
      </c>
      <c r="M81" s="2">
        <v>4.66</v>
      </c>
      <c r="N81" s="4">
        <v>3479.16</v>
      </c>
      <c r="O81" s="1">
        <f t="shared" si="0"/>
        <v>-27.845575544788026</v>
      </c>
      <c r="P81" s="6">
        <v>51.7</v>
      </c>
      <c r="Q81" s="6">
        <v>30.2</v>
      </c>
      <c r="R81" s="6">
        <v>10.1</v>
      </c>
      <c r="S81" s="6">
        <v>12</v>
      </c>
      <c r="T81" s="5">
        <v>4.5000000000000001E-6</v>
      </c>
      <c r="U81" s="1">
        <v>-2.29E-2</v>
      </c>
      <c r="V81" s="1">
        <v>7.9641000000000002</v>
      </c>
    </row>
    <row r="82" spans="1:22" x14ac:dyDescent="0.25">
      <c r="A82" s="1">
        <v>0.99970000000000003</v>
      </c>
      <c r="B82" s="9" t="s">
        <v>4172</v>
      </c>
      <c r="C82" s="2">
        <v>2569</v>
      </c>
      <c r="D82" s="3" t="s">
        <v>1399</v>
      </c>
      <c r="E82" s="9" t="s">
        <v>4171</v>
      </c>
      <c r="F82" s="9" t="s">
        <v>860</v>
      </c>
      <c r="G82" s="1">
        <v>2017.9167</v>
      </c>
      <c r="H82" s="2">
        <v>541</v>
      </c>
      <c r="I82" s="2">
        <v>3</v>
      </c>
      <c r="J82" s="1">
        <v>2017.8653999999999</v>
      </c>
      <c r="K82" s="1">
        <v>673.64620000000002</v>
      </c>
      <c r="L82" s="9" t="s">
        <v>673</v>
      </c>
      <c r="M82" s="2">
        <v>4.66</v>
      </c>
      <c r="N82" s="4">
        <v>3516.16</v>
      </c>
      <c r="O82" s="1">
        <f t="shared" si="0"/>
        <v>-36.357490111570627</v>
      </c>
      <c r="P82" s="6">
        <v>43.1</v>
      </c>
      <c r="Q82" s="6">
        <v>26.3</v>
      </c>
      <c r="R82" s="6">
        <v>8.6</v>
      </c>
      <c r="S82" s="6">
        <v>10.6</v>
      </c>
      <c r="T82" s="5">
        <v>2.7999999999999998E-4</v>
      </c>
      <c r="U82" s="1">
        <v>-5.1299999999999998E-2</v>
      </c>
      <c r="V82" s="1">
        <v>5.8939000000000004</v>
      </c>
    </row>
    <row r="83" spans="1:22" x14ac:dyDescent="0.25">
      <c r="A83" s="1">
        <v>0.97909999999999997</v>
      </c>
      <c r="B83" s="9" t="s">
        <v>4173</v>
      </c>
      <c r="C83" s="2">
        <v>2571</v>
      </c>
      <c r="D83" s="3" t="s">
        <v>1002</v>
      </c>
      <c r="E83" s="9" t="s">
        <v>3173</v>
      </c>
      <c r="F83" s="9" t="s">
        <v>860</v>
      </c>
      <c r="G83" s="1">
        <v>1227.6537000000001</v>
      </c>
      <c r="H83" s="2">
        <v>540</v>
      </c>
      <c r="I83" s="2">
        <v>2</v>
      </c>
      <c r="J83" s="1">
        <v>1227.6331</v>
      </c>
      <c r="K83" s="1">
        <v>614.83410000000003</v>
      </c>
      <c r="L83" s="9" t="s">
        <v>673</v>
      </c>
      <c r="M83" s="2">
        <v>5.93</v>
      </c>
      <c r="N83" s="4">
        <v>3523.56</v>
      </c>
      <c r="O83" s="1">
        <f t="shared" ref="O83:O146" si="1">(((IF(U69&lt;0.51,U69, IF(U69&lt;1.51,U69-1.003355,IF(U69&lt;2.6,U69-2*1.003355))))/I69)/K69)*1000000</f>
        <v>-25.831777956812235</v>
      </c>
      <c r="P83" s="6">
        <v>52.3</v>
      </c>
      <c r="Q83" s="6">
        <v>37.9</v>
      </c>
      <c r="R83" s="6">
        <v>11.1</v>
      </c>
      <c r="S83" s="6">
        <v>13.1</v>
      </c>
      <c r="T83" s="5">
        <v>8.2000000000000003E-2</v>
      </c>
      <c r="U83" s="1">
        <v>-2.06E-2</v>
      </c>
      <c r="V83" s="1">
        <v>3.0585</v>
      </c>
    </row>
    <row r="84" spans="1:22" x14ac:dyDescent="0.25">
      <c r="A84" s="1">
        <v>0.96560000000000001</v>
      </c>
      <c r="B84" s="9" t="s">
        <v>4174</v>
      </c>
      <c r="C84" s="2">
        <v>2577</v>
      </c>
      <c r="D84" s="3" t="s">
        <v>93</v>
      </c>
      <c r="E84" s="9" t="s">
        <v>4175</v>
      </c>
      <c r="F84" s="9" t="s">
        <v>4176</v>
      </c>
      <c r="G84" s="1">
        <v>1257.7017000000001</v>
      </c>
      <c r="H84" s="2">
        <v>542</v>
      </c>
      <c r="I84" s="2">
        <v>2</v>
      </c>
      <c r="J84" s="1">
        <v>1257.6711</v>
      </c>
      <c r="K84" s="1">
        <v>629.85810000000004</v>
      </c>
      <c r="L84" s="9" t="s">
        <v>4177</v>
      </c>
      <c r="M84" s="2">
        <v>12</v>
      </c>
      <c r="N84" s="4">
        <v>3530.96</v>
      </c>
      <c r="O84" s="1">
        <f t="shared" si="1"/>
        <v>-14.278125743383187</v>
      </c>
      <c r="P84" s="6">
        <v>50.2</v>
      </c>
      <c r="Q84" s="6">
        <v>39.5</v>
      </c>
      <c r="R84" s="6">
        <v>11.8</v>
      </c>
      <c r="S84" s="6">
        <v>12.5</v>
      </c>
      <c r="T84" s="5">
        <v>7.0999999999999994E-2</v>
      </c>
      <c r="U84" s="1">
        <v>-3.0599999999999999E-2</v>
      </c>
      <c r="V84" s="1">
        <v>2.7042999999999999</v>
      </c>
    </row>
    <row r="85" spans="1:22" x14ac:dyDescent="0.25">
      <c r="A85" s="1">
        <v>0.97440000000000004</v>
      </c>
      <c r="B85" s="9" t="s">
        <v>4178</v>
      </c>
      <c r="C85" s="2">
        <v>2587</v>
      </c>
      <c r="D85" s="3" t="s">
        <v>333</v>
      </c>
      <c r="E85" s="9" t="s">
        <v>2582</v>
      </c>
      <c r="F85" s="9" t="s">
        <v>2583</v>
      </c>
      <c r="G85" s="1">
        <v>1746.9186999999999</v>
      </c>
      <c r="H85" s="2">
        <v>49</v>
      </c>
      <c r="I85" s="2">
        <v>3</v>
      </c>
      <c r="J85" s="1">
        <v>1746.8959</v>
      </c>
      <c r="K85" s="1">
        <v>583.31349999999998</v>
      </c>
      <c r="L85" s="9" t="s">
        <v>673</v>
      </c>
      <c r="M85" s="2">
        <v>6.3</v>
      </c>
      <c r="N85" s="4">
        <v>3553.16</v>
      </c>
      <c r="O85" s="1">
        <f t="shared" si="1"/>
        <v>-29.265655834739711</v>
      </c>
      <c r="P85" s="6">
        <v>37.700000000000003</v>
      </c>
      <c r="Q85" s="6">
        <v>28.3</v>
      </c>
      <c r="R85" s="6">
        <v>9</v>
      </c>
      <c r="S85" s="6">
        <v>11.4</v>
      </c>
      <c r="T85" s="5">
        <v>1.2E-2</v>
      </c>
      <c r="U85" s="1">
        <v>-2.2800000000000001E-2</v>
      </c>
      <c r="V85" s="1">
        <v>3.8969</v>
      </c>
    </row>
    <row r="86" spans="1:22" x14ac:dyDescent="0.25">
      <c r="A86" s="1">
        <v>0.96909999999999996</v>
      </c>
      <c r="B86" s="9" t="s">
        <v>4179</v>
      </c>
      <c r="C86" s="2">
        <v>2597</v>
      </c>
      <c r="D86" s="3" t="s">
        <v>302</v>
      </c>
      <c r="E86" s="9" t="s">
        <v>4180</v>
      </c>
      <c r="F86" s="9" t="s">
        <v>4181</v>
      </c>
      <c r="G86" s="1">
        <v>1338.8097</v>
      </c>
      <c r="H86" s="2">
        <v>90</v>
      </c>
      <c r="I86" s="2">
        <v>2</v>
      </c>
      <c r="J86" s="1">
        <v>1338.7012999999999</v>
      </c>
      <c r="K86" s="1">
        <v>670.41210000000001</v>
      </c>
      <c r="L86" s="9" t="s">
        <v>4182</v>
      </c>
      <c r="M86" s="2">
        <v>11</v>
      </c>
      <c r="N86" s="4">
        <v>3574.31</v>
      </c>
      <c r="O86" s="1">
        <f t="shared" si="1"/>
        <v>-24.876334353287646</v>
      </c>
      <c r="P86" s="6">
        <v>31.9</v>
      </c>
      <c r="Q86" s="6">
        <v>25.6</v>
      </c>
      <c r="R86" s="6">
        <v>8.3000000000000007</v>
      </c>
      <c r="S86" s="6">
        <v>9.8000000000000007</v>
      </c>
      <c r="T86" s="5">
        <v>1.0999999999999999E-2</v>
      </c>
      <c r="U86" s="1">
        <v>-0.1084</v>
      </c>
      <c r="V86" s="1">
        <v>3.5284</v>
      </c>
    </row>
    <row r="87" spans="1:22" x14ac:dyDescent="0.25">
      <c r="A87" s="1">
        <v>0.99970000000000003</v>
      </c>
      <c r="B87" s="9" t="s">
        <v>4183</v>
      </c>
      <c r="C87" s="2">
        <v>2656</v>
      </c>
      <c r="D87" s="3" t="s">
        <v>469</v>
      </c>
      <c r="E87" s="9" t="s">
        <v>2013</v>
      </c>
      <c r="F87" s="9" t="s">
        <v>860</v>
      </c>
      <c r="G87" s="1">
        <v>2047.0657000000001</v>
      </c>
      <c r="H87" s="2">
        <v>544</v>
      </c>
      <c r="I87" s="2">
        <v>3</v>
      </c>
      <c r="J87" s="1">
        <v>2047.0110999999999</v>
      </c>
      <c r="K87" s="1">
        <v>683.36249999999995</v>
      </c>
      <c r="L87" s="9" t="s">
        <v>673</v>
      </c>
      <c r="M87" s="2">
        <v>6.24</v>
      </c>
      <c r="N87" s="4">
        <v>3678.96</v>
      </c>
      <c r="O87" s="1">
        <f t="shared" si="1"/>
        <v>-14.804244169697448</v>
      </c>
      <c r="P87" s="6">
        <v>39.9</v>
      </c>
      <c r="Q87" s="6">
        <v>26.6</v>
      </c>
      <c r="R87" s="6">
        <v>9.3000000000000007</v>
      </c>
      <c r="S87" s="6">
        <v>11</v>
      </c>
      <c r="T87" s="5">
        <v>2.5000000000000001E-4</v>
      </c>
      <c r="U87" s="1">
        <v>-5.4600000000000003E-2</v>
      </c>
      <c r="V87" s="1">
        <v>5.8400999999999996</v>
      </c>
    </row>
    <row r="88" spans="1:22" x14ac:dyDescent="0.25">
      <c r="A88" s="1">
        <v>0.99890000000000001</v>
      </c>
      <c r="B88" s="9" t="s">
        <v>4184</v>
      </c>
      <c r="C88" s="2">
        <v>2663</v>
      </c>
      <c r="D88" s="3" t="s">
        <v>255</v>
      </c>
      <c r="E88" s="9" t="s">
        <v>4185</v>
      </c>
      <c r="F88" s="9" t="s">
        <v>2062</v>
      </c>
      <c r="G88" s="1">
        <v>1880.9917</v>
      </c>
      <c r="H88" s="2">
        <v>546</v>
      </c>
      <c r="I88" s="2">
        <v>3</v>
      </c>
      <c r="J88" s="1">
        <v>1880.9512</v>
      </c>
      <c r="K88" s="1">
        <v>628.00450000000001</v>
      </c>
      <c r="L88" s="9" t="s">
        <v>2063</v>
      </c>
      <c r="M88" s="2">
        <v>5.57</v>
      </c>
      <c r="N88" s="4">
        <v>3693.76</v>
      </c>
      <c r="O88" s="1">
        <f t="shared" si="1"/>
        <v>-23.943856270083185</v>
      </c>
      <c r="P88" s="6">
        <v>36.799999999999997</v>
      </c>
      <c r="Q88" s="6">
        <v>27.6</v>
      </c>
      <c r="R88" s="6">
        <v>9.8000000000000007</v>
      </c>
      <c r="S88" s="6">
        <v>11.4</v>
      </c>
      <c r="T88" s="5">
        <v>1.8E-3</v>
      </c>
      <c r="U88" s="1">
        <v>-4.0500000000000001E-2</v>
      </c>
      <c r="V88" s="1">
        <v>4.7545999999999999</v>
      </c>
    </row>
    <row r="89" spans="1:22" x14ac:dyDescent="0.25">
      <c r="A89" s="1">
        <v>0.99860000000000004</v>
      </c>
      <c r="B89" s="9" t="s">
        <v>4186</v>
      </c>
      <c r="C89" s="2">
        <v>2685</v>
      </c>
      <c r="D89" s="3" t="s">
        <v>61</v>
      </c>
      <c r="E89" s="9" t="s">
        <v>4185</v>
      </c>
      <c r="F89" s="9" t="s">
        <v>2062</v>
      </c>
      <c r="G89" s="1">
        <v>1880.9917</v>
      </c>
      <c r="H89" s="2">
        <v>908</v>
      </c>
      <c r="I89" s="2">
        <v>3</v>
      </c>
      <c r="J89" s="1">
        <v>1880.9386</v>
      </c>
      <c r="K89" s="1">
        <v>628.00450000000001</v>
      </c>
      <c r="L89" s="9" t="s">
        <v>2063</v>
      </c>
      <c r="M89" s="2">
        <v>5.57</v>
      </c>
      <c r="N89" s="4">
        <v>3730.76</v>
      </c>
      <c r="O89" s="1">
        <f t="shared" si="1"/>
        <v>-26.598669805418492</v>
      </c>
      <c r="P89" s="6">
        <v>36.4</v>
      </c>
      <c r="Q89" s="6">
        <v>24.2</v>
      </c>
      <c r="R89" s="6">
        <v>10.4</v>
      </c>
      <c r="S89" s="6">
        <v>11.7</v>
      </c>
      <c r="T89" s="5">
        <v>1.1999999999999999E-3</v>
      </c>
      <c r="U89" s="1">
        <v>-5.3100000000000001E-2</v>
      </c>
      <c r="V89" s="1">
        <v>5.4038000000000004</v>
      </c>
    </row>
    <row r="90" spans="1:22" x14ac:dyDescent="0.25">
      <c r="A90" s="1">
        <v>0.99690000000000001</v>
      </c>
      <c r="B90" s="9" t="s">
        <v>4187</v>
      </c>
      <c r="C90" s="2">
        <v>2689</v>
      </c>
      <c r="D90" s="3" t="s">
        <v>752</v>
      </c>
      <c r="E90" s="9" t="s">
        <v>4188</v>
      </c>
      <c r="F90" s="9" t="s">
        <v>781</v>
      </c>
      <c r="G90" s="1">
        <v>1153.6896999999999</v>
      </c>
      <c r="H90" s="2">
        <v>548</v>
      </c>
      <c r="I90" s="2">
        <v>2</v>
      </c>
      <c r="J90" s="1">
        <v>1153.6600000000001</v>
      </c>
      <c r="K90" s="1">
        <v>577.85209999999995</v>
      </c>
      <c r="L90" s="9" t="s">
        <v>782</v>
      </c>
      <c r="M90" s="2">
        <v>10</v>
      </c>
      <c r="N90" s="4">
        <v>3738.16</v>
      </c>
      <c r="O90" s="1">
        <f t="shared" si="1"/>
        <v>-23.154153740129281</v>
      </c>
      <c r="P90" s="6">
        <v>46.4</v>
      </c>
      <c r="Q90" s="6">
        <v>39.200000000000003</v>
      </c>
      <c r="R90" s="6">
        <v>12.3</v>
      </c>
      <c r="S90" s="6">
        <v>11.6</v>
      </c>
      <c r="T90" s="5">
        <v>1.8E-3</v>
      </c>
      <c r="U90" s="1">
        <v>-2.9700000000000001E-2</v>
      </c>
      <c r="V90" s="1">
        <v>4.5982000000000003</v>
      </c>
    </row>
    <row r="91" spans="1:22" x14ac:dyDescent="0.25">
      <c r="A91" s="1">
        <v>0.99680000000000002</v>
      </c>
      <c r="B91" s="9" t="s">
        <v>4189</v>
      </c>
      <c r="C91" s="2">
        <v>2718</v>
      </c>
      <c r="D91" s="3" t="s">
        <v>270</v>
      </c>
      <c r="E91" s="9" t="s">
        <v>4190</v>
      </c>
      <c r="F91" s="9" t="s">
        <v>4191</v>
      </c>
      <c r="G91" s="1">
        <v>1762.8657000000001</v>
      </c>
      <c r="H91" s="2">
        <v>549</v>
      </c>
      <c r="I91" s="2">
        <v>2</v>
      </c>
      <c r="J91" s="1">
        <v>1762.8367000000001</v>
      </c>
      <c r="K91" s="1">
        <v>882.44010000000003</v>
      </c>
      <c r="L91" s="9" t="s">
        <v>4192</v>
      </c>
      <c r="M91" s="2">
        <v>4.62</v>
      </c>
      <c r="N91" s="4">
        <v>3791.16</v>
      </c>
      <c r="O91" s="1">
        <f t="shared" si="1"/>
        <v>-32.232780020997353</v>
      </c>
      <c r="P91" s="6">
        <v>42</v>
      </c>
      <c r="Q91" s="6">
        <v>34.6</v>
      </c>
      <c r="R91" s="6">
        <v>10.8</v>
      </c>
      <c r="S91" s="6">
        <v>11</v>
      </c>
      <c r="T91" s="5">
        <v>3.3E-4</v>
      </c>
      <c r="U91" s="1">
        <v>-2.9000000000000001E-2</v>
      </c>
      <c r="V91" s="1">
        <v>4.5814000000000004</v>
      </c>
    </row>
    <row r="92" spans="1:22" x14ac:dyDescent="0.25">
      <c r="A92" s="1">
        <v>0.98619999999999997</v>
      </c>
      <c r="B92" s="9" t="s">
        <v>4193</v>
      </c>
      <c r="C92" s="2">
        <v>2721</v>
      </c>
      <c r="D92" s="3" t="s">
        <v>2559</v>
      </c>
      <c r="E92" s="9" t="s">
        <v>803</v>
      </c>
      <c r="F92" s="9" t="s">
        <v>804</v>
      </c>
      <c r="G92" s="1">
        <v>2087.0246999999999</v>
      </c>
      <c r="H92" s="2">
        <v>550</v>
      </c>
      <c r="I92" s="2">
        <v>3</v>
      </c>
      <c r="J92" s="1">
        <v>2086.9764</v>
      </c>
      <c r="K92" s="1">
        <v>696.68219999999997</v>
      </c>
      <c r="L92" s="9" t="s">
        <v>805</v>
      </c>
      <c r="M92" s="2">
        <v>4.93</v>
      </c>
      <c r="N92" s="4">
        <v>3798.56</v>
      </c>
      <c r="O92" s="1">
        <f t="shared" si="1"/>
        <v>-19.265449890490736</v>
      </c>
      <c r="P92" s="6">
        <v>31.9</v>
      </c>
      <c r="Q92" s="6">
        <v>23.7</v>
      </c>
      <c r="R92" s="6">
        <v>12.6</v>
      </c>
      <c r="S92" s="6">
        <v>12.5</v>
      </c>
      <c r="T92" s="5">
        <v>0.04</v>
      </c>
      <c r="U92" s="1">
        <v>-4.8300000000000003E-2</v>
      </c>
      <c r="V92" s="1">
        <v>3.0083000000000002</v>
      </c>
    </row>
    <row r="93" spans="1:22" x14ac:dyDescent="0.25">
      <c r="A93" s="1">
        <v>0.99180000000000001</v>
      </c>
      <c r="B93" s="9" t="s">
        <v>4194</v>
      </c>
      <c r="C93" s="2">
        <v>2744</v>
      </c>
      <c r="D93" s="3" t="s">
        <v>51</v>
      </c>
      <c r="E93" s="9" t="s">
        <v>4195</v>
      </c>
      <c r="F93" s="9" t="s">
        <v>4196</v>
      </c>
      <c r="G93" s="1">
        <v>1118.6367</v>
      </c>
      <c r="H93" s="2">
        <v>552</v>
      </c>
      <c r="I93" s="2">
        <v>2</v>
      </c>
      <c r="J93" s="1">
        <v>1118.6065000000001</v>
      </c>
      <c r="K93" s="1">
        <v>560.32560000000001</v>
      </c>
      <c r="L93" s="9" t="s">
        <v>514</v>
      </c>
      <c r="M93" s="2">
        <v>10</v>
      </c>
      <c r="N93" s="4">
        <v>3842.96</v>
      </c>
      <c r="O93" s="1">
        <f t="shared" si="1"/>
        <v>-12.522542428818978</v>
      </c>
      <c r="P93" s="6">
        <v>54.5</v>
      </c>
      <c r="Q93" s="6">
        <v>39</v>
      </c>
      <c r="R93" s="6">
        <v>9.5</v>
      </c>
      <c r="S93" s="6">
        <v>10.8</v>
      </c>
      <c r="T93" s="5">
        <v>2.1999999999999999E-2</v>
      </c>
      <c r="U93" s="1">
        <v>-3.0200000000000001E-2</v>
      </c>
      <c r="V93" s="1">
        <v>3.7700999999999998</v>
      </c>
    </row>
    <row r="94" spans="1:22" x14ac:dyDescent="0.25">
      <c r="A94" s="1">
        <v>0.99950000000000006</v>
      </c>
      <c r="B94" s="9" t="s">
        <v>4197</v>
      </c>
      <c r="C94" s="2">
        <v>2851</v>
      </c>
      <c r="D94" s="3" t="s">
        <v>2662</v>
      </c>
      <c r="E94" s="9" t="s">
        <v>194</v>
      </c>
      <c r="F94" s="9" t="s">
        <v>1262</v>
      </c>
      <c r="G94" s="1">
        <v>1531.8647000000001</v>
      </c>
      <c r="H94" s="2">
        <v>775</v>
      </c>
      <c r="I94" s="2">
        <v>2</v>
      </c>
      <c r="J94" s="1">
        <v>1531.8218999999999</v>
      </c>
      <c r="K94" s="1">
        <v>766.93960000000004</v>
      </c>
      <c r="L94" s="9" t="s">
        <v>1263</v>
      </c>
      <c r="M94" s="2">
        <v>10</v>
      </c>
      <c r="N94" s="4">
        <v>4042.82</v>
      </c>
      <c r="O94" s="1">
        <f t="shared" si="1"/>
        <v>-18.835301876188428</v>
      </c>
      <c r="P94" s="6">
        <v>57.2</v>
      </c>
      <c r="Q94" s="6">
        <v>35.299999999999997</v>
      </c>
      <c r="R94" s="6">
        <v>12</v>
      </c>
      <c r="S94" s="6">
        <v>11</v>
      </c>
      <c r="T94" s="5">
        <v>1.2999999999999999E-5</v>
      </c>
      <c r="U94" s="1">
        <v>-4.2799999999999998E-2</v>
      </c>
      <c r="V94" s="1">
        <v>6.8482000000000003</v>
      </c>
    </row>
    <row r="95" spans="1:22" x14ac:dyDescent="0.25">
      <c r="A95" s="1">
        <v>0.99960000000000004</v>
      </c>
      <c r="B95" s="9" t="s">
        <v>4198</v>
      </c>
      <c r="C95" s="2">
        <v>2870</v>
      </c>
      <c r="D95" s="3" t="s">
        <v>193</v>
      </c>
      <c r="E95" s="9" t="s">
        <v>194</v>
      </c>
      <c r="F95" s="9" t="s">
        <v>1262</v>
      </c>
      <c r="G95" s="1">
        <v>1531.8647000000001</v>
      </c>
      <c r="H95" s="2">
        <v>560</v>
      </c>
      <c r="I95" s="2">
        <v>2</v>
      </c>
      <c r="J95" s="1">
        <v>1531.8358000000001</v>
      </c>
      <c r="K95" s="1">
        <v>766.93960000000004</v>
      </c>
      <c r="L95" s="9" t="s">
        <v>1263</v>
      </c>
      <c r="M95" s="2">
        <v>10</v>
      </c>
      <c r="N95" s="4">
        <v>4075.57</v>
      </c>
      <c r="O95" s="1">
        <f t="shared" si="1"/>
        <v>-11.331368503723962</v>
      </c>
      <c r="P95" s="6">
        <v>69.8</v>
      </c>
      <c r="Q95" s="6">
        <v>42.1</v>
      </c>
      <c r="R95" s="6">
        <v>11.9</v>
      </c>
      <c r="S95" s="6">
        <v>11.4</v>
      </c>
      <c r="T95" s="5">
        <v>5.9000000000000003E-6</v>
      </c>
      <c r="U95" s="1">
        <v>-2.8899999999999999E-2</v>
      </c>
      <c r="V95" s="1">
        <v>7.2458</v>
      </c>
    </row>
    <row r="96" spans="1:22" x14ac:dyDescent="0.25">
      <c r="A96" s="1">
        <v>0.99919999999999998</v>
      </c>
      <c r="B96" s="9" t="s">
        <v>4199</v>
      </c>
      <c r="C96" s="2">
        <v>2890</v>
      </c>
      <c r="D96" s="3" t="s">
        <v>2220</v>
      </c>
      <c r="E96" s="9" t="s">
        <v>194</v>
      </c>
      <c r="F96" s="9" t="s">
        <v>1262</v>
      </c>
      <c r="G96" s="1">
        <v>1531.8647000000001</v>
      </c>
      <c r="H96" s="2">
        <v>563</v>
      </c>
      <c r="I96" s="2">
        <v>2</v>
      </c>
      <c r="J96" s="1">
        <v>1531.8463999999999</v>
      </c>
      <c r="K96" s="1">
        <v>766.93960000000004</v>
      </c>
      <c r="L96" s="9" t="s">
        <v>1263</v>
      </c>
      <c r="M96" s="2">
        <v>10</v>
      </c>
      <c r="N96" s="4">
        <v>4112.57</v>
      </c>
      <c r="O96" s="1">
        <f t="shared" si="1"/>
        <v>-25.38424472668294</v>
      </c>
      <c r="P96" s="6">
        <v>61.5</v>
      </c>
      <c r="Q96" s="6">
        <v>38.6</v>
      </c>
      <c r="R96" s="6">
        <v>11.9</v>
      </c>
      <c r="S96" s="6">
        <v>11</v>
      </c>
      <c r="T96" s="5">
        <v>6.2000000000000003E-5</v>
      </c>
      <c r="U96" s="1">
        <v>-1.83E-2</v>
      </c>
      <c r="V96" s="1">
        <v>6.1352000000000002</v>
      </c>
    </row>
    <row r="97" spans="1:22" x14ac:dyDescent="0.25">
      <c r="A97" s="1">
        <v>0.99819999999999998</v>
      </c>
      <c r="B97" s="9" t="s">
        <v>4200</v>
      </c>
      <c r="C97" s="2">
        <v>2902</v>
      </c>
      <c r="D97" s="3" t="s">
        <v>93</v>
      </c>
      <c r="E97" s="9" t="s">
        <v>4201</v>
      </c>
      <c r="F97" s="9" t="s">
        <v>1262</v>
      </c>
      <c r="G97" s="1">
        <v>1316.7737</v>
      </c>
      <c r="H97" s="2">
        <v>777</v>
      </c>
      <c r="I97" s="2">
        <v>2</v>
      </c>
      <c r="J97" s="1">
        <v>1316.7367999999999</v>
      </c>
      <c r="K97" s="1">
        <v>659.39409999999998</v>
      </c>
      <c r="L97" s="9" t="s">
        <v>1263</v>
      </c>
      <c r="M97" s="2">
        <v>10</v>
      </c>
      <c r="N97" s="4">
        <v>4136.92</v>
      </c>
      <c r="O97" s="1">
        <f t="shared" si="1"/>
        <v>-16.752486565075031</v>
      </c>
      <c r="P97" s="6">
        <v>50</v>
      </c>
      <c r="Q97" s="6">
        <v>32.5</v>
      </c>
      <c r="R97" s="6">
        <v>10.9</v>
      </c>
      <c r="S97" s="6">
        <v>11.3</v>
      </c>
      <c r="T97" s="5">
        <v>1.4E-3</v>
      </c>
      <c r="U97" s="1">
        <v>-3.6900000000000002E-2</v>
      </c>
      <c r="V97" s="1">
        <v>5.2586000000000004</v>
      </c>
    </row>
    <row r="98" spans="1:22" x14ac:dyDescent="0.25">
      <c r="A98" s="1">
        <v>0.99419999999999997</v>
      </c>
      <c r="B98" s="9" t="s">
        <v>4202</v>
      </c>
      <c r="C98" s="2">
        <v>2910</v>
      </c>
      <c r="D98" s="3" t="s">
        <v>146</v>
      </c>
      <c r="E98" s="9" t="s">
        <v>823</v>
      </c>
      <c r="F98" s="9" t="s">
        <v>508</v>
      </c>
      <c r="G98" s="1">
        <v>1386.6857</v>
      </c>
      <c r="H98" s="2">
        <v>340</v>
      </c>
      <c r="I98" s="2">
        <v>2</v>
      </c>
      <c r="J98" s="1">
        <v>1386.6482000000001</v>
      </c>
      <c r="K98" s="1">
        <v>694.3501</v>
      </c>
      <c r="L98" s="9" t="s">
        <v>509</v>
      </c>
      <c r="M98" s="2">
        <v>6.14</v>
      </c>
      <c r="N98" s="4">
        <v>4151.72</v>
      </c>
      <c r="O98" s="1">
        <f t="shared" si="1"/>
        <v>-24.291185586086769</v>
      </c>
      <c r="P98" s="6">
        <v>39.6</v>
      </c>
      <c r="Q98" s="6">
        <v>29.9</v>
      </c>
      <c r="R98" s="6">
        <v>12.8</v>
      </c>
      <c r="S98" s="6">
        <v>11.2</v>
      </c>
      <c r="T98" s="5">
        <v>3.8E-3</v>
      </c>
      <c r="U98" s="1">
        <v>-3.7499999999999999E-2</v>
      </c>
      <c r="V98" s="1">
        <v>4.2701000000000002</v>
      </c>
    </row>
    <row r="99" spans="1:22" x14ac:dyDescent="0.25">
      <c r="A99" s="1">
        <v>0.998</v>
      </c>
      <c r="B99" s="9" t="s">
        <v>4203</v>
      </c>
      <c r="C99" s="2">
        <v>2920</v>
      </c>
      <c r="D99" s="3" t="s">
        <v>105</v>
      </c>
      <c r="E99" s="9" t="s">
        <v>194</v>
      </c>
      <c r="F99" s="9" t="s">
        <v>1262</v>
      </c>
      <c r="G99" s="1">
        <v>1531.8647000000001</v>
      </c>
      <c r="H99" s="2">
        <v>568</v>
      </c>
      <c r="I99" s="2">
        <v>2</v>
      </c>
      <c r="J99" s="1">
        <v>1531.8457000000001</v>
      </c>
      <c r="K99" s="1">
        <v>766.93960000000004</v>
      </c>
      <c r="L99" s="9" t="s">
        <v>1263</v>
      </c>
      <c r="M99" s="2">
        <v>10</v>
      </c>
      <c r="N99" s="4">
        <v>4164.37</v>
      </c>
      <c r="O99" s="1">
        <f t="shared" si="1"/>
        <v>-13.029014415061541</v>
      </c>
      <c r="P99" s="6">
        <v>46.4</v>
      </c>
      <c r="Q99" s="6">
        <v>32.200000000000003</v>
      </c>
      <c r="R99" s="6">
        <v>11.9</v>
      </c>
      <c r="S99" s="6">
        <v>11.1</v>
      </c>
      <c r="T99" s="5">
        <v>4.2000000000000002E-4</v>
      </c>
      <c r="U99" s="1">
        <v>-1.9E-2</v>
      </c>
      <c r="V99" s="1">
        <v>5.0335000000000001</v>
      </c>
    </row>
    <row r="100" spans="1:22" x14ac:dyDescent="0.25">
      <c r="A100" s="1">
        <v>0.99570000000000003</v>
      </c>
      <c r="B100" s="9" t="s">
        <v>4204</v>
      </c>
      <c r="C100" s="2">
        <v>2930</v>
      </c>
      <c r="D100" s="3" t="s">
        <v>702</v>
      </c>
      <c r="E100" s="9" t="s">
        <v>823</v>
      </c>
      <c r="F100" s="9" t="s">
        <v>508</v>
      </c>
      <c r="G100" s="1">
        <v>1386.6857</v>
      </c>
      <c r="H100" s="2">
        <v>412</v>
      </c>
      <c r="I100" s="2">
        <v>2</v>
      </c>
      <c r="J100" s="1">
        <v>1386.6657</v>
      </c>
      <c r="K100" s="1">
        <v>694.3501</v>
      </c>
      <c r="L100" s="9" t="s">
        <v>509</v>
      </c>
      <c r="M100" s="2">
        <v>6.14</v>
      </c>
      <c r="N100" s="4">
        <v>4188.72</v>
      </c>
      <c r="O100" s="1">
        <f t="shared" si="1"/>
        <v>-80.845796190134394</v>
      </c>
      <c r="P100" s="6">
        <v>36.299999999999997</v>
      </c>
      <c r="Q100" s="6">
        <v>28.6</v>
      </c>
      <c r="R100" s="6">
        <v>12.8</v>
      </c>
      <c r="S100" s="6">
        <v>11.4</v>
      </c>
      <c r="T100" s="5">
        <v>3.5999999999999999E-3</v>
      </c>
      <c r="U100" s="1">
        <v>-0.02</v>
      </c>
      <c r="V100" s="1">
        <v>4.1378000000000004</v>
      </c>
    </row>
    <row r="101" spans="1:22" x14ac:dyDescent="0.25">
      <c r="A101" s="1">
        <v>0.99960000000000004</v>
      </c>
      <c r="B101" s="9" t="s">
        <v>4205</v>
      </c>
      <c r="C101" s="2">
        <v>2939</v>
      </c>
      <c r="D101" s="3" t="s">
        <v>4206</v>
      </c>
      <c r="E101" s="9" t="s">
        <v>4207</v>
      </c>
      <c r="F101" s="9" t="s">
        <v>363</v>
      </c>
      <c r="G101" s="1">
        <v>1658.8916999999999</v>
      </c>
      <c r="H101" s="2">
        <v>779</v>
      </c>
      <c r="I101" s="2">
        <v>2</v>
      </c>
      <c r="J101" s="1">
        <v>1658.8647000000001</v>
      </c>
      <c r="K101" s="1">
        <v>830.45309999999995</v>
      </c>
      <c r="L101" s="9" t="s">
        <v>364</v>
      </c>
      <c r="M101" s="2">
        <v>8.59</v>
      </c>
      <c r="N101" s="4">
        <v>4205.63</v>
      </c>
      <c r="O101" s="1">
        <f t="shared" si="1"/>
        <v>-26.633009566664839</v>
      </c>
      <c r="P101" s="6">
        <v>64.3</v>
      </c>
      <c r="Q101" s="6">
        <v>31.7</v>
      </c>
      <c r="R101" s="6">
        <v>9.5</v>
      </c>
      <c r="S101" s="6">
        <v>11.1</v>
      </c>
      <c r="T101" s="5">
        <v>5.5999999999999997E-6</v>
      </c>
      <c r="U101" s="1">
        <v>-2.7E-2</v>
      </c>
      <c r="V101" s="1">
        <v>7.4901999999999997</v>
      </c>
    </row>
    <row r="102" spans="1:22" x14ac:dyDescent="0.25">
      <c r="A102" s="1">
        <v>0.98540000000000005</v>
      </c>
      <c r="B102" s="9" t="s">
        <v>4208</v>
      </c>
      <c r="C102" s="2">
        <v>2954</v>
      </c>
      <c r="D102" s="3" t="s">
        <v>1000</v>
      </c>
      <c r="E102" s="9" t="s">
        <v>4209</v>
      </c>
      <c r="F102" s="9" t="s">
        <v>860</v>
      </c>
      <c r="G102" s="1">
        <v>1454.7807</v>
      </c>
      <c r="H102" s="2">
        <v>571</v>
      </c>
      <c r="I102" s="2">
        <v>2</v>
      </c>
      <c r="J102" s="1">
        <v>1454.7617</v>
      </c>
      <c r="K102" s="1">
        <v>728.39760000000001</v>
      </c>
      <c r="L102" s="9" t="s">
        <v>673</v>
      </c>
      <c r="M102" s="2">
        <v>5.93</v>
      </c>
      <c r="N102" s="4">
        <v>4230.9799999999996</v>
      </c>
      <c r="O102" s="1">
        <f t="shared" si="1"/>
        <v>-21.496661250038812</v>
      </c>
      <c r="P102" s="6">
        <v>44.8</v>
      </c>
      <c r="Q102" s="6">
        <v>31</v>
      </c>
      <c r="R102" s="6">
        <v>9.8000000000000007</v>
      </c>
      <c r="S102" s="6">
        <v>12.8</v>
      </c>
      <c r="T102" s="5">
        <v>3.9E-2</v>
      </c>
      <c r="U102" s="1">
        <v>-1.9E-2</v>
      </c>
      <c r="V102" s="1">
        <v>3.3212000000000002</v>
      </c>
    </row>
    <row r="103" spans="1:22" x14ac:dyDescent="0.25">
      <c r="A103" s="1">
        <v>0.99670000000000003</v>
      </c>
      <c r="B103" s="9" t="s">
        <v>4210</v>
      </c>
      <c r="C103" s="2">
        <v>2963</v>
      </c>
      <c r="D103" s="3" t="s">
        <v>285</v>
      </c>
      <c r="E103" s="9" t="s">
        <v>4211</v>
      </c>
      <c r="F103" s="9" t="s">
        <v>1122</v>
      </c>
      <c r="G103" s="1">
        <v>1509.7687000000001</v>
      </c>
      <c r="H103" s="2">
        <v>344</v>
      </c>
      <c r="I103" s="2">
        <v>2</v>
      </c>
      <c r="J103" s="1">
        <v>1509.7485999999999</v>
      </c>
      <c r="K103" s="1">
        <v>755.89160000000004</v>
      </c>
      <c r="L103" s="9" t="s">
        <v>456</v>
      </c>
      <c r="M103" s="2">
        <v>8.2200000000000006</v>
      </c>
      <c r="N103" s="4">
        <v>4250.03</v>
      </c>
      <c r="O103" s="1">
        <f t="shared" si="1"/>
        <v>-28.184511416717555</v>
      </c>
      <c r="P103" s="6">
        <v>48.8</v>
      </c>
      <c r="Q103" s="6">
        <v>30.6</v>
      </c>
      <c r="R103" s="6">
        <v>11.4</v>
      </c>
      <c r="S103" s="6">
        <v>11.9</v>
      </c>
      <c r="T103" s="5">
        <v>6.3E-3</v>
      </c>
      <c r="U103" s="1">
        <v>-2.01E-2</v>
      </c>
      <c r="V103" s="1">
        <v>4.4630000000000001</v>
      </c>
    </row>
    <row r="104" spans="1:22" x14ac:dyDescent="0.25">
      <c r="A104" s="1">
        <v>0.99009999999999998</v>
      </c>
      <c r="B104" s="9" t="s">
        <v>4212</v>
      </c>
      <c r="C104" s="2">
        <v>2983</v>
      </c>
      <c r="D104" s="3" t="s">
        <v>1000</v>
      </c>
      <c r="E104" s="9" t="s">
        <v>4211</v>
      </c>
      <c r="F104" s="9" t="s">
        <v>1122</v>
      </c>
      <c r="G104" s="1">
        <v>1509.7687000000001</v>
      </c>
      <c r="H104" s="2">
        <v>432</v>
      </c>
      <c r="I104" s="2">
        <v>2</v>
      </c>
      <c r="J104" s="1">
        <v>1509.7565</v>
      </c>
      <c r="K104" s="1">
        <v>755.89160000000004</v>
      </c>
      <c r="L104" s="9" t="s">
        <v>456</v>
      </c>
      <c r="M104" s="2">
        <v>8.2200000000000006</v>
      </c>
      <c r="N104" s="4">
        <v>4287.03</v>
      </c>
      <c r="O104" s="1">
        <f t="shared" si="1"/>
        <v>-25.698617345164969</v>
      </c>
      <c r="P104" s="6">
        <v>44.8</v>
      </c>
      <c r="Q104" s="6">
        <v>27.8</v>
      </c>
      <c r="R104" s="6">
        <v>11.5</v>
      </c>
      <c r="S104" s="6">
        <v>12.1</v>
      </c>
      <c r="T104" s="5">
        <v>1.4E-2</v>
      </c>
      <c r="U104" s="1">
        <v>-1.2200000000000001E-2</v>
      </c>
      <c r="V104" s="1">
        <v>4.1242999999999999</v>
      </c>
    </row>
    <row r="105" spans="1:22" x14ac:dyDescent="0.25">
      <c r="A105" s="1">
        <v>0.99570000000000003</v>
      </c>
      <c r="B105" s="9" t="s">
        <v>4213</v>
      </c>
      <c r="C105" s="2">
        <v>3002</v>
      </c>
      <c r="D105" s="3" t="s">
        <v>1000</v>
      </c>
      <c r="E105" s="9" t="s">
        <v>4211</v>
      </c>
      <c r="F105" s="9" t="s">
        <v>1122</v>
      </c>
      <c r="G105" s="1">
        <v>1509.7687000000001</v>
      </c>
      <c r="H105" s="2">
        <v>349</v>
      </c>
      <c r="I105" s="2">
        <v>2</v>
      </c>
      <c r="J105" s="1">
        <v>1509.7481</v>
      </c>
      <c r="K105" s="1">
        <v>755.89160000000004</v>
      </c>
      <c r="L105" s="9" t="s">
        <v>456</v>
      </c>
      <c r="M105" s="2">
        <v>8.2200000000000006</v>
      </c>
      <c r="N105" s="4">
        <v>4321.93</v>
      </c>
      <c r="O105" s="1">
        <f t="shared" si="1"/>
        <v>-16.43171020899889</v>
      </c>
      <c r="P105" s="6">
        <v>44.8</v>
      </c>
      <c r="Q105" s="6">
        <v>31.5</v>
      </c>
      <c r="R105" s="6">
        <v>11.5</v>
      </c>
      <c r="S105" s="6">
        <v>12.2</v>
      </c>
      <c r="T105" s="5">
        <v>6.1999999999999998E-3</v>
      </c>
      <c r="U105" s="1">
        <v>-2.06E-2</v>
      </c>
      <c r="V105" s="1">
        <v>4.1189999999999998</v>
      </c>
    </row>
    <row r="106" spans="1:22" x14ac:dyDescent="0.25">
      <c r="A106" s="1">
        <v>0.99119999999999997</v>
      </c>
      <c r="B106" s="9" t="s">
        <v>4214</v>
      </c>
      <c r="C106" s="2">
        <v>3022</v>
      </c>
      <c r="D106" s="3" t="s">
        <v>331</v>
      </c>
      <c r="E106" s="9" t="s">
        <v>4211</v>
      </c>
      <c r="F106" s="9" t="s">
        <v>1122</v>
      </c>
      <c r="G106" s="1">
        <v>1509.7687000000001</v>
      </c>
      <c r="H106" s="2">
        <v>125</v>
      </c>
      <c r="I106" s="2">
        <v>2</v>
      </c>
      <c r="J106" s="1">
        <v>1509.7405000000001</v>
      </c>
      <c r="K106" s="1">
        <v>755.89160000000004</v>
      </c>
      <c r="L106" s="9" t="s">
        <v>456</v>
      </c>
      <c r="M106" s="2">
        <v>8.2200000000000006</v>
      </c>
      <c r="N106" s="4">
        <v>4356.78</v>
      </c>
      <c r="O106" s="1">
        <f t="shared" si="1"/>
        <v>-23.109532581713729</v>
      </c>
      <c r="P106" s="6">
        <v>40.9</v>
      </c>
      <c r="Q106" s="6">
        <v>28.2</v>
      </c>
      <c r="R106" s="6">
        <v>11.3</v>
      </c>
      <c r="S106" s="6">
        <v>12.5</v>
      </c>
      <c r="T106" s="5">
        <v>3.1E-2</v>
      </c>
      <c r="U106" s="1">
        <v>-2.8199999999999999E-2</v>
      </c>
      <c r="V106" s="1">
        <v>3.4386999999999999</v>
      </c>
    </row>
    <row r="107" spans="1:22" x14ac:dyDescent="0.25">
      <c r="A107" s="1">
        <v>0.99309999999999998</v>
      </c>
      <c r="B107" s="9" t="s">
        <v>4215</v>
      </c>
      <c r="C107" s="2">
        <v>3035</v>
      </c>
      <c r="D107" s="3" t="s">
        <v>141</v>
      </c>
      <c r="E107" s="9" t="s">
        <v>843</v>
      </c>
      <c r="F107" s="9" t="s">
        <v>540</v>
      </c>
      <c r="G107" s="1">
        <v>1325.6727000000001</v>
      </c>
      <c r="H107" s="2">
        <v>221</v>
      </c>
      <c r="I107" s="2">
        <v>2</v>
      </c>
      <c r="J107" s="1">
        <v>1325.6474000000001</v>
      </c>
      <c r="K107" s="1">
        <v>663.84360000000004</v>
      </c>
      <c r="L107" s="9" t="s">
        <v>514</v>
      </c>
      <c r="M107" s="2">
        <v>8.59</v>
      </c>
      <c r="N107" s="4">
        <v>4378.9799999999996</v>
      </c>
      <c r="O107" s="1">
        <f t="shared" si="1"/>
        <v>-26.948617018390738</v>
      </c>
      <c r="P107" s="6">
        <v>43.4</v>
      </c>
      <c r="Q107" s="6">
        <v>32.200000000000003</v>
      </c>
      <c r="R107" s="6">
        <v>9.1</v>
      </c>
      <c r="S107" s="6">
        <v>8.8000000000000007</v>
      </c>
      <c r="T107" s="5">
        <v>2.4E-2</v>
      </c>
      <c r="U107" s="1">
        <v>-2.53E-2</v>
      </c>
      <c r="V107" s="1">
        <v>3.4441999999999999</v>
      </c>
    </row>
    <row r="108" spans="1:22" x14ac:dyDescent="0.25">
      <c r="A108" s="1">
        <v>0.999</v>
      </c>
      <c r="B108" s="9" t="s">
        <v>4216</v>
      </c>
      <c r="C108" s="2">
        <v>3042</v>
      </c>
      <c r="D108" s="3" t="s">
        <v>115</v>
      </c>
      <c r="E108" s="9" t="s">
        <v>4217</v>
      </c>
      <c r="F108" s="9" t="s">
        <v>3529</v>
      </c>
      <c r="G108" s="1">
        <v>1460.7447</v>
      </c>
      <c r="H108" s="2">
        <v>577</v>
      </c>
      <c r="I108" s="2">
        <v>2</v>
      </c>
      <c r="J108" s="1">
        <v>1460.7143000000001</v>
      </c>
      <c r="K108" s="1">
        <v>731.37959999999998</v>
      </c>
      <c r="L108" s="9" t="s">
        <v>3530</v>
      </c>
      <c r="M108" s="2">
        <v>8.75</v>
      </c>
      <c r="N108" s="4">
        <v>4393.78</v>
      </c>
      <c r="O108" s="1">
        <f t="shared" si="1"/>
        <v>-27.903109971111149</v>
      </c>
      <c r="P108" s="6">
        <v>44.6</v>
      </c>
      <c r="Q108" s="6">
        <v>30.2</v>
      </c>
      <c r="R108" s="6">
        <v>10.4</v>
      </c>
      <c r="S108" s="6">
        <v>9.8000000000000007</v>
      </c>
      <c r="T108" s="5">
        <v>1.2E-4</v>
      </c>
      <c r="U108" s="1">
        <v>-3.04E-2</v>
      </c>
      <c r="V108" s="1">
        <v>5.8390000000000004</v>
      </c>
    </row>
    <row r="109" spans="1:22" x14ac:dyDescent="0.25">
      <c r="A109" s="1">
        <v>0.99719999999999998</v>
      </c>
      <c r="B109" s="9" t="s">
        <v>4218</v>
      </c>
      <c r="C109" s="2">
        <v>3048</v>
      </c>
      <c r="D109" s="3" t="s">
        <v>331</v>
      </c>
      <c r="E109" s="9" t="s">
        <v>4211</v>
      </c>
      <c r="F109" s="9" t="s">
        <v>1122</v>
      </c>
      <c r="G109" s="1">
        <v>1509.7687000000001</v>
      </c>
      <c r="H109" s="2">
        <v>396</v>
      </c>
      <c r="I109" s="2">
        <v>2</v>
      </c>
      <c r="J109" s="1">
        <v>1509.7375999999999</v>
      </c>
      <c r="K109" s="1">
        <v>755.89160000000004</v>
      </c>
      <c r="L109" s="9" t="s">
        <v>456</v>
      </c>
      <c r="M109" s="2">
        <v>8.2200000000000006</v>
      </c>
      <c r="N109" s="4">
        <v>4407.53</v>
      </c>
      <c r="O109" s="1">
        <f t="shared" si="1"/>
        <v>-18.841118648717575</v>
      </c>
      <c r="P109" s="6">
        <v>42.5</v>
      </c>
      <c r="Q109" s="6">
        <v>27.3</v>
      </c>
      <c r="R109" s="6">
        <v>11.2</v>
      </c>
      <c r="S109" s="6">
        <v>12.4</v>
      </c>
      <c r="T109" s="5">
        <v>3.3E-3</v>
      </c>
      <c r="U109" s="1">
        <v>-3.1099999999999999E-2</v>
      </c>
      <c r="V109" s="1">
        <v>4.6909999999999998</v>
      </c>
    </row>
    <row r="110" spans="1:22" x14ac:dyDescent="0.25">
      <c r="A110" s="1">
        <v>0.96950000000000003</v>
      </c>
      <c r="B110" s="9" t="s">
        <v>4219</v>
      </c>
      <c r="C110" s="2">
        <v>3060</v>
      </c>
      <c r="D110" s="3" t="s">
        <v>520</v>
      </c>
      <c r="E110" s="9" t="s">
        <v>2076</v>
      </c>
      <c r="F110" s="9" t="s">
        <v>897</v>
      </c>
      <c r="G110" s="1">
        <v>1431.7387000000001</v>
      </c>
      <c r="H110" s="2">
        <v>222</v>
      </c>
      <c r="I110" s="2">
        <v>2</v>
      </c>
      <c r="J110" s="1">
        <v>1431.7002</v>
      </c>
      <c r="K110" s="1">
        <v>716.87660000000005</v>
      </c>
      <c r="L110" s="9" t="s">
        <v>898</v>
      </c>
      <c r="M110" s="2">
        <v>6.25</v>
      </c>
      <c r="N110" s="4">
        <v>4423.3900000000003</v>
      </c>
      <c r="O110" s="1">
        <f t="shared" si="1"/>
        <v>-11.930535338115282</v>
      </c>
      <c r="P110" s="6">
        <v>28.6</v>
      </c>
      <c r="Q110" s="6">
        <v>21.6</v>
      </c>
      <c r="R110" s="6">
        <v>8.1</v>
      </c>
      <c r="S110" s="6">
        <v>7.1</v>
      </c>
      <c r="T110" s="5">
        <v>7.4999999999999997E-2</v>
      </c>
      <c r="U110" s="1">
        <v>-3.85E-2</v>
      </c>
      <c r="V110" s="1">
        <v>2.6356000000000002</v>
      </c>
    </row>
    <row r="111" spans="1:22" x14ac:dyDescent="0.25">
      <c r="A111" s="1">
        <v>1</v>
      </c>
      <c r="B111" s="9" t="s">
        <v>4220</v>
      </c>
      <c r="C111" s="2">
        <v>3072</v>
      </c>
      <c r="D111" s="3" t="s">
        <v>4221</v>
      </c>
      <c r="E111" s="9" t="s">
        <v>4222</v>
      </c>
      <c r="F111" s="9" t="s">
        <v>4223</v>
      </c>
      <c r="G111" s="1">
        <v>1642.7656999999999</v>
      </c>
      <c r="H111" s="2">
        <v>21</v>
      </c>
      <c r="I111" s="2">
        <v>2</v>
      </c>
      <c r="J111" s="1">
        <v>1644.7699</v>
      </c>
      <c r="K111" s="1">
        <v>822.39009999999996</v>
      </c>
      <c r="L111" s="9" t="s">
        <v>4224</v>
      </c>
      <c r="M111" s="2">
        <v>4.8600000000000003</v>
      </c>
      <c r="N111" s="4">
        <v>4446.6899999999996</v>
      </c>
      <c r="O111" s="1">
        <f t="shared" si="1"/>
        <v>-27.980232155550073</v>
      </c>
      <c r="P111" s="6">
        <v>23.1</v>
      </c>
      <c r="Q111" s="6">
        <v>19.399999999999999</v>
      </c>
      <c r="R111" s="6">
        <v>0</v>
      </c>
      <c r="S111" s="6">
        <v>11.6</v>
      </c>
      <c r="T111" s="5">
        <v>1.9</v>
      </c>
      <c r="U111" s="1">
        <v>2.0042</v>
      </c>
      <c r="V111" s="1">
        <v>0.79649999999999999</v>
      </c>
    </row>
    <row r="112" spans="1:22" x14ac:dyDescent="0.25">
      <c r="A112" s="1">
        <v>0.99870000000000003</v>
      </c>
      <c r="B112" s="9" t="s">
        <v>4225</v>
      </c>
      <c r="C112" s="2">
        <v>3076</v>
      </c>
      <c r="D112" s="3" t="s">
        <v>115</v>
      </c>
      <c r="E112" s="9" t="s">
        <v>2076</v>
      </c>
      <c r="F112" s="9" t="s">
        <v>897</v>
      </c>
      <c r="G112" s="1">
        <v>1431.7387000000001</v>
      </c>
      <c r="H112" s="2">
        <v>223</v>
      </c>
      <c r="I112" s="2">
        <v>2</v>
      </c>
      <c r="J112" s="1">
        <v>1431.7166</v>
      </c>
      <c r="K112" s="1">
        <v>716.87660000000005</v>
      </c>
      <c r="L112" s="9" t="s">
        <v>898</v>
      </c>
      <c r="M112" s="2">
        <v>6.25</v>
      </c>
      <c r="N112" s="4">
        <v>4454.29</v>
      </c>
      <c r="O112" s="1">
        <f t="shared" si="1"/>
        <v>-27.003668610402734</v>
      </c>
      <c r="P112" s="6">
        <v>44.2</v>
      </c>
      <c r="Q112" s="6">
        <v>27.1</v>
      </c>
      <c r="R112" s="6">
        <v>9.5</v>
      </c>
      <c r="S112" s="6">
        <v>9.9</v>
      </c>
      <c r="T112" s="5">
        <v>1.6000000000000001E-4</v>
      </c>
      <c r="U112" s="1">
        <v>-2.2100000000000002E-2</v>
      </c>
      <c r="V112" s="1">
        <v>5.9954000000000001</v>
      </c>
    </row>
    <row r="113" spans="1:22" x14ac:dyDescent="0.25">
      <c r="A113" s="1">
        <v>0.9929</v>
      </c>
      <c r="B113" s="9" t="s">
        <v>4226</v>
      </c>
      <c r="C113" s="2">
        <v>3089</v>
      </c>
      <c r="D113" s="3" t="s">
        <v>178</v>
      </c>
      <c r="E113" s="9" t="s">
        <v>2634</v>
      </c>
      <c r="F113" s="9" t="s">
        <v>2635</v>
      </c>
      <c r="G113" s="1">
        <v>1644.8067000000001</v>
      </c>
      <c r="H113" s="2">
        <v>579</v>
      </c>
      <c r="I113" s="2">
        <v>2</v>
      </c>
      <c r="J113" s="1">
        <v>1644.7825</v>
      </c>
      <c r="K113" s="1">
        <v>823.41060000000004</v>
      </c>
      <c r="L113" s="9" t="s">
        <v>2636</v>
      </c>
      <c r="M113" s="2">
        <v>4.62</v>
      </c>
      <c r="N113" s="4">
        <v>4477.59</v>
      </c>
      <c r="O113" s="1">
        <f t="shared" si="1"/>
        <v>-12.386894613343735</v>
      </c>
      <c r="P113" s="6">
        <v>38</v>
      </c>
      <c r="Q113" s="6">
        <v>26.3</v>
      </c>
      <c r="R113" s="6">
        <v>11.3</v>
      </c>
      <c r="S113" s="6">
        <v>9.3000000000000007</v>
      </c>
      <c r="T113" s="5">
        <v>8.5000000000000006E-3</v>
      </c>
      <c r="U113" s="1">
        <v>-2.4199999999999999E-2</v>
      </c>
      <c r="V113" s="1">
        <v>3.8820000000000001</v>
      </c>
    </row>
    <row r="114" spans="1:22" x14ac:dyDescent="0.25">
      <c r="A114" s="1">
        <v>0.95860000000000001</v>
      </c>
      <c r="B114" s="9" t="s">
        <v>4227</v>
      </c>
      <c r="C114" s="2">
        <v>3104</v>
      </c>
      <c r="D114" s="3" t="s">
        <v>95</v>
      </c>
      <c r="E114" s="9" t="s">
        <v>850</v>
      </c>
      <c r="F114" s="9" t="s">
        <v>851</v>
      </c>
      <c r="G114" s="1">
        <v>1358.6537000000001</v>
      </c>
      <c r="H114" s="2">
        <v>226</v>
      </c>
      <c r="I114" s="2">
        <v>2</v>
      </c>
      <c r="J114" s="1">
        <v>1358.6271999999999</v>
      </c>
      <c r="K114" s="1">
        <v>680.33410000000003</v>
      </c>
      <c r="L114" s="9" t="s">
        <v>852</v>
      </c>
      <c r="M114" s="2">
        <v>4.71</v>
      </c>
      <c r="N114" s="4">
        <v>4505.09</v>
      </c>
      <c r="O114" s="1">
        <f t="shared" si="1"/>
        <v>-14.401956592214793</v>
      </c>
      <c r="P114" s="6">
        <v>28.3</v>
      </c>
      <c r="Q114" s="6">
        <v>24.6</v>
      </c>
      <c r="R114" s="6">
        <v>10.199999999999999</v>
      </c>
      <c r="S114" s="6">
        <v>10.7</v>
      </c>
      <c r="T114" s="5">
        <v>0.13</v>
      </c>
      <c r="U114" s="1">
        <v>-2.6499999999999999E-2</v>
      </c>
      <c r="V114" s="1">
        <v>2.0150000000000001</v>
      </c>
    </row>
    <row r="115" spans="1:22" x14ac:dyDescent="0.25">
      <c r="A115" s="1">
        <v>0.99990000000000001</v>
      </c>
      <c r="B115" s="9" t="s">
        <v>4228</v>
      </c>
      <c r="C115" s="2">
        <v>3134</v>
      </c>
      <c r="D115" s="3" t="s">
        <v>3139</v>
      </c>
      <c r="E115" s="9" t="s">
        <v>4229</v>
      </c>
      <c r="F115" s="9" t="s">
        <v>97</v>
      </c>
      <c r="G115" s="1">
        <v>1566.8806999999999</v>
      </c>
      <c r="H115" s="2">
        <v>580</v>
      </c>
      <c r="I115" s="2">
        <v>3</v>
      </c>
      <c r="J115" s="1">
        <v>1566.8452</v>
      </c>
      <c r="K115" s="1">
        <v>523.30079999999998</v>
      </c>
      <c r="L115" s="9" t="s">
        <v>98</v>
      </c>
      <c r="M115" s="2">
        <v>8.57</v>
      </c>
      <c r="N115" s="4">
        <v>4558.2</v>
      </c>
      <c r="O115" s="1">
        <f t="shared" si="1"/>
        <v>-16.256185930307204</v>
      </c>
      <c r="P115" s="6">
        <v>44.5</v>
      </c>
      <c r="Q115" s="6">
        <v>29.7</v>
      </c>
      <c r="R115" s="6">
        <v>11.3</v>
      </c>
      <c r="S115" s="6">
        <v>12.7</v>
      </c>
      <c r="T115" s="5">
        <v>3.3E-4</v>
      </c>
      <c r="U115" s="1">
        <v>-3.5499999999999997E-2</v>
      </c>
      <c r="V115" s="1">
        <v>6.4916</v>
      </c>
    </row>
    <row r="116" spans="1:22" x14ac:dyDescent="0.25">
      <c r="A116" s="1">
        <v>0.98329999999999995</v>
      </c>
      <c r="B116" s="9" t="s">
        <v>4230</v>
      </c>
      <c r="C116" s="2">
        <v>3135</v>
      </c>
      <c r="D116" s="3" t="s">
        <v>501</v>
      </c>
      <c r="E116" s="9" t="s">
        <v>4231</v>
      </c>
      <c r="F116" s="9" t="s">
        <v>1224</v>
      </c>
      <c r="G116" s="1">
        <v>1251.6057000000001</v>
      </c>
      <c r="H116" s="2">
        <v>924</v>
      </c>
      <c r="I116" s="2">
        <v>2</v>
      </c>
      <c r="J116" s="1">
        <v>1251.5763999999999</v>
      </c>
      <c r="K116" s="1">
        <v>626.81010000000003</v>
      </c>
      <c r="L116" s="9" t="s">
        <v>1225</v>
      </c>
      <c r="M116" s="2">
        <v>4.37</v>
      </c>
      <c r="N116" s="4">
        <v>4558.2</v>
      </c>
      <c r="O116" s="1">
        <f t="shared" si="1"/>
        <v>-13.042327432160675</v>
      </c>
      <c r="P116" s="6">
        <v>29.1</v>
      </c>
      <c r="Q116" s="6">
        <v>22.5</v>
      </c>
      <c r="R116" s="6">
        <v>10.199999999999999</v>
      </c>
      <c r="S116" s="6">
        <v>12.7</v>
      </c>
      <c r="T116" s="5">
        <v>4.1000000000000002E-2</v>
      </c>
      <c r="U116" s="1">
        <v>-2.93E-2</v>
      </c>
      <c r="V116" s="1">
        <v>3.1637</v>
      </c>
    </row>
    <row r="117" spans="1:22" x14ac:dyDescent="0.25">
      <c r="A117" s="1">
        <v>0.99839999999999995</v>
      </c>
      <c r="B117" s="9" t="s">
        <v>4232</v>
      </c>
      <c r="C117" s="2">
        <v>3143</v>
      </c>
      <c r="D117" s="3" t="s">
        <v>702</v>
      </c>
      <c r="E117" s="9" t="s">
        <v>4233</v>
      </c>
      <c r="F117" s="9" t="s">
        <v>282</v>
      </c>
      <c r="G117" s="1">
        <v>1288.6485</v>
      </c>
      <c r="H117" s="2">
        <v>784</v>
      </c>
      <c r="I117" s="2">
        <v>2</v>
      </c>
      <c r="J117" s="1">
        <v>1288.6410000000001</v>
      </c>
      <c r="K117" s="1">
        <v>645.33150000000001</v>
      </c>
      <c r="L117" s="9" t="s">
        <v>283</v>
      </c>
      <c r="M117" s="2">
        <v>8.59</v>
      </c>
      <c r="N117" s="4">
        <v>4577.25</v>
      </c>
      <c r="O117" s="1">
        <f t="shared" si="1"/>
        <v>-13.295557193650517</v>
      </c>
      <c r="P117" s="6">
        <v>35.4</v>
      </c>
      <c r="Q117" s="6">
        <v>24.9</v>
      </c>
      <c r="R117" s="6">
        <v>10.7</v>
      </c>
      <c r="S117" s="6">
        <v>11.4</v>
      </c>
      <c r="T117" s="5">
        <v>6.6E-4</v>
      </c>
      <c r="U117" s="1">
        <v>-7.4999999999999997E-3</v>
      </c>
      <c r="V117" s="1">
        <v>5.3638000000000003</v>
      </c>
    </row>
    <row r="118" spans="1:22" x14ac:dyDescent="0.25">
      <c r="A118" s="1">
        <v>0.98919999999999997</v>
      </c>
      <c r="B118" s="9" t="s">
        <v>4234</v>
      </c>
      <c r="C118" s="2">
        <v>3183</v>
      </c>
      <c r="D118" s="3" t="s">
        <v>1002</v>
      </c>
      <c r="E118" s="9" t="s">
        <v>4235</v>
      </c>
      <c r="F118" s="9" t="s">
        <v>1931</v>
      </c>
      <c r="G118" s="1">
        <v>1211.7057</v>
      </c>
      <c r="H118" s="2">
        <v>582</v>
      </c>
      <c r="I118" s="2">
        <v>2</v>
      </c>
      <c r="J118" s="1">
        <v>1211.6713</v>
      </c>
      <c r="K118" s="1">
        <v>606.86009999999999</v>
      </c>
      <c r="L118" s="9" t="s">
        <v>1932</v>
      </c>
      <c r="M118" s="2">
        <v>11</v>
      </c>
      <c r="N118" s="4">
        <v>4644.8999999999996</v>
      </c>
      <c r="O118" s="1">
        <f t="shared" si="1"/>
        <v>-8.0699401871908627</v>
      </c>
      <c r="P118" s="6">
        <v>53.1</v>
      </c>
      <c r="Q118" s="6">
        <v>41.7</v>
      </c>
      <c r="R118" s="6">
        <v>9.6</v>
      </c>
      <c r="S118" s="6">
        <v>12.6</v>
      </c>
      <c r="T118" s="5">
        <v>1.7000000000000001E-2</v>
      </c>
      <c r="U118" s="1">
        <v>-3.44E-2</v>
      </c>
      <c r="V118" s="1">
        <v>3.5478000000000001</v>
      </c>
    </row>
    <row r="119" spans="1:22" x14ac:dyDescent="0.25">
      <c r="A119" s="1">
        <v>0.9899</v>
      </c>
      <c r="B119" s="9" t="s">
        <v>4236</v>
      </c>
      <c r="C119" s="2">
        <v>3223</v>
      </c>
      <c r="D119" s="3" t="s">
        <v>188</v>
      </c>
      <c r="E119" s="9" t="s">
        <v>3764</v>
      </c>
      <c r="F119" s="9" t="s">
        <v>257</v>
      </c>
      <c r="G119" s="1">
        <v>1271.7017000000001</v>
      </c>
      <c r="H119" s="2">
        <v>55</v>
      </c>
      <c r="I119" s="2">
        <v>2</v>
      </c>
      <c r="J119" s="1">
        <v>1271.6474000000001</v>
      </c>
      <c r="K119" s="1">
        <v>636.85810000000004</v>
      </c>
      <c r="L119" s="9" t="s">
        <v>258</v>
      </c>
      <c r="M119" s="2">
        <v>11</v>
      </c>
      <c r="N119" s="4">
        <v>4720.05</v>
      </c>
      <c r="O119" s="1">
        <f t="shared" si="1"/>
        <v>-13.626292447223912</v>
      </c>
      <c r="P119" s="6">
        <v>60.3</v>
      </c>
      <c r="Q119" s="6">
        <v>40</v>
      </c>
      <c r="R119" s="6">
        <v>11</v>
      </c>
      <c r="S119" s="6">
        <v>12</v>
      </c>
      <c r="T119" s="5">
        <v>3.3E-3</v>
      </c>
      <c r="U119" s="1">
        <v>-5.4300000000000001E-2</v>
      </c>
      <c r="V119" s="1">
        <v>4.5940000000000003</v>
      </c>
    </row>
    <row r="120" spans="1:22" x14ac:dyDescent="0.25">
      <c r="A120" s="1">
        <v>0.99509999999999998</v>
      </c>
      <c r="B120" s="9" t="s">
        <v>4237</v>
      </c>
      <c r="C120" s="2">
        <v>3293</v>
      </c>
      <c r="D120" s="3" t="s">
        <v>4238</v>
      </c>
      <c r="E120" s="9" t="s">
        <v>2109</v>
      </c>
      <c r="F120" s="9" t="s">
        <v>117</v>
      </c>
      <c r="G120" s="1">
        <v>960.52170000000001</v>
      </c>
      <c r="H120" s="2">
        <v>928</v>
      </c>
      <c r="I120" s="2">
        <v>2</v>
      </c>
      <c r="J120" s="1">
        <v>960.50059999999996</v>
      </c>
      <c r="K120" s="1">
        <v>481.2681</v>
      </c>
      <c r="L120" s="9" t="s">
        <v>118</v>
      </c>
      <c r="M120" s="2">
        <v>11</v>
      </c>
      <c r="N120" s="4">
        <v>4844.3</v>
      </c>
      <c r="O120" s="1">
        <f t="shared" si="1"/>
        <v>-18.65346830153953</v>
      </c>
      <c r="P120" s="6">
        <v>19.8</v>
      </c>
      <c r="Q120" s="6">
        <v>17.3</v>
      </c>
      <c r="R120" s="6">
        <v>9.5</v>
      </c>
      <c r="S120" s="6">
        <v>10.3</v>
      </c>
      <c r="T120" s="5">
        <v>0.35</v>
      </c>
      <c r="U120" s="1">
        <v>-2.1100000000000001E-2</v>
      </c>
      <c r="V120" s="1">
        <v>1.7984</v>
      </c>
    </row>
    <row r="121" spans="1:22" x14ac:dyDescent="0.25">
      <c r="A121" s="1">
        <v>0.99460000000000004</v>
      </c>
      <c r="B121" s="9" t="s">
        <v>4239</v>
      </c>
      <c r="C121" s="2">
        <v>3310</v>
      </c>
      <c r="D121" s="3" t="s">
        <v>4238</v>
      </c>
      <c r="E121" s="9" t="s">
        <v>2109</v>
      </c>
      <c r="F121" s="9" t="s">
        <v>117</v>
      </c>
      <c r="G121" s="1">
        <v>960.52170000000001</v>
      </c>
      <c r="H121" s="2">
        <v>929</v>
      </c>
      <c r="I121" s="2">
        <v>2</v>
      </c>
      <c r="J121" s="1">
        <v>960.50220000000002</v>
      </c>
      <c r="K121" s="1">
        <v>481.2681</v>
      </c>
      <c r="L121" s="9" t="s">
        <v>118</v>
      </c>
      <c r="M121" s="2">
        <v>11</v>
      </c>
      <c r="N121" s="4">
        <v>4875</v>
      </c>
      <c r="O121" s="1">
        <f t="shared" si="1"/>
        <v>-19.055693238588123</v>
      </c>
      <c r="P121" s="6">
        <v>19.7</v>
      </c>
      <c r="Q121" s="6">
        <v>17.2</v>
      </c>
      <c r="R121" s="6">
        <v>9.5</v>
      </c>
      <c r="S121" s="6">
        <v>10.199999999999999</v>
      </c>
      <c r="T121" s="5">
        <v>0.39</v>
      </c>
      <c r="U121" s="1">
        <v>-1.95E-2</v>
      </c>
      <c r="V121" s="1">
        <v>1.7369000000000001</v>
      </c>
    </row>
    <row r="122" spans="1:22" x14ac:dyDescent="0.25">
      <c r="A122" s="1">
        <v>0.99450000000000005</v>
      </c>
      <c r="B122" s="9" t="s">
        <v>4240</v>
      </c>
      <c r="C122" s="2">
        <v>3330</v>
      </c>
      <c r="D122" s="3" t="s">
        <v>4238</v>
      </c>
      <c r="E122" s="9" t="s">
        <v>2109</v>
      </c>
      <c r="F122" s="9" t="s">
        <v>647</v>
      </c>
      <c r="G122" s="1">
        <v>960.52170000000001</v>
      </c>
      <c r="H122" s="2">
        <v>139</v>
      </c>
      <c r="I122" s="2">
        <v>2</v>
      </c>
      <c r="J122" s="1">
        <v>960.50469999999996</v>
      </c>
      <c r="K122" s="1">
        <v>481.2681</v>
      </c>
      <c r="L122" s="9" t="s">
        <v>118</v>
      </c>
      <c r="M122" s="2">
        <v>11</v>
      </c>
      <c r="N122" s="4">
        <v>4912</v>
      </c>
      <c r="O122" s="1">
        <f t="shared" si="1"/>
        <v>-20.782641462791688</v>
      </c>
      <c r="P122" s="6">
        <v>19.600000000000001</v>
      </c>
      <c r="Q122" s="6">
        <v>15</v>
      </c>
      <c r="R122" s="6">
        <v>9.4</v>
      </c>
      <c r="S122" s="6">
        <v>10.1</v>
      </c>
      <c r="T122" s="5">
        <v>2.3E-2</v>
      </c>
      <c r="U122" s="1">
        <v>-1.7000000000000001E-2</v>
      </c>
      <c r="V122" s="1">
        <v>4.1005000000000003</v>
      </c>
    </row>
    <row r="123" spans="1:22" x14ac:dyDescent="0.25">
      <c r="A123" s="1">
        <v>0.99819999999999998</v>
      </c>
      <c r="B123" s="9" t="s">
        <v>4241</v>
      </c>
      <c r="C123" s="2">
        <v>3336</v>
      </c>
      <c r="D123" s="3" t="s">
        <v>670</v>
      </c>
      <c r="E123" s="9" t="s">
        <v>4242</v>
      </c>
      <c r="F123" s="9" t="s">
        <v>1014</v>
      </c>
      <c r="G123" s="1">
        <v>1291.7321999999999</v>
      </c>
      <c r="H123" s="2">
        <v>56</v>
      </c>
      <c r="I123" s="2">
        <v>3</v>
      </c>
      <c r="J123" s="1">
        <v>1291.7236</v>
      </c>
      <c r="K123" s="1">
        <v>431.5847</v>
      </c>
      <c r="L123" s="9" t="s">
        <v>1015</v>
      </c>
      <c r="M123" s="2">
        <v>8.6</v>
      </c>
      <c r="N123" s="4">
        <v>4922.6000000000004</v>
      </c>
      <c r="O123" s="1">
        <f t="shared" si="1"/>
        <v>-20.571732772265229</v>
      </c>
      <c r="P123" s="6">
        <v>33</v>
      </c>
      <c r="Q123" s="6">
        <v>21.4</v>
      </c>
      <c r="R123" s="6">
        <v>12.8</v>
      </c>
      <c r="S123" s="6">
        <v>10.6</v>
      </c>
      <c r="T123" s="5">
        <v>1.0999999999999999E-2</v>
      </c>
      <c r="U123" s="1">
        <v>-8.6E-3</v>
      </c>
      <c r="V123" s="1">
        <v>5.2755000000000001</v>
      </c>
    </row>
    <row r="124" spans="1:22" x14ac:dyDescent="0.25">
      <c r="A124" s="1">
        <v>0.99560000000000004</v>
      </c>
      <c r="B124" s="9" t="s">
        <v>4243</v>
      </c>
      <c r="C124" s="2">
        <v>3348</v>
      </c>
      <c r="D124" s="3" t="s">
        <v>4238</v>
      </c>
      <c r="E124" s="9" t="s">
        <v>2109</v>
      </c>
      <c r="F124" s="9" t="s">
        <v>117</v>
      </c>
      <c r="G124" s="1">
        <v>960.52170000000001</v>
      </c>
      <c r="H124" s="2">
        <v>930</v>
      </c>
      <c r="I124" s="2">
        <v>2</v>
      </c>
      <c r="J124" s="1">
        <v>960.50580000000002</v>
      </c>
      <c r="K124" s="1">
        <v>481.2681</v>
      </c>
      <c r="L124" s="9" t="s">
        <v>118</v>
      </c>
      <c r="M124" s="2">
        <v>11</v>
      </c>
      <c r="N124" s="4">
        <v>4944.8</v>
      </c>
      <c r="O124" s="1">
        <f t="shared" si="1"/>
        <v>-26.852599178157021</v>
      </c>
      <c r="P124" s="6">
        <v>20.100000000000001</v>
      </c>
      <c r="Q124" s="6">
        <v>17.600000000000001</v>
      </c>
      <c r="R124" s="6">
        <v>9.6999999999999993</v>
      </c>
      <c r="S124" s="6">
        <v>10.6</v>
      </c>
      <c r="T124" s="5">
        <v>0.31</v>
      </c>
      <c r="U124" s="1">
        <v>-1.5900000000000001E-2</v>
      </c>
      <c r="V124" s="1">
        <v>1.8604000000000001</v>
      </c>
    </row>
    <row r="125" spans="1:22" x14ac:dyDescent="0.25">
      <c r="A125" s="1">
        <v>0.99109999999999998</v>
      </c>
      <c r="B125" s="9" t="s">
        <v>4244</v>
      </c>
      <c r="C125" s="2">
        <v>3357</v>
      </c>
      <c r="D125" s="3" t="s">
        <v>4245</v>
      </c>
      <c r="E125" s="9" t="s">
        <v>4242</v>
      </c>
      <c r="F125" s="9" t="s">
        <v>1014</v>
      </c>
      <c r="G125" s="1">
        <v>1291.7327</v>
      </c>
      <c r="H125" s="2">
        <v>931</v>
      </c>
      <c r="I125" s="2">
        <v>3</v>
      </c>
      <c r="J125" s="1">
        <v>1291.7101</v>
      </c>
      <c r="K125" s="1">
        <v>431.58479999999997</v>
      </c>
      <c r="L125" s="9" t="s">
        <v>1015</v>
      </c>
      <c r="M125" s="2">
        <v>8.6</v>
      </c>
      <c r="N125" s="4">
        <v>4959.6000000000004</v>
      </c>
      <c r="O125" s="1">
        <f t="shared" si="1"/>
        <v>-1.5260397711499762</v>
      </c>
      <c r="P125" s="6">
        <v>25.9</v>
      </c>
      <c r="Q125" s="6">
        <v>20.100000000000001</v>
      </c>
      <c r="R125" s="6">
        <v>12.9</v>
      </c>
      <c r="S125" s="6">
        <v>10.7</v>
      </c>
      <c r="T125" s="5">
        <v>5.1999999999999998E-2</v>
      </c>
      <c r="U125" s="1">
        <v>-2.2599999999999999E-2</v>
      </c>
      <c r="V125" s="1">
        <v>3.4862000000000002</v>
      </c>
    </row>
    <row r="126" spans="1:22" x14ac:dyDescent="0.25">
      <c r="A126" s="1">
        <v>0.99829999999999997</v>
      </c>
      <c r="B126" s="9" t="s">
        <v>4246</v>
      </c>
      <c r="C126" s="2">
        <v>3358</v>
      </c>
      <c r="D126" s="3" t="s">
        <v>370</v>
      </c>
      <c r="E126" s="9" t="s">
        <v>2650</v>
      </c>
      <c r="F126" s="9" t="s">
        <v>1519</v>
      </c>
      <c r="G126" s="1">
        <v>1389.7247</v>
      </c>
      <c r="H126" s="2">
        <v>240</v>
      </c>
      <c r="I126" s="2">
        <v>2</v>
      </c>
      <c r="J126" s="1">
        <v>1389.7032999999999</v>
      </c>
      <c r="K126" s="1">
        <v>695.86959999999999</v>
      </c>
      <c r="L126" s="9" t="s">
        <v>1520</v>
      </c>
      <c r="M126" s="2">
        <v>6.25</v>
      </c>
      <c r="N126" s="4">
        <v>4959.6000000000004</v>
      </c>
      <c r="O126" s="1">
        <f t="shared" si="1"/>
        <v>-15.414089398370653</v>
      </c>
      <c r="P126" s="6">
        <v>44.7</v>
      </c>
      <c r="Q126" s="6">
        <v>29.5</v>
      </c>
      <c r="R126" s="6">
        <v>8.4</v>
      </c>
      <c r="S126" s="6">
        <v>14.1</v>
      </c>
      <c r="T126" s="5">
        <v>1.1999999999999999E-3</v>
      </c>
      <c r="U126" s="1">
        <v>-2.1399999999999999E-2</v>
      </c>
      <c r="V126" s="1">
        <v>5.2849000000000004</v>
      </c>
    </row>
    <row r="127" spans="1:22" x14ac:dyDescent="0.25">
      <c r="A127" s="1">
        <v>0.99360000000000004</v>
      </c>
      <c r="B127" s="9" t="s">
        <v>4247</v>
      </c>
      <c r="C127" s="2">
        <v>3367</v>
      </c>
      <c r="D127" s="3" t="s">
        <v>4248</v>
      </c>
      <c r="E127" s="9" t="s">
        <v>2109</v>
      </c>
      <c r="F127" s="9" t="s">
        <v>647</v>
      </c>
      <c r="G127" s="1">
        <v>960.52170000000001</v>
      </c>
      <c r="H127" s="2">
        <v>444</v>
      </c>
      <c r="I127" s="2">
        <v>2</v>
      </c>
      <c r="J127" s="1">
        <v>960.50419999999997</v>
      </c>
      <c r="K127" s="1">
        <v>481.2681</v>
      </c>
      <c r="L127" s="9" t="s">
        <v>118</v>
      </c>
      <c r="M127" s="2">
        <v>11</v>
      </c>
      <c r="N127" s="4">
        <v>4981.8599999999997</v>
      </c>
      <c r="O127" s="1">
        <f t="shared" si="1"/>
        <v>-14.694977208211796</v>
      </c>
      <c r="P127" s="6">
        <v>34.9</v>
      </c>
      <c r="Q127" s="6">
        <v>27.9</v>
      </c>
      <c r="R127" s="6">
        <v>10</v>
      </c>
      <c r="S127" s="6">
        <v>11</v>
      </c>
      <c r="T127" s="5">
        <v>3.4000000000000002E-2</v>
      </c>
      <c r="U127" s="1">
        <v>-1.7500000000000002E-2</v>
      </c>
      <c r="V127" s="1">
        <v>3.6577999999999999</v>
      </c>
    </row>
    <row r="128" spans="1:22" x14ac:dyDescent="0.25">
      <c r="A128" s="1">
        <v>0.99170000000000003</v>
      </c>
      <c r="B128" s="9" t="s">
        <v>4249</v>
      </c>
      <c r="C128" s="2">
        <v>3384</v>
      </c>
      <c r="D128" s="3" t="s">
        <v>83</v>
      </c>
      <c r="E128" s="9" t="s">
        <v>2109</v>
      </c>
      <c r="F128" s="9" t="s">
        <v>647</v>
      </c>
      <c r="G128" s="1">
        <v>960.52170000000001</v>
      </c>
      <c r="H128" s="2">
        <v>411</v>
      </c>
      <c r="I128" s="2">
        <v>2</v>
      </c>
      <c r="J128" s="1">
        <v>960.49940000000004</v>
      </c>
      <c r="K128" s="1">
        <v>481.2681</v>
      </c>
      <c r="L128" s="9" t="s">
        <v>118</v>
      </c>
      <c r="M128" s="2">
        <v>11</v>
      </c>
      <c r="N128" s="4">
        <v>5012.5600000000004</v>
      </c>
      <c r="O128" s="1">
        <f t="shared" si="1"/>
        <v>-19.475725235586456</v>
      </c>
      <c r="P128" s="6">
        <v>28.5</v>
      </c>
      <c r="Q128" s="6">
        <v>22.7</v>
      </c>
      <c r="R128" s="6">
        <v>10.1</v>
      </c>
      <c r="S128" s="6">
        <v>11.1</v>
      </c>
      <c r="T128" s="5">
        <v>5.3999999999999999E-2</v>
      </c>
      <c r="U128" s="1">
        <v>-2.23E-2</v>
      </c>
      <c r="V128" s="1">
        <v>3.3957999999999999</v>
      </c>
    </row>
    <row r="129" spans="1:22" x14ac:dyDescent="0.25">
      <c r="A129" s="1">
        <v>0.98070000000000002</v>
      </c>
      <c r="B129" s="9" t="s">
        <v>4250</v>
      </c>
      <c r="C129" s="2">
        <v>3386</v>
      </c>
      <c r="D129" s="3" t="s">
        <v>285</v>
      </c>
      <c r="E129" s="9" t="s">
        <v>4251</v>
      </c>
      <c r="F129" s="9" t="s">
        <v>508</v>
      </c>
      <c r="G129" s="1">
        <v>1485.7537</v>
      </c>
      <c r="H129" s="2">
        <v>588</v>
      </c>
      <c r="I129" s="2">
        <v>2</v>
      </c>
      <c r="J129" s="1">
        <v>1485.7201</v>
      </c>
      <c r="K129" s="1">
        <v>743.88409999999999</v>
      </c>
      <c r="L129" s="9" t="s">
        <v>509</v>
      </c>
      <c r="M129" s="2">
        <v>5.96</v>
      </c>
      <c r="N129" s="4">
        <v>5010.41</v>
      </c>
      <c r="O129" s="1">
        <f t="shared" si="1"/>
        <v>-22.612870710943557</v>
      </c>
      <c r="P129" s="6">
        <v>46.5</v>
      </c>
      <c r="Q129" s="6">
        <v>33.799999999999997</v>
      </c>
      <c r="R129" s="6">
        <v>12.8</v>
      </c>
      <c r="S129" s="6">
        <v>11</v>
      </c>
      <c r="T129" s="5">
        <v>4.2999999999999997E-2</v>
      </c>
      <c r="U129" s="1">
        <v>-3.3599999999999998E-2</v>
      </c>
      <c r="V129" s="1">
        <v>3.1147999999999998</v>
      </c>
    </row>
    <row r="130" spans="1:22" x14ac:dyDescent="0.25">
      <c r="A130" s="1">
        <v>1</v>
      </c>
      <c r="B130" s="9" t="s">
        <v>4252</v>
      </c>
      <c r="C130" s="2">
        <v>3400</v>
      </c>
      <c r="D130" s="3" t="s">
        <v>4253</v>
      </c>
      <c r="E130" s="9" t="s">
        <v>4254</v>
      </c>
      <c r="F130" s="9" t="s">
        <v>4255</v>
      </c>
      <c r="G130" s="1">
        <v>1551.6506999999999</v>
      </c>
      <c r="H130" s="2">
        <v>25</v>
      </c>
      <c r="I130" s="2">
        <v>2</v>
      </c>
      <c r="J130" s="1">
        <v>1553.7974999999999</v>
      </c>
      <c r="K130" s="1">
        <v>776.83259999999996</v>
      </c>
      <c r="L130" s="9" t="s">
        <v>4256</v>
      </c>
      <c r="M130" s="2">
        <v>4.12</v>
      </c>
      <c r="N130" s="4">
        <v>5034.8599999999997</v>
      </c>
      <c r="O130" s="1">
        <f t="shared" si="1"/>
        <v>-23.372310050524071</v>
      </c>
      <c r="P130" s="6">
        <v>28.4</v>
      </c>
      <c r="Q130" s="6">
        <v>25.3</v>
      </c>
      <c r="R130" s="6">
        <v>12.2</v>
      </c>
      <c r="S130" s="6">
        <v>12.5</v>
      </c>
      <c r="T130" s="5">
        <v>0.47</v>
      </c>
      <c r="U130" s="1">
        <v>2.1467999999999998</v>
      </c>
      <c r="V130" s="1">
        <v>1.1629</v>
      </c>
    </row>
    <row r="131" spans="1:22" x14ac:dyDescent="0.25">
      <c r="A131" s="1">
        <v>0.98180000000000001</v>
      </c>
      <c r="B131" s="9" t="s">
        <v>4257</v>
      </c>
      <c r="C131" s="2">
        <v>3404</v>
      </c>
      <c r="D131" s="3" t="s">
        <v>4258</v>
      </c>
      <c r="E131" s="9" t="s">
        <v>2109</v>
      </c>
      <c r="F131" s="9" t="s">
        <v>117</v>
      </c>
      <c r="G131" s="1">
        <v>960.52170000000001</v>
      </c>
      <c r="H131" s="2">
        <v>932</v>
      </c>
      <c r="I131" s="2">
        <v>2</v>
      </c>
      <c r="J131" s="1">
        <v>960.50819999999999</v>
      </c>
      <c r="K131" s="1">
        <v>481.2681</v>
      </c>
      <c r="L131" s="9" t="s">
        <v>118</v>
      </c>
      <c r="M131" s="2">
        <v>11</v>
      </c>
      <c r="N131" s="4">
        <v>5042.26</v>
      </c>
      <c r="O131" s="1">
        <f t="shared" si="1"/>
        <v>-5.8109669216518949</v>
      </c>
      <c r="P131" s="6">
        <v>18.399999999999999</v>
      </c>
      <c r="Q131" s="6">
        <v>16.600000000000001</v>
      </c>
      <c r="R131" s="6">
        <v>10.199999999999999</v>
      </c>
      <c r="S131" s="6">
        <v>10.8</v>
      </c>
      <c r="T131" s="5">
        <v>0.95</v>
      </c>
      <c r="U131" s="1">
        <v>-1.35E-2</v>
      </c>
      <c r="V131" s="1">
        <v>1.0226</v>
      </c>
    </row>
    <row r="132" spans="1:22" x14ac:dyDescent="0.25">
      <c r="A132" s="1">
        <v>0.99270000000000003</v>
      </c>
      <c r="B132" s="9" t="s">
        <v>4259</v>
      </c>
      <c r="C132" s="2">
        <v>3421</v>
      </c>
      <c r="D132" s="3" t="s">
        <v>4238</v>
      </c>
      <c r="E132" s="9" t="s">
        <v>2109</v>
      </c>
      <c r="F132" s="9" t="s">
        <v>647</v>
      </c>
      <c r="G132" s="1">
        <v>960.52170000000001</v>
      </c>
      <c r="H132" s="2">
        <v>142</v>
      </c>
      <c r="I132" s="2">
        <v>2</v>
      </c>
      <c r="J132" s="1">
        <v>960.49369999999999</v>
      </c>
      <c r="K132" s="1">
        <v>481.2681</v>
      </c>
      <c r="L132" s="9" t="s">
        <v>118</v>
      </c>
      <c r="M132" s="2">
        <v>11</v>
      </c>
      <c r="N132" s="4">
        <v>5074.0600000000004</v>
      </c>
      <c r="O132" s="1">
        <f t="shared" si="1"/>
        <v>-28.342611419007444</v>
      </c>
      <c r="P132" s="6">
        <v>20.3</v>
      </c>
      <c r="Q132" s="6">
        <v>15.6</v>
      </c>
      <c r="R132" s="6">
        <v>10</v>
      </c>
      <c r="S132" s="6">
        <v>10.7</v>
      </c>
      <c r="T132" s="5">
        <v>7.1999999999999995E-2</v>
      </c>
      <c r="U132" s="1">
        <v>-2.8000000000000001E-2</v>
      </c>
      <c r="V132" s="1">
        <v>3.3913000000000002</v>
      </c>
    </row>
    <row r="133" spans="1:22" x14ac:dyDescent="0.25">
      <c r="A133" s="1">
        <v>0.98370000000000002</v>
      </c>
      <c r="B133" s="9" t="s">
        <v>4260</v>
      </c>
      <c r="C133" s="2">
        <v>3434</v>
      </c>
      <c r="D133" s="3" t="s">
        <v>326</v>
      </c>
      <c r="E133" s="9" t="s">
        <v>4261</v>
      </c>
      <c r="F133" s="9" t="s">
        <v>4262</v>
      </c>
      <c r="G133" s="1">
        <v>1240.7176999999999</v>
      </c>
      <c r="H133" s="2">
        <v>248</v>
      </c>
      <c r="I133" s="2">
        <v>2</v>
      </c>
      <c r="J133" s="1">
        <v>1240.6919</v>
      </c>
      <c r="K133" s="1">
        <v>621.36609999999996</v>
      </c>
      <c r="L133" s="9" t="s">
        <v>4263</v>
      </c>
      <c r="M133" s="2">
        <v>6.76</v>
      </c>
      <c r="N133" s="4">
        <v>5096.3599999999997</v>
      </c>
      <c r="O133" s="1">
        <f t="shared" si="1"/>
        <v>-42.631160693410351</v>
      </c>
      <c r="P133" s="6">
        <v>44.5</v>
      </c>
      <c r="Q133" s="6">
        <v>38.700000000000003</v>
      </c>
      <c r="R133" s="6">
        <v>12</v>
      </c>
      <c r="S133" s="6">
        <v>10.8</v>
      </c>
      <c r="T133" s="5">
        <v>3.9E-2</v>
      </c>
      <c r="U133" s="1">
        <v>-2.58E-2</v>
      </c>
      <c r="V133" s="1">
        <v>2.7008999999999999</v>
      </c>
    </row>
    <row r="134" spans="1:22" x14ac:dyDescent="0.25">
      <c r="A134" s="1">
        <v>0.99909999999999999</v>
      </c>
      <c r="B134" s="9" t="s">
        <v>4264</v>
      </c>
      <c r="C134" s="2">
        <v>3437</v>
      </c>
      <c r="D134" s="3" t="s">
        <v>980</v>
      </c>
      <c r="E134" s="9" t="s">
        <v>887</v>
      </c>
      <c r="F134" s="9" t="s">
        <v>97</v>
      </c>
      <c r="G134" s="1">
        <v>1880.0436999999999</v>
      </c>
      <c r="H134" s="2">
        <v>249</v>
      </c>
      <c r="I134" s="2">
        <v>3</v>
      </c>
      <c r="J134" s="1">
        <v>1880.0065999999999</v>
      </c>
      <c r="K134" s="1">
        <v>627.68849999999998</v>
      </c>
      <c r="L134" s="9" t="s">
        <v>98</v>
      </c>
      <c r="M134" s="2">
        <v>6.73</v>
      </c>
      <c r="N134" s="4">
        <v>5103.76</v>
      </c>
      <c r="O134" s="1">
        <f t="shared" si="1"/>
        <v>-21.921253455194723</v>
      </c>
      <c r="P134" s="6">
        <v>35.5</v>
      </c>
      <c r="Q134" s="6">
        <v>22</v>
      </c>
      <c r="R134" s="6">
        <v>12.3</v>
      </c>
      <c r="S134" s="6">
        <v>10.1</v>
      </c>
      <c r="T134" s="5">
        <v>9.3999999999999997E-4</v>
      </c>
      <c r="U134" s="1">
        <v>-3.7100000000000001E-2</v>
      </c>
      <c r="V134" s="1">
        <v>5.5861999999999998</v>
      </c>
    </row>
    <row r="135" spans="1:22" x14ac:dyDescent="0.25">
      <c r="A135" s="1">
        <v>0.98060000000000003</v>
      </c>
      <c r="B135" s="9" t="s">
        <v>4265</v>
      </c>
      <c r="C135" s="2">
        <v>3441</v>
      </c>
      <c r="D135" s="3" t="s">
        <v>4238</v>
      </c>
      <c r="E135" s="9" t="s">
        <v>2109</v>
      </c>
      <c r="F135" s="9" t="s">
        <v>117</v>
      </c>
      <c r="G135" s="1">
        <v>960.52170000000001</v>
      </c>
      <c r="H135" s="2">
        <v>933</v>
      </c>
      <c r="I135" s="2">
        <v>2</v>
      </c>
      <c r="J135" s="1">
        <v>960.50720000000001</v>
      </c>
      <c r="K135" s="1">
        <v>481.2681</v>
      </c>
      <c r="L135" s="9" t="s">
        <v>118</v>
      </c>
      <c r="M135" s="2">
        <v>11</v>
      </c>
      <c r="N135" s="4">
        <v>5109.0600000000004</v>
      </c>
      <c r="O135" s="1">
        <f t="shared" si="1"/>
        <v>-20.258978311672848</v>
      </c>
      <c r="P135" s="6">
        <v>20.8</v>
      </c>
      <c r="Q135" s="6">
        <v>18.399999999999999</v>
      </c>
      <c r="R135" s="6">
        <v>10.8</v>
      </c>
      <c r="S135" s="6">
        <v>11.1</v>
      </c>
      <c r="T135" s="5">
        <v>1.2</v>
      </c>
      <c r="U135" s="1">
        <v>-1.4500000000000001E-2</v>
      </c>
      <c r="V135" s="1">
        <v>0.98750000000000004</v>
      </c>
    </row>
    <row r="136" spans="1:22" x14ac:dyDescent="0.25">
      <c r="A136" s="1">
        <v>0.99229999999999996</v>
      </c>
      <c r="B136" s="9" t="s">
        <v>4266</v>
      </c>
      <c r="C136" s="2">
        <v>3442</v>
      </c>
      <c r="D136" s="3" t="s">
        <v>702</v>
      </c>
      <c r="E136" s="9" t="s">
        <v>4267</v>
      </c>
      <c r="F136" s="9" t="s">
        <v>4268</v>
      </c>
      <c r="G136" s="1">
        <v>1296.6387</v>
      </c>
      <c r="H136" s="2">
        <v>250</v>
      </c>
      <c r="I136" s="2">
        <v>2</v>
      </c>
      <c r="J136" s="1">
        <v>1296.6167</v>
      </c>
      <c r="K136" s="1">
        <v>649.32659999999998</v>
      </c>
      <c r="L136" s="9" t="s">
        <v>4269</v>
      </c>
      <c r="M136" s="2">
        <v>4.8099999999999996</v>
      </c>
      <c r="N136" s="4">
        <v>5109.0600000000004</v>
      </c>
      <c r="O136" s="1">
        <f t="shared" si="1"/>
        <v>-17.66167339991992</v>
      </c>
      <c r="P136" s="6">
        <v>37.299999999999997</v>
      </c>
      <c r="Q136" s="6">
        <v>26.3</v>
      </c>
      <c r="R136" s="6">
        <v>10.6</v>
      </c>
      <c r="S136" s="6">
        <v>10.8</v>
      </c>
      <c r="T136" s="5">
        <v>0.03</v>
      </c>
      <c r="U136" s="1">
        <v>-2.1999999999999999E-2</v>
      </c>
      <c r="V136" s="1">
        <v>3.5143</v>
      </c>
    </row>
    <row r="137" spans="1:22" x14ac:dyDescent="0.25">
      <c r="A137" s="1">
        <v>0.99619999999999997</v>
      </c>
      <c r="B137" s="9" t="s">
        <v>4270</v>
      </c>
      <c r="C137" s="2">
        <v>3452</v>
      </c>
      <c r="D137" s="3" t="s">
        <v>316</v>
      </c>
      <c r="E137" s="9" t="s">
        <v>271</v>
      </c>
      <c r="F137" s="9" t="s">
        <v>272</v>
      </c>
      <c r="G137" s="1">
        <v>1682.8077000000001</v>
      </c>
      <c r="H137" s="2">
        <v>591</v>
      </c>
      <c r="I137" s="2">
        <v>2</v>
      </c>
      <c r="J137" s="1">
        <v>1682.7497000000001</v>
      </c>
      <c r="K137" s="1">
        <v>842.41110000000003</v>
      </c>
      <c r="L137" s="9" t="s">
        <v>273</v>
      </c>
      <c r="M137" s="2">
        <v>4.46</v>
      </c>
      <c r="N137" s="4">
        <v>5125.21</v>
      </c>
      <c r="O137" s="1">
        <f t="shared" si="1"/>
        <v>-6.6421878872598281</v>
      </c>
      <c r="P137" s="6">
        <v>38.1</v>
      </c>
      <c r="Q137" s="6">
        <v>27.9</v>
      </c>
      <c r="R137" s="6">
        <v>11.3</v>
      </c>
      <c r="S137" s="6">
        <v>9.8000000000000007</v>
      </c>
      <c r="T137" s="5">
        <v>1.1999999999999999E-3</v>
      </c>
      <c r="U137" s="1">
        <v>-5.8000000000000003E-2</v>
      </c>
      <c r="V137" s="1">
        <v>4.4207000000000001</v>
      </c>
    </row>
    <row r="138" spans="1:22" x14ac:dyDescent="0.25">
      <c r="A138" s="1">
        <v>1</v>
      </c>
      <c r="B138" s="9" t="s">
        <v>4271</v>
      </c>
      <c r="C138" s="2">
        <v>3458</v>
      </c>
      <c r="D138" s="3" t="s">
        <v>831</v>
      </c>
      <c r="E138" s="9" t="s">
        <v>887</v>
      </c>
      <c r="F138" s="9" t="s">
        <v>97</v>
      </c>
      <c r="G138" s="1">
        <v>1880.0436999999999</v>
      </c>
      <c r="H138" s="2">
        <v>592</v>
      </c>
      <c r="I138" s="2">
        <v>3</v>
      </c>
      <c r="J138" s="1">
        <v>1880.0101</v>
      </c>
      <c r="K138" s="1">
        <v>627.68849999999998</v>
      </c>
      <c r="L138" s="9" t="s">
        <v>98</v>
      </c>
      <c r="M138" s="2">
        <v>6.73</v>
      </c>
      <c r="N138" s="4">
        <v>5137.92</v>
      </c>
      <c r="O138" s="1">
        <f t="shared" si="1"/>
        <v>-16.518859238748632</v>
      </c>
      <c r="P138" s="6">
        <v>44.7</v>
      </c>
      <c r="Q138" s="6">
        <v>26.6</v>
      </c>
      <c r="R138" s="6">
        <v>12.2</v>
      </c>
      <c r="S138" s="6">
        <v>11</v>
      </c>
      <c r="T138" s="5">
        <v>4.6E-6</v>
      </c>
      <c r="U138" s="1">
        <v>-3.3599999999999998E-2</v>
      </c>
      <c r="V138" s="1">
        <v>8.3693000000000008</v>
      </c>
    </row>
    <row r="139" spans="1:22" x14ac:dyDescent="0.25">
      <c r="A139" s="1">
        <v>0.999</v>
      </c>
      <c r="B139" s="9" t="s">
        <v>4272</v>
      </c>
      <c r="C139" s="2">
        <v>3468</v>
      </c>
      <c r="D139" s="3" t="s">
        <v>105</v>
      </c>
      <c r="E139" s="9" t="s">
        <v>271</v>
      </c>
      <c r="F139" s="9" t="s">
        <v>272</v>
      </c>
      <c r="G139" s="1">
        <v>1682.8077000000001</v>
      </c>
      <c r="H139" s="2">
        <v>594</v>
      </c>
      <c r="I139" s="2">
        <v>2</v>
      </c>
      <c r="J139" s="1">
        <v>1682.7708</v>
      </c>
      <c r="K139" s="1">
        <v>842.41110000000003</v>
      </c>
      <c r="L139" s="9" t="s">
        <v>273</v>
      </c>
      <c r="M139" s="2">
        <v>4.46</v>
      </c>
      <c r="N139" s="4">
        <v>5155.92</v>
      </c>
      <c r="O139" s="1">
        <f t="shared" si="1"/>
        <v>-17.455047845367428</v>
      </c>
      <c r="P139" s="6">
        <v>46.7</v>
      </c>
      <c r="Q139" s="6">
        <v>29.4</v>
      </c>
      <c r="R139" s="6">
        <v>11.2</v>
      </c>
      <c r="S139" s="6">
        <v>12.3</v>
      </c>
      <c r="T139" s="5">
        <v>1.2E-4</v>
      </c>
      <c r="U139" s="1">
        <v>-3.6900000000000002E-2</v>
      </c>
      <c r="V139" s="1">
        <v>5.8446999999999996</v>
      </c>
    </row>
    <row r="140" spans="1:22" x14ac:dyDescent="0.25">
      <c r="A140" s="1">
        <v>0.96079999999999999</v>
      </c>
      <c r="B140" s="9" t="s">
        <v>4273</v>
      </c>
      <c r="C140" s="2">
        <v>3485</v>
      </c>
      <c r="D140" s="3" t="s">
        <v>1052</v>
      </c>
      <c r="E140" s="9" t="s">
        <v>4274</v>
      </c>
      <c r="F140" s="9" t="s">
        <v>4275</v>
      </c>
      <c r="G140" s="1">
        <v>1158.7047</v>
      </c>
      <c r="H140" s="2">
        <v>935</v>
      </c>
      <c r="I140" s="2">
        <v>2</v>
      </c>
      <c r="J140" s="1">
        <v>1158.6585</v>
      </c>
      <c r="K140" s="1">
        <v>580.3596</v>
      </c>
      <c r="L140" s="9" t="s">
        <v>4276</v>
      </c>
      <c r="M140" s="2">
        <v>10</v>
      </c>
      <c r="N140" s="4">
        <v>5185.62</v>
      </c>
      <c r="O140" s="1">
        <f t="shared" si="1"/>
        <v>-15.376444092398918</v>
      </c>
      <c r="P140" s="6">
        <v>29.1</v>
      </c>
      <c r="Q140" s="6">
        <v>22.7</v>
      </c>
      <c r="R140" s="6">
        <v>0</v>
      </c>
      <c r="S140" s="6">
        <v>10.6</v>
      </c>
      <c r="T140" s="5">
        <v>0.14000000000000001</v>
      </c>
      <c r="U140" s="1">
        <v>-4.6199999999999998E-2</v>
      </c>
      <c r="V140" s="1">
        <v>2.5076000000000001</v>
      </c>
    </row>
    <row r="141" spans="1:22" x14ac:dyDescent="0.25">
      <c r="A141" s="1">
        <v>0.99950000000000006</v>
      </c>
      <c r="B141" s="9" t="s">
        <v>4277</v>
      </c>
      <c r="C141" s="2">
        <v>3509</v>
      </c>
      <c r="D141" s="3" t="s">
        <v>1419</v>
      </c>
      <c r="E141" s="9" t="s">
        <v>4278</v>
      </c>
      <c r="F141" s="9" t="s">
        <v>4279</v>
      </c>
      <c r="G141" s="1">
        <v>1793.8226999999999</v>
      </c>
      <c r="H141" s="2">
        <v>796</v>
      </c>
      <c r="I141" s="2">
        <v>2</v>
      </c>
      <c r="J141" s="1">
        <v>1793.7787000000001</v>
      </c>
      <c r="K141" s="1">
        <v>897.91859999999997</v>
      </c>
      <c r="L141" s="9" t="s">
        <v>4280</v>
      </c>
      <c r="M141" s="2">
        <v>5.95</v>
      </c>
      <c r="N141" s="4">
        <v>5230.22</v>
      </c>
      <c r="O141" s="1">
        <f t="shared" si="1"/>
        <v>-18.181134382270507</v>
      </c>
      <c r="P141" s="6">
        <v>54</v>
      </c>
      <c r="Q141" s="6">
        <v>29.3</v>
      </c>
      <c r="R141" s="6">
        <v>12.1</v>
      </c>
      <c r="S141" s="6">
        <v>12</v>
      </c>
      <c r="T141" s="5">
        <v>9.7999999999999993E-6</v>
      </c>
      <c r="U141" s="1">
        <v>-4.3999999999999997E-2</v>
      </c>
      <c r="V141" s="1">
        <v>6.8429000000000002</v>
      </c>
    </row>
    <row r="142" spans="1:22" x14ac:dyDescent="0.25">
      <c r="A142" s="1">
        <v>0.98680000000000001</v>
      </c>
      <c r="B142" s="9" t="s">
        <v>4281</v>
      </c>
      <c r="C142" s="2">
        <v>3517</v>
      </c>
      <c r="D142" s="3" t="s">
        <v>3166</v>
      </c>
      <c r="E142" s="9" t="s">
        <v>4278</v>
      </c>
      <c r="F142" s="9" t="s">
        <v>4279</v>
      </c>
      <c r="G142" s="1">
        <v>1793.8226999999999</v>
      </c>
      <c r="H142" s="2">
        <v>797</v>
      </c>
      <c r="I142" s="2">
        <v>2</v>
      </c>
      <c r="J142" s="1">
        <v>1794.0192999999999</v>
      </c>
      <c r="K142" s="1">
        <v>897.91859999999997</v>
      </c>
      <c r="L142" s="9" t="s">
        <v>4280</v>
      </c>
      <c r="M142" s="2">
        <v>5.95</v>
      </c>
      <c r="N142" s="4">
        <v>5244.02</v>
      </c>
      <c r="O142" s="1">
        <f t="shared" si="1"/>
        <v>-23.167959812836131</v>
      </c>
      <c r="P142" s="6">
        <v>57.5</v>
      </c>
      <c r="Q142" s="6">
        <v>29.7</v>
      </c>
      <c r="R142" s="6">
        <v>11.8</v>
      </c>
      <c r="S142" s="6">
        <v>11.8</v>
      </c>
      <c r="T142" s="5">
        <v>2.7000000000000001E-7</v>
      </c>
      <c r="U142" s="1">
        <v>0.1966</v>
      </c>
      <c r="V142" s="1">
        <v>8.3839000000000006</v>
      </c>
    </row>
    <row r="143" spans="1:22" x14ac:dyDescent="0.25">
      <c r="A143" s="1">
        <v>0.99970000000000003</v>
      </c>
      <c r="B143" s="9" t="s">
        <v>4282</v>
      </c>
      <c r="C143" s="2">
        <v>3529</v>
      </c>
      <c r="D143" s="3" t="s">
        <v>3166</v>
      </c>
      <c r="E143" s="9" t="s">
        <v>4278</v>
      </c>
      <c r="F143" s="9" t="s">
        <v>4279</v>
      </c>
      <c r="G143" s="1">
        <v>1793.8228999999999</v>
      </c>
      <c r="H143" s="2">
        <v>798</v>
      </c>
      <c r="I143" s="2">
        <v>2</v>
      </c>
      <c r="J143" s="1">
        <v>1793.8190999999999</v>
      </c>
      <c r="K143" s="1">
        <v>897.91869999999994</v>
      </c>
      <c r="L143" s="9" t="s">
        <v>4280</v>
      </c>
      <c r="M143" s="2">
        <v>5.95</v>
      </c>
      <c r="N143" s="4">
        <v>5265.22</v>
      </c>
      <c r="O143" s="1">
        <f t="shared" si="1"/>
        <v>-22.58416331253753</v>
      </c>
      <c r="P143" s="6">
        <v>57.6</v>
      </c>
      <c r="Q143" s="6">
        <v>30.5</v>
      </c>
      <c r="R143" s="6">
        <v>11.8</v>
      </c>
      <c r="S143" s="6">
        <v>12</v>
      </c>
      <c r="T143" s="5">
        <v>3.3999999999999997E-7</v>
      </c>
      <c r="U143" s="1">
        <v>-3.8E-3</v>
      </c>
      <c r="V143" s="1">
        <v>8.2396999999999991</v>
      </c>
    </row>
    <row r="144" spans="1:22" x14ac:dyDescent="0.25">
      <c r="A144" s="1">
        <v>0.98660000000000003</v>
      </c>
      <c r="B144" s="9" t="s">
        <v>4283</v>
      </c>
      <c r="C144" s="2">
        <v>3537</v>
      </c>
      <c r="D144" s="3" t="s">
        <v>3166</v>
      </c>
      <c r="E144" s="9" t="s">
        <v>4278</v>
      </c>
      <c r="F144" s="9" t="s">
        <v>4279</v>
      </c>
      <c r="G144" s="1">
        <v>1793.8226999999999</v>
      </c>
      <c r="H144" s="2">
        <v>799</v>
      </c>
      <c r="I144" s="2">
        <v>2</v>
      </c>
      <c r="J144" s="1">
        <v>1794.1103000000001</v>
      </c>
      <c r="K144" s="1">
        <v>897.91859999999997</v>
      </c>
      <c r="L144" s="9" t="s">
        <v>4280</v>
      </c>
      <c r="M144" s="2">
        <v>5.95</v>
      </c>
      <c r="N144" s="4">
        <v>5279.02</v>
      </c>
      <c r="O144" s="1">
        <f t="shared" si="1"/>
        <v>90.167431181441046</v>
      </c>
      <c r="P144" s="6">
        <v>57.5</v>
      </c>
      <c r="Q144" s="6">
        <v>29.9</v>
      </c>
      <c r="R144" s="6">
        <v>11.8</v>
      </c>
      <c r="S144" s="6">
        <v>11.9</v>
      </c>
      <c r="T144" s="5">
        <v>3.1E-7</v>
      </c>
      <c r="U144" s="1">
        <v>0.28760000000000002</v>
      </c>
      <c r="V144" s="1">
        <v>8.3147000000000002</v>
      </c>
    </row>
    <row r="145" spans="1:22" x14ac:dyDescent="0.25">
      <c r="A145" s="1">
        <v>0.99150000000000005</v>
      </c>
      <c r="B145" s="9" t="s">
        <v>4284</v>
      </c>
      <c r="C145" s="2">
        <v>3538</v>
      </c>
      <c r="D145" s="3" t="s">
        <v>302</v>
      </c>
      <c r="E145" s="9" t="s">
        <v>4285</v>
      </c>
      <c r="F145" s="9" t="s">
        <v>2323</v>
      </c>
      <c r="G145" s="1">
        <v>1187.6216999999999</v>
      </c>
      <c r="H145" s="2">
        <v>936</v>
      </c>
      <c r="I145" s="2">
        <v>2</v>
      </c>
      <c r="J145" s="1">
        <v>1187.5907999999999</v>
      </c>
      <c r="K145" s="1">
        <v>594.81809999999996</v>
      </c>
      <c r="L145" s="9" t="s">
        <v>2324</v>
      </c>
      <c r="M145" s="2">
        <v>5.84</v>
      </c>
      <c r="N145" s="4">
        <v>5274.77</v>
      </c>
      <c r="O145" s="1">
        <f t="shared" si="1"/>
        <v>-14.025446523465819</v>
      </c>
      <c r="P145" s="6">
        <v>35.6</v>
      </c>
      <c r="Q145" s="6">
        <v>26.6</v>
      </c>
      <c r="R145" s="6">
        <v>11.9</v>
      </c>
      <c r="S145" s="6">
        <v>8.6</v>
      </c>
      <c r="T145" s="5">
        <v>1.2E-2</v>
      </c>
      <c r="U145" s="1">
        <v>-3.09E-2</v>
      </c>
      <c r="V145" s="1">
        <v>3.7532999999999999</v>
      </c>
    </row>
    <row r="146" spans="1:22" x14ac:dyDescent="0.25">
      <c r="A146" s="1">
        <v>0.99039999999999995</v>
      </c>
      <c r="B146" s="9" t="s">
        <v>4286</v>
      </c>
      <c r="C146" s="2">
        <v>3544</v>
      </c>
      <c r="D146" s="3" t="s">
        <v>69</v>
      </c>
      <c r="E146" s="9" t="s">
        <v>4287</v>
      </c>
      <c r="F146" s="9" t="s">
        <v>2392</v>
      </c>
      <c r="G146" s="1">
        <v>1135.5697</v>
      </c>
      <c r="H146" s="2">
        <v>597</v>
      </c>
      <c r="I146" s="2">
        <v>2</v>
      </c>
      <c r="J146" s="1">
        <v>1135.5467000000001</v>
      </c>
      <c r="K146" s="1">
        <v>568.7921</v>
      </c>
      <c r="L146" s="9" t="s">
        <v>2393</v>
      </c>
      <c r="M146" s="2">
        <v>5.96</v>
      </c>
      <c r="N146" s="4">
        <v>5289.57</v>
      </c>
      <c r="O146" s="1">
        <f t="shared" si="1"/>
        <v>-29.089815011632808</v>
      </c>
      <c r="P146" s="6">
        <v>38.700000000000003</v>
      </c>
      <c r="Q146" s="6">
        <v>29</v>
      </c>
      <c r="R146" s="6">
        <v>10.6</v>
      </c>
      <c r="S146" s="6">
        <v>11.8</v>
      </c>
      <c r="T146" s="5">
        <v>2.8000000000000001E-2</v>
      </c>
      <c r="U146" s="1">
        <v>-2.3E-2</v>
      </c>
      <c r="V146" s="1">
        <v>3.6436999999999999</v>
      </c>
    </row>
    <row r="147" spans="1:22" x14ac:dyDescent="0.25">
      <c r="A147" s="1">
        <v>0.99970000000000003</v>
      </c>
      <c r="B147" s="9" t="s">
        <v>4288</v>
      </c>
      <c r="C147" s="2">
        <v>3547</v>
      </c>
      <c r="D147" s="3" t="s">
        <v>4289</v>
      </c>
      <c r="E147" s="9" t="s">
        <v>4278</v>
      </c>
      <c r="F147" s="9" t="s">
        <v>1961</v>
      </c>
      <c r="G147" s="1">
        <v>1793.8226999999999</v>
      </c>
      <c r="H147" s="2">
        <v>598</v>
      </c>
      <c r="I147" s="2">
        <v>2</v>
      </c>
      <c r="J147" s="1">
        <v>1793.7977000000001</v>
      </c>
      <c r="K147" s="1">
        <v>897.91859999999997</v>
      </c>
      <c r="L147" s="9" t="s">
        <v>1962</v>
      </c>
      <c r="M147" s="2">
        <v>5.95</v>
      </c>
      <c r="N147" s="4">
        <v>5293.87</v>
      </c>
      <c r="O147" s="1">
        <f t="shared" ref="O147:O210" si="2">(((IF(U133&lt;0.51,U133, IF(U133&lt;1.51,U133-1.003355,IF(U133&lt;2.6,U133-2*1.003355))))/I133)/K133)*1000000</f>
        <v>-20.760707737354842</v>
      </c>
      <c r="P147" s="6">
        <v>65.7</v>
      </c>
      <c r="Q147" s="6">
        <v>34</v>
      </c>
      <c r="R147" s="6">
        <v>12.1</v>
      </c>
      <c r="S147" s="6">
        <v>11.6</v>
      </c>
      <c r="T147" s="5">
        <v>2.2000000000000001E-7</v>
      </c>
      <c r="U147" s="1">
        <v>-2.5000000000000001E-2</v>
      </c>
      <c r="V147" s="1">
        <v>8.4618000000000002</v>
      </c>
    </row>
    <row r="148" spans="1:22" x14ac:dyDescent="0.25">
      <c r="A148" s="1">
        <v>0.99890000000000001</v>
      </c>
      <c r="B148" s="9" t="s">
        <v>4290</v>
      </c>
      <c r="C148" s="2">
        <v>3549</v>
      </c>
      <c r="D148" s="3" t="s">
        <v>110</v>
      </c>
      <c r="E148" s="9" t="s">
        <v>4291</v>
      </c>
      <c r="F148" s="9" t="s">
        <v>97</v>
      </c>
      <c r="G148" s="1">
        <v>1429.8217</v>
      </c>
      <c r="H148" s="2">
        <v>801</v>
      </c>
      <c r="I148" s="2">
        <v>2</v>
      </c>
      <c r="J148" s="1">
        <v>1429.7947999999999</v>
      </c>
      <c r="K148" s="1">
        <v>715.91809999999998</v>
      </c>
      <c r="L148" s="9" t="s">
        <v>98</v>
      </c>
      <c r="M148" s="2">
        <v>8.56</v>
      </c>
      <c r="N148" s="4">
        <v>5299.22</v>
      </c>
      <c r="O148" s="1">
        <f t="shared" si="2"/>
        <v>-19.701916900925646</v>
      </c>
      <c r="P148" s="6">
        <v>53.5</v>
      </c>
      <c r="Q148" s="6">
        <v>35.4</v>
      </c>
      <c r="R148" s="6">
        <v>12.1</v>
      </c>
      <c r="S148" s="6">
        <v>11</v>
      </c>
      <c r="T148" s="5">
        <v>2.5999999999999998E-4</v>
      </c>
      <c r="U148" s="1">
        <v>-2.69E-2</v>
      </c>
      <c r="V148" s="1">
        <v>5.7754000000000003</v>
      </c>
    </row>
    <row r="149" spans="1:22" x14ac:dyDescent="0.25">
      <c r="A149" s="1">
        <v>0.98619999999999997</v>
      </c>
      <c r="B149" s="9" t="s">
        <v>4292</v>
      </c>
      <c r="C149" s="2">
        <v>3555</v>
      </c>
      <c r="D149" s="3" t="s">
        <v>302</v>
      </c>
      <c r="E149" s="9" t="s">
        <v>4285</v>
      </c>
      <c r="F149" s="9" t="s">
        <v>2323</v>
      </c>
      <c r="G149" s="1">
        <v>1187.6216999999999</v>
      </c>
      <c r="H149" s="2">
        <v>599</v>
      </c>
      <c r="I149" s="2">
        <v>2</v>
      </c>
      <c r="J149" s="1">
        <v>1187.5871999999999</v>
      </c>
      <c r="K149" s="1">
        <v>594.81809999999996</v>
      </c>
      <c r="L149" s="9" t="s">
        <v>2324</v>
      </c>
      <c r="M149" s="2">
        <v>5.84</v>
      </c>
      <c r="N149" s="4">
        <v>5306.67</v>
      </c>
      <c r="O149" s="1">
        <f t="shared" si="2"/>
        <v>-15.064368488166991</v>
      </c>
      <c r="P149" s="6">
        <v>34.5</v>
      </c>
      <c r="Q149" s="6">
        <v>25.3</v>
      </c>
      <c r="R149" s="6">
        <v>10.9</v>
      </c>
      <c r="S149" s="6">
        <v>7.5</v>
      </c>
      <c r="T149" s="5">
        <v>3.1E-2</v>
      </c>
      <c r="U149" s="1">
        <v>-3.4500000000000003E-2</v>
      </c>
      <c r="V149" s="1">
        <v>3.3622999999999998</v>
      </c>
    </row>
    <row r="150" spans="1:22" x14ac:dyDescent="0.25">
      <c r="A150" s="1">
        <v>0.99609999999999999</v>
      </c>
      <c r="B150" s="9" t="s">
        <v>4293</v>
      </c>
      <c r="C150" s="2">
        <v>3566</v>
      </c>
      <c r="D150" s="3" t="s">
        <v>501</v>
      </c>
      <c r="E150" s="9" t="s">
        <v>2143</v>
      </c>
      <c r="F150" s="9" t="s">
        <v>1847</v>
      </c>
      <c r="G150" s="1">
        <v>1409.6316999999999</v>
      </c>
      <c r="H150" s="2">
        <v>937</v>
      </c>
      <c r="I150" s="2">
        <v>2</v>
      </c>
      <c r="J150" s="1">
        <v>1409.597</v>
      </c>
      <c r="K150" s="1">
        <v>705.82309999999995</v>
      </c>
      <c r="L150" s="9" t="s">
        <v>1848</v>
      </c>
      <c r="M150" s="2">
        <v>4.75</v>
      </c>
      <c r="N150" s="4">
        <v>5323.77</v>
      </c>
      <c r="O150" s="1">
        <f t="shared" si="2"/>
        <v>-16.940627413076868</v>
      </c>
      <c r="P150" s="6">
        <v>26.4</v>
      </c>
      <c r="Q150" s="6">
        <v>19.8</v>
      </c>
      <c r="R150" s="6">
        <v>9.9</v>
      </c>
      <c r="S150" s="6">
        <v>7.9</v>
      </c>
      <c r="T150" s="5">
        <v>3.0999999999999999E-3</v>
      </c>
      <c r="U150" s="1">
        <v>-3.4700000000000002E-2</v>
      </c>
      <c r="V150" s="1">
        <v>4.5875000000000004</v>
      </c>
    </row>
    <row r="151" spans="1:22" x14ac:dyDescent="0.25">
      <c r="A151" s="1">
        <v>0.99960000000000004</v>
      </c>
      <c r="B151" s="9" t="s">
        <v>4294</v>
      </c>
      <c r="C151" s="2">
        <v>3568</v>
      </c>
      <c r="D151" s="3" t="s">
        <v>3166</v>
      </c>
      <c r="E151" s="9" t="s">
        <v>4278</v>
      </c>
      <c r="F151" s="9" t="s">
        <v>4279</v>
      </c>
      <c r="G151" s="1">
        <v>1793.8226999999999</v>
      </c>
      <c r="H151" s="2">
        <v>802</v>
      </c>
      <c r="I151" s="2">
        <v>2</v>
      </c>
      <c r="J151" s="1">
        <v>1793.7753</v>
      </c>
      <c r="K151" s="1">
        <v>897.91859999999997</v>
      </c>
      <c r="L151" s="9" t="s">
        <v>4280</v>
      </c>
      <c r="M151" s="2">
        <v>5.95</v>
      </c>
      <c r="N151" s="4">
        <v>5329.12</v>
      </c>
      <c r="O151" s="1">
        <f t="shared" si="2"/>
        <v>-34.424997486381649</v>
      </c>
      <c r="P151" s="6">
        <v>57.9</v>
      </c>
      <c r="Q151" s="6">
        <v>30.4</v>
      </c>
      <c r="R151" s="6">
        <v>12.1</v>
      </c>
      <c r="S151" s="6">
        <v>12.3</v>
      </c>
      <c r="T151" s="5">
        <v>1.9E-6</v>
      </c>
      <c r="U151" s="1">
        <v>-4.7399999999999998E-2</v>
      </c>
      <c r="V151" s="1">
        <v>7.5693000000000001</v>
      </c>
    </row>
    <row r="152" spans="1:22" x14ac:dyDescent="0.25">
      <c r="A152" s="1">
        <v>0.99980000000000002</v>
      </c>
      <c r="B152" s="9" t="s">
        <v>4295</v>
      </c>
      <c r="C152" s="2">
        <v>3570</v>
      </c>
      <c r="D152" s="3" t="s">
        <v>4296</v>
      </c>
      <c r="E152" s="9" t="s">
        <v>4291</v>
      </c>
      <c r="F152" s="9" t="s">
        <v>97</v>
      </c>
      <c r="G152" s="1">
        <v>1429.8217</v>
      </c>
      <c r="H152" s="2">
        <v>601</v>
      </c>
      <c r="I152" s="2">
        <v>2</v>
      </c>
      <c r="J152" s="1">
        <v>1429.7816</v>
      </c>
      <c r="K152" s="1">
        <v>715.91809999999998</v>
      </c>
      <c r="L152" s="9" t="s">
        <v>98</v>
      </c>
      <c r="M152" s="2">
        <v>8.56</v>
      </c>
      <c r="N152" s="4">
        <v>5330.17</v>
      </c>
      <c r="O152" s="1">
        <f t="shared" si="2"/>
        <v>-17.843245495177943</v>
      </c>
      <c r="P152" s="6">
        <v>79.5</v>
      </c>
      <c r="Q152" s="6">
        <v>42.8</v>
      </c>
      <c r="R152" s="6">
        <v>12.2</v>
      </c>
      <c r="S152" s="6">
        <v>12.3</v>
      </c>
      <c r="T152" s="5">
        <v>1.5999999999999999E-6</v>
      </c>
      <c r="U152" s="1">
        <v>-4.0099999999999997E-2</v>
      </c>
      <c r="V152" s="1">
        <v>8.6961999999999993</v>
      </c>
    </row>
    <row r="153" spans="1:22" x14ac:dyDescent="0.25">
      <c r="A153" s="1">
        <v>0.98780000000000001</v>
      </c>
      <c r="B153" s="9" t="s">
        <v>4297</v>
      </c>
      <c r="C153" s="2">
        <v>3589</v>
      </c>
      <c r="D153" s="3" t="s">
        <v>511</v>
      </c>
      <c r="E153" s="9" t="s">
        <v>2143</v>
      </c>
      <c r="F153" s="9" t="s">
        <v>1847</v>
      </c>
      <c r="G153" s="1">
        <v>1409.6316999999999</v>
      </c>
      <c r="H153" s="2">
        <v>342</v>
      </c>
      <c r="I153" s="2">
        <v>2</v>
      </c>
      <c r="J153" s="1">
        <v>1409.6201000000001</v>
      </c>
      <c r="K153" s="1">
        <v>705.82309999999995</v>
      </c>
      <c r="L153" s="9" t="s">
        <v>1848</v>
      </c>
      <c r="M153" s="2">
        <v>4.75</v>
      </c>
      <c r="N153" s="4">
        <v>5363.22</v>
      </c>
      <c r="O153" s="1">
        <f t="shared" si="2"/>
        <v>-21.901420814611772</v>
      </c>
      <c r="P153" s="6">
        <v>29.4</v>
      </c>
      <c r="Q153" s="6">
        <v>22.4</v>
      </c>
      <c r="R153" s="6">
        <v>8.9</v>
      </c>
      <c r="S153" s="6">
        <v>8.3000000000000007</v>
      </c>
      <c r="T153" s="5">
        <v>1.0999999999999999E-2</v>
      </c>
      <c r="U153" s="1">
        <v>-1.1599999999999999E-2</v>
      </c>
      <c r="V153" s="1">
        <v>3.8864999999999998</v>
      </c>
    </row>
    <row r="154" spans="1:22" x14ac:dyDescent="0.25">
      <c r="A154" s="1">
        <v>0.99709999999999999</v>
      </c>
      <c r="B154" s="9" t="s">
        <v>4298</v>
      </c>
      <c r="C154" s="2">
        <v>3608</v>
      </c>
      <c r="D154" s="3" t="s">
        <v>511</v>
      </c>
      <c r="E154" s="9" t="s">
        <v>2143</v>
      </c>
      <c r="F154" s="9" t="s">
        <v>1847</v>
      </c>
      <c r="G154" s="1">
        <v>1409.6316999999999</v>
      </c>
      <c r="H154" s="2">
        <v>384</v>
      </c>
      <c r="I154" s="2">
        <v>2</v>
      </c>
      <c r="J154" s="1">
        <v>1409.5943</v>
      </c>
      <c r="K154" s="1">
        <v>705.82309999999995</v>
      </c>
      <c r="L154" s="9" t="s">
        <v>1848</v>
      </c>
      <c r="M154" s="2">
        <v>4.75</v>
      </c>
      <c r="N154" s="4">
        <v>5394.12</v>
      </c>
      <c r="O154" s="1">
        <f t="shared" si="2"/>
        <v>-39.802908403686267</v>
      </c>
      <c r="P154" s="6">
        <v>29.2</v>
      </c>
      <c r="Q154" s="6">
        <v>22.1</v>
      </c>
      <c r="R154" s="6">
        <v>8.8000000000000007</v>
      </c>
      <c r="S154" s="6">
        <v>7.8</v>
      </c>
      <c r="T154" s="5">
        <v>8.3000000000000001E-4</v>
      </c>
      <c r="U154" s="1">
        <v>-3.7400000000000003E-2</v>
      </c>
      <c r="V154" s="1">
        <v>5.2195999999999998</v>
      </c>
    </row>
    <row r="155" spans="1:22" x14ac:dyDescent="0.25">
      <c r="A155" s="1">
        <v>0.97030000000000005</v>
      </c>
      <c r="B155" s="9" t="s">
        <v>4299</v>
      </c>
      <c r="C155" s="2">
        <v>3628</v>
      </c>
      <c r="D155" s="3" t="s">
        <v>501</v>
      </c>
      <c r="E155" s="9" t="s">
        <v>2143</v>
      </c>
      <c r="F155" s="9" t="s">
        <v>1847</v>
      </c>
      <c r="G155" s="1">
        <v>1409.6316999999999</v>
      </c>
      <c r="H155" s="2">
        <v>350</v>
      </c>
      <c r="I155" s="2">
        <v>2</v>
      </c>
      <c r="J155" s="1">
        <v>1409.6122</v>
      </c>
      <c r="K155" s="1">
        <v>705.82309999999995</v>
      </c>
      <c r="L155" s="9" t="s">
        <v>1848</v>
      </c>
      <c r="M155" s="2">
        <v>4.75</v>
      </c>
      <c r="N155" s="4">
        <v>5428.13</v>
      </c>
      <c r="O155" s="1">
        <f t="shared" si="2"/>
        <v>-24.501107338683038</v>
      </c>
      <c r="P155" s="6">
        <v>26.1</v>
      </c>
      <c r="Q155" s="6">
        <v>20.9</v>
      </c>
      <c r="R155" s="6">
        <v>9.4</v>
      </c>
      <c r="S155" s="6">
        <v>8</v>
      </c>
      <c r="T155" s="5">
        <v>0.15</v>
      </c>
      <c r="U155" s="1">
        <v>-1.95E-2</v>
      </c>
      <c r="V155" s="1">
        <v>2.3679000000000001</v>
      </c>
    </row>
    <row r="156" spans="1:22" x14ac:dyDescent="0.25">
      <c r="A156" s="1">
        <v>0.99239999999999995</v>
      </c>
      <c r="B156" s="9" t="s">
        <v>4300</v>
      </c>
      <c r="C156" s="2">
        <v>3645</v>
      </c>
      <c r="D156" s="3" t="s">
        <v>469</v>
      </c>
      <c r="E156" s="9" t="s">
        <v>4301</v>
      </c>
      <c r="F156" s="9" t="s">
        <v>97</v>
      </c>
      <c r="G156" s="1">
        <v>1895.0546999999999</v>
      </c>
      <c r="H156" s="2">
        <v>606</v>
      </c>
      <c r="I156" s="2">
        <v>3</v>
      </c>
      <c r="J156" s="1">
        <v>1895.0134</v>
      </c>
      <c r="K156" s="1">
        <v>632.69219999999996</v>
      </c>
      <c r="L156" s="9" t="s">
        <v>98</v>
      </c>
      <c r="M156" s="2">
        <v>8.6</v>
      </c>
      <c r="N156" s="4">
        <v>5453.58</v>
      </c>
      <c r="O156" s="1">
        <f t="shared" si="2"/>
        <v>109.47540233602467</v>
      </c>
      <c r="P156" s="6">
        <v>41.6</v>
      </c>
      <c r="Q156" s="6">
        <v>32.700000000000003</v>
      </c>
      <c r="R156" s="6">
        <v>11</v>
      </c>
      <c r="S156" s="6">
        <v>11.1</v>
      </c>
      <c r="T156" s="5">
        <v>1.2E-2</v>
      </c>
      <c r="U156" s="1">
        <v>-4.1300000000000003E-2</v>
      </c>
      <c r="V156" s="1">
        <v>3.3832</v>
      </c>
    </row>
    <row r="157" spans="1:22" x14ac:dyDescent="0.25">
      <c r="A157" s="1">
        <v>0.98599999999999999</v>
      </c>
      <c r="B157" s="9" t="s">
        <v>4302</v>
      </c>
      <c r="C157" s="2">
        <v>3652</v>
      </c>
      <c r="D157" s="3" t="s">
        <v>316</v>
      </c>
      <c r="E157" s="9" t="s">
        <v>2721</v>
      </c>
      <c r="F157" s="9" t="s">
        <v>2722</v>
      </c>
      <c r="G157" s="1">
        <v>1465.7597000000001</v>
      </c>
      <c r="H157" s="2">
        <v>607</v>
      </c>
      <c r="I157" s="2">
        <v>2</v>
      </c>
      <c r="J157" s="1">
        <v>1465.7342000000001</v>
      </c>
      <c r="K157" s="1">
        <v>733.88710000000003</v>
      </c>
      <c r="L157" s="9" t="s">
        <v>2723</v>
      </c>
      <c r="M157" s="2">
        <v>6.74</v>
      </c>
      <c r="N157" s="4">
        <v>5468.38</v>
      </c>
      <c r="O157" s="1">
        <f t="shared" si="2"/>
        <v>-2.1160044890478393</v>
      </c>
      <c r="P157" s="6">
        <v>39.4</v>
      </c>
      <c r="Q157" s="6">
        <v>29.3</v>
      </c>
      <c r="R157" s="6">
        <v>9.5</v>
      </c>
      <c r="S157" s="6">
        <v>11.1</v>
      </c>
      <c r="T157" s="5">
        <v>1.2999999999999999E-2</v>
      </c>
      <c r="U157" s="1">
        <v>-2.5499999999999998E-2</v>
      </c>
      <c r="V157" s="1">
        <v>3.3532000000000002</v>
      </c>
    </row>
    <row r="158" spans="1:22" x14ac:dyDescent="0.25">
      <c r="A158" s="1">
        <v>0.97629999999999995</v>
      </c>
      <c r="B158" s="9" t="s">
        <v>4303</v>
      </c>
      <c r="C158" s="2">
        <v>3664</v>
      </c>
      <c r="D158" s="3" t="s">
        <v>1002</v>
      </c>
      <c r="E158" s="9" t="s">
        <v>4304</v>
      </c>
      <c r="F158" s="9" t="s">
        <v>1624</v>
      </c>
      <c r="G158" s="1">
        <v>1211.6696999999999</v>
      </c>
      <c r="H158" s="2">
        <v>805</v>
      </c>
      <c r="I158" s="2">
        <v>2</v>
      </c>
      <c r="J158" s="1">
        <v>1211.6516999999999</v>
      </c>
      <c r="K158" s="1">
        <v>606.84209999999996</v>
      </c>
      <c r="L158" s="9" t="s">
        <v>789</v>
      </c>
      <c r="M158" s="2">
        <v>8.75</v>
      </c>
      <c r="N158" s="4">
        <v>5490.73</v>
      </c>
      <c r="O158" s="1">
        <f t="shared" si="2"/>
        <v>160.14814705921006</v>
      </c>
      <c r="P158" s="6">
        <v>52.2</v>
      </c>
      <c r="Q158" s="6">
        <v>39.799999999999997</v>
      </c>
      <c r="R158" s="6">
        <v>11.5</v>
      </c>
      <c r="S158" s="6">
        <v>12.8</v>
      </c>
      <c r="T158" s="5">
        <v>5.1999999999999998E-2</v>
      </c>
      <c r="U158" s="1">
        <v>-1.7999999999999999E-2</v>
      </c>
      <c r="V158" s="1">
        <v>3.0977999999999999</v>
      </c>
    </row>
    <row r="159" spans="1:22" x14ac:dyDescent="0.25">
      <c r="A159" s="1">
        <v>0.98029999999999995</v>
      </c>
      <c r="B159" s="9" t="s">
        <v>4305</v>
      </c>
      <c r="C159" s="2">
        <v>3692</v>
      </c>
      <c r="D159" s="3" t="s">
        <v>298</v>
      </c>
      <c r="E159" s="9" t="s">
        <v>299</v>
      </c>
      <c r="F159" s="9" t="s">
        <v>300</v>
      </c>
      <c r="G159" s="1">
        <v>1122.5847000000001</v>
      </c>
      <c r="H159" s="2">
        <v>328</v>
      </c>
      <c r="I159" s="2">
        <v>2</v>
      </c>
      <c r="J159" s="1">
        <v>1122.5657000000001</v>
      </c>
      <c r="K159" s="1">
        <v>562.29960000000005</v>
      </c>
      <c r="L159" s="9" t="s">
        <v>91</v>
      </c>
      <c r="M159" s="2">
        <v>8.35</v>
      </c>
      <c r="N159" s="4">
        <v>5540.53</v>
      </c>
      <c r="O159" s="1">
        <f t="shared" si="2"/>
        <v>-25.974327277532414</v>
      </c>
      <c r="P159" s="6">
        <v>39.299999999999997</v>
      </c>
      <c r="Q159" s="6">
        <v>31.6</v>
      </c>
      <c r="R159" s="6">
        <v>10.9</v>
      </c>
      <c r="S159" s="6">
        <v>10.4</v>
      </c>
      <c r="T159" s="5">
        <v>0.13</v>
      </c>
      <c r="U159" s="1">
        <v>-1.9E-2</v>
      </c>
      <c r="V159" s="1">
        <v>2.6625000000000001</v>
      </c>
    </row>
    <row r="160" spans="1:22" x14ac:dyDescent="0.25">
      <c r="A160" s="1">
        <v>0.97409999999999997</v>
      </c>
      <c r="B160" s="9" t="s">
        <v>4306</v>
      </c>
      <c r="C160" s="2">
        <v>3735</v>
      </c>
      <c r="D160" s="3" t="s">
        <v>361</v>
      </c>
      <c r="E160" s="9" t="s">
        <v>2736</v>
      </c>
      <c r="F160" s="9" t="s">
        <v>4307</v>
      </c>
      <c r="G160" s="1">
        <v>1316.7007000000001</v>
      </c>
      <c r="H160" s="2">
        <v>336</v>
      </c>
      <c r="I160" s="2">
        <v>2</v>
      </c>
      <c r="J160" s="1">
        <v>1316.6824999999999</v>
      </c>
      <c r="K160" s="1">
        <v>659.35760000000005</v>
      </c>
      <c r="L160" s="9" t="s">
        <v>2738</v>
      </c>
      <c r="M160" s="2">
        <v>6.22</v>
      </c>
      <c r="N160" s="4">
        <v>5609.93</v>
      </c>
      <c r="O160" s="1">
        <f t="shared" si="2"/>
        <v>-20.218283622434278</v>
      </c>
      <c r="P160" s="6">
        <v>30.2</v>
      </c>
      <c r="Q160" s="6">
        <v>25.9</v>
      </c>
      <c r="R160" s="6">
        <v>11.5</v>
      </c>
      <c r="S160" s="6">
        <v>10.5</v>
      </c>
      <c r="T160" s="5">
        <v>4.9000000000000002E-2</v>
      </c>
      <c r="U160" s="1">
        <v>-1.8200000000000001E-2</v>
      </c>
      <c r="V160" s="1">
        <v>2.4506000000000001</v>
      </c>
    </row>
    <row r="161" spans="1:22" x14ac:dyDescent="0.25">
      <c r="A161" s="1">
        <v>0.99790000000000001</v>
      </c>
      <c r="B161" s="9" t="s">
        <v>4308</v>
      </c>
      <c r="C161" s="2">
        <v>3755</v>
      </c>
      <c r="D161" s="3" t="s">
        <v>361</v>
      </c>
      <c r="E161" s="9" t="s">
        <v>2736</v>
      </c>
      <c r="F161" s="9" t="s">
        <v>2737</v>
      </c>
      <c r="G161" s="1">
        <v>1316.7007000000001</v>
      </c>
      <c r="H161" s="2">
        <v>945</v>
      </c>
      <c r="I161" s="2">
        <v>2</v>
      </c>
      <c r="J161" s="1">
        <v>1316.6768</v>
      </c>
      <c r="K161" s="1">
        <v>659.35760000000005</v>
      </c>
      <c r="L161" s="9" t="s">
        <v>2738</v>
      </c>
      <c r="M161" s="2">
        <v>6.22</v>
      </c>
      <c r="N161" s="4">
        <v>5635.79</v>
      </c>
      <c r="O161" s="1">
        <f t="shared" si="2"/>
        <v>-13.921083715160819</v>
      </c>
      <c r="P161" s="6">
        <v>29.6</v>
      </c>
      <c r="Q161" s="6">
        <v>24.8</v>
      </c>
      <c r="R161" s="6">
        <v>11</v>
      </c>
      <c r="S161" s="6">
        <v>9.6999999999999993</v>
      </c>
      <c r="T161" s="5">
        <v>7.3999999999999996E-2</v>
      </c>
      <c r="U161" s="1">
        <v>-2.3900000000000001E-2</v>
      </c>
      <c r="V161" s="1">
        <v>2.3515999999999999</v>
      </c>
    </row>
    <row r="162" spans="1:22" x14ac:dyDescent="0.25">
      <c r="A162" s="1">
        <v>0.98970000000000002</v>
      </c>
      <c r="B162" s="9" t="s">
        <v>4309</v>
      </c>
      <c r="C162" s="2">
        <v>3762</v>
      </c>
      <c r="D162" s="3" t="s">
        <v>311</v>
      </c>
      <c r="E162" s="9" t="s">
        <v>3302</v>
      </c>
      <c r="F162" s="9" t="s">
        <v>860</v>
      </c>
      <c r="G162" s="1">
        <v>1502.7807</v>
      </c>
      <c r="H162" s="2">
        <v>611</v>
      </c>
      <c r="I162" s="2">
        <v>2</v>
      </c>
      <c r="J162" s="1">
        <v>1502.7578000000001</v>
      </c>
      <c r="K162" s="1">
        <v>752.39760000000001</v>
      </c>
      <c r="L162" s="9" t="s">
        <v>673</v>
      </c>
      <c r="M162" s="2">
        <v>5.96</v>
      </c>
      <c r="N162" s="4">
        <v>5645.49</v>
      </c>
      <c r="O162" s="1">
        <f t="shared" si="2"/>
        <v>-18.78706516848785</v>
      </c>
      <c r="P162" s="6">
        <v>38.200000000000003</v>
      </c>
      <c r="Q162" s="6">
        <v>26.6</v>
      </c>
      <c r="R162" s="6">
        <v>11.7</v>
      </c>
      <c r="S162" s="6">
        <v>11.6</v>
      </c>
      <c r="T162" s="5">
        <v>2.1000000000000001E-2</v>
      </c>
      <c r="U162" s="1">
        <v>-2.29E-2</v>
      </c>
      <c r="V162" s="1">
        <v>3.5869</v>
      </c>
    </row>
    <row r="163" spans="1:22" x14ac:dyDescent="0.25">
      <c r="A163" s="1">
        <v>0.99460000000000004</v>
      </c>
      <c r="B163" s="9" t="s">
        <v>4310</v>
      </c>
      <c r="C163" s="2">
        <v>3773</v>
      </c>
      <c r="D163" s="3" t="s">
        <v>298</v>
      </c>
      <c r="E163" s="9" t="s">
        <v>299</v>
      </c>
      <c r="F163" s="9" t="s">
        <v>2163</v>
      </c>
      <c r="G163" s="1">
        <v>1122.5847000000001</v>
      </c>
      <c r="H163" s="2">
        <v>263</v>
      </c>
      <c r="I163" s="2">
        <v>2</v>
      </c>
      <c r="J163" s="1">
        <v>1122.5643</v>
      </c>
      <c r="K163" s="1">
        <v>562.29960000000005</v>
      </c>
      <c r="L163" s="9" t="s">
        <v>673</v>
      </c>
      <c r="M163" s="2">
        <v>8.35</v>
      </c>
      <c r="N163" s="4">
        <v>5662.59</v>
      </c>
      <c r="O163" s="1">
        <f t="shared" si="2"/>
        <v>-29.000462494332304</v>
      </c>
      <c r="P163" s="6">
        <v>39.1</v>
      </c>
      <c r="Q163" s="6">
        <v>31.3</v>
      </c>
      <c r="R163" s="6">
        <v>10.8</v>
      </c>
      <c r="S163" s="6">
        <v>10</v>
      </c>
      <c r="T163" s="5">
        <v>2.1999999999999999E-2</v>
      </c>
      <c r="U163" s="1">
        <v>-2.0400000000000001E-2</v>
      </c>
      <c r="V163" s="1">
        <v>3.6875</v>
      </c>
    </row>
    <row r="164" spans="1:22" x14ac:dyDescent="0.25">
      <c r="A164" s="1">
        <v>0.99660000000000004</v>
      </c>
      <c r="B164" s="9" t="s">
        <v>4311</v>
      </c>
      <c r="C164" s="2">
        <v>3781</v>
      </c>
      <c r="D164" s="3" t="s">
        <v>331</v>
      </c>
      <c r="E164" s="9" t="s">
        <v>3302</v>
      </c>
      <c r="F164" s="9" t="s">
        <v>860</v>
      </c>
      <c r="G164" s="1">
        <v>1502.7807</v>
      </c>
      <c r="H164" s="2">
        <v>811</v>
      </c>
      <c r="I164" s="2">
        <v>2</v>
      </c>
      <c r="J164" s="1">
        <v>1502.7628999999999</v>
      </c>
      <c r="K164" s="1">
        <v>752.39760000000001</v>
      </c>
      <c r="L164" s="9" t="s">
        <v>673</v>
      </c>
      <c r="M164" s="2">
        <v>5.96</v>
      </c>
      <c r="N164" s="4">
        <v>5678.54</v>
      </c>
      <c r="O164" s="1">
        <f t="shared" si="2"/>
        <v>-24.581230056086294</v>
      </c>
      <c r="P164" s="6">
        <v>40.5</v>
      </c>
      <c r="Q164" s="6">
        <v>26</v>
      </c>
      <c r="R164" s="6">
        <v>11.6</v>
      </c>
      <c r="S164" s="6">
        <v>11.5</v>
      </c>
      <c r="T164" s="5">
        <v>4.0000000000000001E-3</v>
      </c>
      <c r="U164" s="1">
        <v>-1.78E-2</v>
      </c>
      <c r="V164" s="1">
        <v>4.6039000000000003</v>
      </c>
    </row>
    <row r="165" spans="1:22" x14ac:dyDescent="0.25">
      <c r="A165" s="1">
        <v>0.99829999999999997</v>
      </c>
      <c r="B165" s="9" t="s">
        <v>4312</v>
      </c>
      <c r="C165" s="2">
        <v>3788</v>
      </c>
      <c r="D165" s="3" t="s">
        <v>702</v>
      </c>
      <c r="E165" s="9" t="s">
        <v>2184</v>
      </c>
      <c r="F165" s="9" t="s">
        <v>1961</v>
      </c>
      <c r="G165" s="1">
        <v>1308.5877</v>
      </c>
      <c r="H165" s="2">
        <v>947</v>
      </c>
      <c r="I165" s="2">
        <v>2</v>
      </c>
      <c r="J165" s="1">
        <v>1308.5704000000001</v>
      </c>
      <c r="K165" s="1">
        <v>655.30110000000002</v>
      </c>
      <c r="L165" s="9" t="s">
        <v>1962</v>
      </c>
      <c r="M165" s="2">
        <v>5.83</v>
      </c>
      <c r="N165" s="4">
        <v>5686.99</v>
      </c>
      <c r="O165" s="1">
        <f t="shared" si="2"/>
        <v>-26.39437472394491</v>
      </c>
      <c r="P165" s="6">
        <v>37.9</v>
      </c>
      <c r="Q165" s="6">
        <v>22.4</v>
      </c>
      <c r="R165" s="6">
        <v>12</v>
      </c>
      <c r="S165" s="6">
        <v>10.199999999999999</v>
      </c>
      <c r="T165" s="5">
        <v>7.2000000000000005E-4</v>
      </c>
      <c r="U165" s="1">
        <v>-1.7299999999999999E-2</v>
      </c>
      <c r="V165" s="1">
        <v>5.8639000000000001</v>
      </c>
    </row>
    <row r="166" spans="1:22" x14ac:dyDescent="0.25">
      <c r="A166" s="1">
        <v>0.98029999999999995</v>
      </c>
      <c r="B166" s="9" t="s">
        <v>4313</v>
      </c>
      <c r="C166" s="2">
        <v>3791</v>
      </c>
      <c r="D166" s="3" t="s">
        <v>423</v>
      </c>
      <c r="E166" s="9" t="s">
        <v>4314</v>
      </c>
      <c r="F166" s="9" t="s">
        <v>97</v>
      </c>
      <c r="G166" s="1">
        <v>1432.7266999999999</v>
      </c>
      <c r="H166" s="2">
        <v>812</v>
      </c>
      <c r="I166" s="2">
        <v>2</v>
      </c>
      <c r="J166" s="1">
        <v>1432.7002</v>
      </c>
      <c r="K166" s="1">
        <v>717.37059999999997</v>
      </c>
      <c r="L166" s="9" t="s">
        <v>98</v>
      </c>
      <c r="M166" s="2">
        <v>5.83</v>
      </c>
      <c r="N166" s="4">
        <v>5695.54</v>
      </c>
      <c r="O166" s="1">
        <f t="shared" si="2"/>
        <v>-28.005996775329468</v>
      </c>
      <c r="P166" s="6">
        <v>35.299999999999997</v>
      </c>
      <c r="Q166" s="6">
        <v>25.3</v>
      </c>
      <c r="R166" s="6">
        <v>9.5</v>
      </c>
      <c r="S166" s="6">
        <v>10.6</v>
      </c>
      <c r="T166" s="5">
        <v>2.9000000000000001E-2</v>
      </c>
      <c r="U166" s="1">
        <v>-2.6499999999999999E-2</v>
      </c>
      <c r="V166" s="1">
        <v>3.2282000000000002</v>
      </c>
    </row>
    <row r="167" spans="1:22" x14ac:dyDescent="0.25">
      <c r="A167" s="1">
        <v>0.98129999999999995</v>
      </c>
      <c r="B167" s="9" t="s">
        <v>4315</v>
      </c>
      <c r="C167" s="2">
        <v>3811</v>
      </c>
      <c r="D167" s="3" t="s">
        <v>520</v>
      </c>
      <c r="E167" s="9" t="s">
        <v>4314</v>
      </c>
      <c r="F167" s="9" t="s">
        <v>97</v>
      </c>
      <c r="G167" s="1">
        <v>1432.7266999999999</v>
      </c>
      <c r="H167" s="2">
        <v>813</v>
      </c>
      <c r="I167" s="2">
        <v>2</v>
      </c>
      <c r="J167" s="1">
        <v>1432.7113999999999</v>
      </c>
      <c r="K167" s="1">
        <v>717.37059999999997</v>
      </c>
      <c r="L167" s="9" t="s">
        <v>98</v>
      </c>
      <c r="M167" s="2">
        <v>5.83</v>
      </c>
      <c r="N167" s="4">
        <v>5728.54</v>
      </c>
      <c r="O167" s="1">
        <f t="shared" si="2"/>
        <v>-8.2173564452622756</v>
      </c>
      <c r="P167" s="6">
        <v>32.700000000000003</v>
      </c>
      <c r="Q167" s="6">
        <v>25.8</v>
      </c>
      <c r="R167" s="6">
        <v>9.5</v>
      </c>
      <c r="S167" s="6">
        <v>10.3</v>
      </c>
      <c r="T167" s="5">
        <v>1.2999999999999999E-2</v>
      </c>
      <c r="U167" s="1">
        <v>-1.5299999999999999E-2</v>
      </c>
      <c r="V167" s="1">
        <v>3.2635000000000001</v>
      </c>
    </row>
    <row r="168" spans="1:22" x14ac:dyDescent="0.25">
      <c r="A168" s="1">
        <v>0.99619999999999997</v>
      </c>
      <c r="B168" s="9" t="s">
        <v>4316</v>
      </c>
      <c r="C168" s="2">
        <v>3834</v>
      </c>
      <c r="D168" s="3" t="s">
        <v>174</v>
      </c>
      <c r="E168" s="9" t="s">
        <v>2176</v>
      </c>
      <c r="F168" s="9" t="s">
        <v>363</v>
      </c>
      <c r="G168" s="1">
        <v>1844.9707000000001</v>
      </c>
      <c r="H168" s="2">
        <v>612</v>
      </c>
      <c r="I168" s="2">
        <v>2</v>
      </c>
      <c r="J168" s="1">
        <v>1844.9407000000001</v>
      </c>
      <c r="K168" s="1">
        <v>923.49260000000004</v>
      </c>
      <c r="L168" s="9" t="s">
        <v>364</v>
      </c>
      <c r="M168" s="2">
        <v>8.59</v>
      </c>
      <c r="N168" s="4">
        <v>5761.74</v>
      </c>
      <c r="O168" s="1">
        <f t="shared" si="2"/>
        <v>-26.493890608000793</v>
      </c>
      <c r="P168" s="6">
        <v>42</v>
      </c>
      <c r="Q168" s="6">
        <v>28.5</v>
      </c>
      <c r="R168" s="6">
        <v>11.2</v>
      </c>
      <c r="S168" s="6">
        <v>10.6</v>
      </c>
      <c r="T168" s="5">
        <v>1.1000000000000001E-3</v>
      </c>
      <c r="U168" s="1">
        <v>-0.03</v>
      </c>
      <c r="V168" s="1">
        <v>4.4107000000000003</v>
      </c>
    </row>
    <row r="169" spans="1:22" x14ac:dyDescent="0.25">
      <c r="A169" s="1">
        <v>0.99929999999999997</v>
      </c>
      <c r="B169" s="9" t="s">
        <v>4317</v>
      </c>
      <c r="C169" s="2">
        <v>3855</v>
      </c>
      <c r="D169" s="3" t="s">
        <v>1419</v>
      </c>
      <c r="E169" s="9" t="s">
        <v>2176</v>
      </c>
      <c r="F169" s="9" t="s">
        <v>363</v>
      </c>
      <c r="G169" s="1">
        <v>1844.9707000000001</v>
      </c>
      <c r="H169" s="2">
        <v>614</v>
      </c>
      <c r="I169" s="2">
        <v>2</v>
      </c>
      <c r="J169" s="1">
        <v>1844.9431999999999</v>
      </c>
      <c r="K169" s="1">
        <v>923.49260000000004</v>
      </c>
      <c r="L169" s="9" t="s">
        <v>364</v>
      </c>
      <c r="M169" s="2">
        <v>8.59</v>
      </c>
      <c r="N169" s="4">
        <v>5795.84</v>
      </c>
      <c r="O169" s="1">
        <f t="shared" si="2"/>
        <v>-13.813659541604688</v>
      </c>
      <c r="P169" s="6">
        <v>53.1</v>
      </c>
      <c r="Q169" s="6">
        <v>31.5</v>
      </c>
      <c r="R169" s="6">
        <v>11.3</v>
      </c>
      <c r="S169" s="6">
        <v>11.2</v>
      </c>
      <c r="T169" s="5">
        <v>2.4000000000000001E-5</v>
      </c>
      <c r="U169" s="1">
        <v>-2.75E-2</v>
      </c>
      <c r="V169" s="1">
        <v>6.2820999999999998</v>
      </c>
    </row>
    <row r="170" spans="1:22" x14ac:dyDescent="0.25">
      <c r="A170" s="1">
        <v>0.97140000000000004</v>
      </c>
      <c r="B170" s="9" t="s">
        <v>4318</v>
      </c>
      <c r="C170" s="2">
        <v>3858</v>
      </c>
      <c r="D170" s="3" t="s">
        <v>423</v>
      </c>
      <c r="E170" s="9" t="s">
        <v>454</v>
      </c>
      <c r="F170" s="9" t="s">
        <v>455</v>
      </c>
      <c r="G170" s="1">
        <v>1340.7117000000001</v>
      </c>
      <c r="H170" s="2">
        <v>267</v>
      </c>
      <c r="I170" s="2">
        <v>2</v>
      </c>
      <c r="J170" s="1">
        <v>1340.6929</v>
      </c>
      <c r="K170" s="1">
        <v>671.36310000000003</v>
      </c>
      <c r="L170" s="9" t="s">
        <v>456</v>
      </c>
      <c r="M170" s="2">
        <v>6.22</v>
      </c>
      <c r="N170" s="4">
        <v>5801.14</v>
      </c>
      <c r="O170" s="1">
        <f t="shared" si="2"/>
        <v>-21.758868951864223</v>
      </c>
      <c r="P170" s="6">
        <v>35.5</v>
      </c>
      <c r="Q170" s="6">
        <v>27.9</v>
      </c>
      <c r="R170" s="6">
        <v>9.6</v>
      </c>
      <c r="S170" s="6">
        <v>12</v>
      </c>
      <c r="T170" s="5">
        <v>0.11</v>
      </c>
      <c r="U170" s="1">
        <v>-1.8800000000000001E-2</v>
      </c>
      <c r="V170" s="1">
        <v>2.3294999999999999</v>
      </c>
    </row>
    <row r="171" spans="1:22" x14ac:dyDescent="0.25">
      <c r="A171" s="1">
        <v>0.96730000000000005</v>
      </c>
      <c r="B171" s="9" t="s">
        <v>4319</v>
      </c>
      <c r="C171" s="2">
        <v>3872</v>
      </c>
      <c r="D171" s="3" t="s">
        <v>260</v>
      </c>
      <c r="E171" s="9" t="s">
        <v>4320</v>
      </c>
      <c r="F171" s="9" t="s">
        <v>2160</v>
      </c>
      <c r="G171" s="1">
        <v>1139.5907</v>
      </c>
      <c r="H171" s="2">
        <v>616</v>
      </c>
      <c r="I171" s="2">
        <v>2</v>
      </c>
      <c r="J171" s="1">
        <v>1139.5618999999999</v>
      </c>
      <c r="K171" s="1">
        <v>570.80259999999998</v>
      </c>
      <c r="L171" s="9" t="s">
        <v>2161</v>
      </c>
      <c r="M171" s="2">
        <v>9.76</v>
      </c>
      <c r="N171" s="4">
        <v>5824.54</v>
      </c>
      <c r="O171" s="1">
        <f t="shared" si="2"/>
        <v>-17.373244467711721</v>
      </c>
      <c r="P171" s="6">
        <v>33.9</v>
      </c>
      <c r="Q171" s="6">
        <v>25.7</v>
      </c>
      <c r="R171" s="6">
        <v>10.5</v>
      </c>
      <c r="S171" s="6">
        <v>11.6</v>
      </c>
      <c r="T171" s="5">
        <v>0.14000000000000001</v>
      </c>
      <c r="U171" s="1">
        <v>-2.8799999999999999E-2</v>
      </c>
      <c r="V171" s="1">
        <v>2.7387000000000001</v>
      </c>
    </row>
    <row r="172" spans="1:22" x14ac:dyDescent="0.25">
      <c r="A172" s="1">
        <v>0.99680000000000002</v>
      </c>
      <c r="B172" s="9" t="s">
        <v>4321</v>
      </c>
      <c r="C172" s="2">
        <v>3877</v>
      </c>
      <c r="D172" s="3" t="s">
        <v>178</v>
      </c>
      <c r="E172" s="9" t="s">
        <v>454</v>
      </c>
      <c r="F172" s="9" t="s">
        <v>455</v>
      </c>
      <c r="G172" s="1">
        <v>1340.7117000000001</v>
      </c>
      <c r="H172" s="2">
        <v>339</v>
      </c>
      <c r="I172" s="2">
        <v>2</v>
      </c>
      <c r="J172" s="1">
        <v>1340.6832999999999</v>
      </c>
      <c r="K172" s="1">
        <v>671.36310000000003</v>
      </c>
      <c r="L172" s="9" t="s">
        <v>456</v>
      </c>
      <c r="M172" s="2">
        <v>6.22</v>
      </c>
      <c r="N172" s="4">
        <v>5834.19</v>
      </c>
      <c r="O172" s="1">
        <f t="shared" si="2"/>
        <v>-14.830876104344112</v>
      </c>
      <c r="P172" s="6">
        <v>39</v>
      </c>
      <c r="Q172" s="6">
        <v>24.9</v>
      </c>
      <c r="R172" s="6">
        <v>10</v>
      </c>
      <c r="S172" s="6">
        <v>11.7</v>
      </c>
      <c r="T172" s="5">
        <v>4.0000000000000001E-3</v>
      </c>
      <c r="U172" s="1">
        <v>-2.8400000000000002E-2</v>
      </c>
      <c r="V172" s="1">
        <v>4.4546000000000001</v>
      </c>
    </row>
    <row r="173" spans="1:22" x14ac:dyDescent="0.25">
      <c r="A173" s="1">
        <v>0.99829999999999997</v>
      </c>
      <c r="B173" s="9" t="s">
        <v>4322</v>
      </c>
      <c r="C173" s="2">
        <v>3975</v>
      </c>
      <c r="D173" s="3" t="s">
        <v>702</v>
      </c>
      <c r="E173" s="9" t="s">
        <v>2208</v>
      </c>
      <c r="F173" s="9" t="s">
        <v>257</v>
      </c>
      <c r="G173" s="1">
        <v>1344.6487</v>
      </c>
      <c r="H173" s="2">
        <v>400</v>
      </c>
      <c r="I173" s="2">
        <v>2</v>
      </c>
      <c r="J173" s="1">
        <v>1344.6314</v>
      </c>
      <c r="K173" s="1">
        <v>673.33159999999998</v>
      </c>
      <c r="L173" s="9" t="s">
        <v>258</v>
      </c>
      <c r="M173" s="2">
        <v>4.24</v>
      </c>
      <c r="N173" s="4">
        <v>5982.2</v>
      </c>
      <c r="O173" s="1">
        <f t="shared" si="2"/>
        <v>-16.894907981439072</v>
      </c>
      <c r="P173" s="6">
        <v>34.9</v>
      </c>
      <c r="Q173" s="6">
        <v>21.9</v>
      </c>
      <c r="R173" s="6">
        <v>11.2</v>
      </c>
      <c r="S173" s="6">
        <v>9.6999999999999993</v>
      </c>
      <c r="T173" s="5">
        <v>5.2999999999999998E-4</v>
      </c>
      <c r="U173" s="1">
        <v>-1.7299999999999999E-2</v>
      </c>
      <c r="V173" s="1">
        <v>5.8357000000000001</v>
      </c>
    </row>
    <row r="174" spans="1:22" x14ac:dyDescent="0.25">
      <c r="A174" s="1">
        <v>0.99839999999999995</v>
      </c>
      <c r="B174" s="9" t="s">
        <v>4323</v>
      </c>
      <c r="C174" s="2">
        <v>4035</v>
      </c>
      <c r="D174" s="3" t="s">
        <v>93</v>
      </c>
      <c r="E174" s="9" t="s">
        <v>435</v>
      </c>
      <c r="F174" s="9" t="s">
        <v>2264</v>
      </c>
      <c r="G174" s="1">
        <v>1387.7637</v>
      </c>
      <c r="H174" s="2">
        <v>620</v>
      </c>
      <c r="I174" s="2">
        <v>2</v>
      </c>
      <c r="J174" s="1">
        <v>1387.7276999999999</v>
      </c>
      <c r="K174" s="1">
        <v>694.88909999999998</v>
      </c>
      <c r="L174" s="9" t="s">
        <v>181</v>
      </c>
      <c r="M174" s="2">
        <v>4.8499999999999996</v>
      </c>
      <c r="N174" s="4">
        <v>6060.1</v>
      </c>
      <c r="O174" s="1">
        <f t="shared" si="2"/>
        <v>-13.801312064955344</v>
      </c>
      <c r="P174" s="6">
        <v>49.3</v>
      </c>
      <c r="Q174" s="6">
        <v>32.5</v>
      </c>
      <c r="R174" s="6">
        <v>10.5</v>
      </c>
      <c r="S174" s="6">
        <v>11.4</v>
      </c>
      <c r="T174" s="5">
        <v>1.2999999999999999E-3</v>
      </c>
      <c r="U174" s="1">
        <v>-3.5999999999999997E-2</v>
      </c>
      <c r="V174" s="1">
        <v>5.2497999999999996</v>
      </c>
    </row>
    <row r="175" spans="1:22" x14ac:dyDescent="0.25">
      <c r="A175" s="1">
        <v>0.99839999999999995</v>
      </c>
      <c r="B175" s="9" t="s">
        <v>4324</v>
      </c>
      <c r="C175" s="2">
        <v>4059</v>
      </c>
      <c r="D175" s="3" t="s">
        <v>93</v>
      </c>
      <c r="E175" s="9" t="s">
        <v>435</v>
      </c>
      <c r="F175" s="9" t="s">
        <v>436</v>
      </c>
      <c r="G175" s="1">
        <v>1387.7637</v>
      </c>
      <c r="H175" s="2">
        <v>270</v>
      </c>
      <c r="I175" s="2">
        <v>2</v>
      </c>
      <c r="J175" s="1">
        <v>1387.7366999999999</v>
      </c>
      <c r="K175" s="1">
        <v>694.88909999999998</v>
      </c>
      <c r="L175" s="9" t="s">
        <v>181</v>
      </c>
      <c r="M175" s="2">
        <v>4.8499999999999996</v>
      </c>
      <c r="N175" s="4">
        <v>6091.56</v>
      </c>
      <c r="O175" s="1">
        <f t="shared" si="2"/>
        <v>-18.123701008375424</v>
      </c>
      <c r="P175" s="6">
        <v>49.8</v>
      </c>
      <c r="Q175" s="6">
        <v>30.3</v>
      </c>
      <c r="R175" s="6">
        <v>10.4</v>
      </c>
      <c r="S175" s="6">
        <v>11.3</v>
      </c>
      <c r="T175" s="5">
        <v>6.0999999999999997E-4</v>
      </c>
      <c r="U175" s="1">
        <v>-2.7E-2</v>
      </c>
      <c r="V175" s="1">
        <v>5.8598999999999997</v>
      </c>
    </row>
    <row r="176" spans="1:22" x14ac:dyDescent="0.25">
      <c r="A176" s="1">
        <v>0.98919999999999997</v>
      </c>
      <c r="B176" s="9" t="s">
        <v>4325</v>
      </c>
      <c r="C176" s="2">
        <v>4064</v>
      </c>
      <c r="D176" s="3" t="s">
        <v>316</v>
      </c>
      <c r="E176" s="9" t="s">
        <v>2255</v>
      </c>
      <c r="F176" s="9" t="s">
        <v>540</v>
      </c>
      <c r="G176" s="1">
        <v>1596.8257000000001</v>
      </c>
      <c r="H176" s="2">
        <v>271</v>
      </c>
      <c r="I176" s="2">
        <v>2</v>
      </c>
      <c r="J176" s="1">
        <v>1596.8028999999999</v>
      </c>
      <c r="K176" s="1">
        <v>799.42010000000005</v>
      </c>
      <c r="L176" s="9" t="s">
        <v>514</v>
      </c>
      <c r="M176" s="2">
        <v>8.59</v>
      </c>
      <c r="N176" s="4">
        <v>6100.06</v>
      </c>
      <c r="O176" s="1">
        <f t="shared" si="2"/>
        <v>-15.218017707658824</v>
      </c>
      <c r="P176" s="6">
        <v>37.700000000000003</v>
      </c>
      <c r="Q176" s="6">
        <v>31.8</v>
      </c>
      <c r="R176" s="6">
        <v>10.7</v>
      </c>
      <c r="S176" s="6">
        <v>9.5</v>
      </c>
      <c r="T176" s="5">
        <v>0.01</v>
      </c>
      <c r="U176" s="1">
        <v>-2.2800000000000001E-2</v>
      </c>
      <c r="V176" s="1">
        <v>3.0385</v>
      </c>
    </row>
    <row r="177" spans="1:22" x14ac:dyDescent="0.25">
      <c r="A177" s="1">
        <v>0.97550000000000003</v>
      </c>
      <c r="B177" s="9" t="s">
        <v>4326</v>
      </c>
      <c r="C177" s="2">
        <v>4101</v>
      </c>
      <c r="D177" s="3" t="s">
        <v>298</v>
      </c>
      <c r="E177" s="9" t="s">
        <v>4327</v>
      </c>
      <c r="F177" s="9" t="s">
        <v>222</v>
      </c>
      <c r="G177" s="1">
        <v>1072.6137000000001</v>
      </c>
      <c r="H177" s="2">
        <v>622</v>
      </c>
      <c r="I177" s="2">
        <v>2</v>
      </c>
      <c r="J177" s="1">
        <v>1072.6011000000001</v>
      </c>
      <c r="K177" s="1">
        <v>537.31410000000005</v>
      </c>
      <c r="L177" s="9" t="s">
        <v>223</v>
      </c>
      <c r="M177" s="2">
        <v>11</v>
      </c>
      <c r="N177" s="4">
        <v>6154.81</v>
      </c>
      <c r="O177" s="1">
        <f t="shared" si="2"/>
        <v>-18.139795937966163</v>
      </c>
      <c r="P177" s="6">
        <v>36.5</v>
      </c>
      <c r="Q177" s="6">
        <v>28.5</v>
      </c>
      <c r="R177" s="6">
        <v>9.1</v>
      </c>
      <c r="S177" s="6">
        <v>12.3</v>
      </c>
      <c r="T177" s="5">
        <v>0.1</v>
      </c>
      <c r="U177" s="1">
        <v>-1.26E-2</v>
      </c>
      <c r="V177" s="1">
        <v>2.9424000000000001</v>
      </c>
    </row>
    <row r="178" spans="1:22" x14ac:dyDescent="0.25">
      <c r="A178" s="1">
        <v>0.99360000000000004</v>
      </c>
      <c r="B178" s="9" t="s">
        <v>4328</v>
      </c>
      <c r="C178" s="2">
        <v>4194</v>
      </c>
      <c r="D178" s="3" t="s">
        <v>326</v>
      </c>
      <c r="E178" s="9" t="s">
        <v>4329</v>
      </c>
      <c r="F178" s="9" t="s">
        <v>2392</v>
      </c>
      <c r="G178" s="1">
        <v>1248.6537000000001</v>
      </c>
      <c r="H178" s="2">
        <v>623</v>
      </c>
      <c r="I178" s="2">
        <v>2</v>
      </c>
      <c r="J178" s="1">
        <v>1248.6334999999999</v>
      </c>
      <c r="K178" s="1">
        <v>625.33410000000003</v>
      </c>
      <c r="L178" s="9" t="s">
        <v>2393</v>
      </c>
      <c r="M178" s="2">
        <v>5.96</v>
      </c>
      <c r="N178" s="4">
        <v>6280.11</v>
      </c>
      <c r="O178" s="1">
        <f t="shared" si="2"/>
        <v>-11.828852191979346</v>
      </c>
      <c r="P178" s="6">
        <v>42.5</v>
      </c>
      <c r="Q178" s="6">
        <v>29.3</v>
      </c>
      <c r="R178" s="6">
        <v>10.5</v>
      </c>
      <c r="S178" s="6">
        <v>12</v>
      </c>
      <c r="T178" s="5">
        <v>1.9E-2</v>
      </c>
      <c r="U178" s="1">
        <v>-2.0199999999999999E-2</v>
      </c>
      <c r="V178" s="1">
        <v>3.9767999999999999</v>
      </c>
    </row>
    <row r="179" spans="1:22" x14ac:dyDescent="0.25">
      <c r="A179" s="1">
        <v>0.99950000000000006</v>
      </c>
      <c r="B179" s="9" t="s">
        <v>4330</v>
      </c>
      <c r="C179" s="2">
        <v>4199</v>
      </c>
      <c r="D179" s="3" t="s">
        <v>93</v>
      </c>
      <c r="E179" s="9" t="s">
        <v>1493</v>
      </c>
      <c r="F179" s="9" t="s">
        <v>2773</v>
      </c>
      <c r="G179" s="1">
        <v>1400.7697000000001</v>
      </c>
      <c r="H179" s="2">
        <v>818</v>
      </c>
      <c r="I179" s="2">
        <v>2</v>
      </c>
      <c r="J179" s="1">
        <v>1400.7454</v>
      </c>
      <c r="K179" s="1">
        <v>701.39210000000003</v>
      </c>
      <c r="L179" s="9" t="s">
        <v>660</v>
      </c>
      <c r="M179" s="2">
        <v>5.96</v>
      </c>
      <c r="N179" s="4">
        <v>6290.76</v>
      </c>
      <c r="O179" s="1">
        <f t="shared" si="2"/>
        <v>-13.200038882889102</v>
      </c>
      <c r="P179" s="6">
        <v>50.1</v>
      </c>
      <c r="Q179" s="6">
        <v>36.6</v>
      </c>
      <c r="R179" s="6">
        <v>11.5</v>
      </c>
      <c r="S179" s="6">
        <v>12.1</v>
      </c>
      <c r="T179" s="5">
        <v>2.8E-3</v>
      </c>
      <c r="U179" s="1">
        <v>-2.4299999999999999E-2</v>
      </c>
      <c r="V179" s="1">
        <v>4.5355999999999996</v>
      </c>
    </row>
    <row r="180" spans="1:22" x14ac:dyDescent="0.25">
      <c r="A180" s="1">
        <v>0.99590000000000001</v>
      </c>
      <c r="B180" s="9" t="s">
        <v>4331</v>
      </c>
      <c r="C180" s="2">
        <v>4217</v>
      </c>
      <c r="D180" s="3" t="s">
        <v>78</v>
      </c>
      <c r="E180" s="9" t="s">
        <v>4329</v>
      </c>
      <c r="F180" s="9" t="s">
        <v>2392</v>
      </c>
      <c r="G180" s="1">
        <v>1248.6537000000001</v>
      </c>
      <c r="H180" s="2">
        <v>819</v>
      </c>
      <c r="I180" s="2">
        <v>2</v>
      </c>
      <c r="J180" s="1">
        <v>1248.6393</v>
      </c>
      <c r="K180" s="1">
        <v>625.33410000000003</v>
      </c>
      <c r="L180" s="9" t="s">
        <v>2393</v>
      </c>
      <c r="M180" s="2">
        <v>5.96</v>
      </c>
      <c r="N180" s="4">
        <v>6312.56</v>
      </c>
      <c r="O180" s="1">
        <f t="shared" si="2"/>
        <v>-18.470230031729763</v>
      </c>
      <c r="P180" s="6">
        <v>38.1</v>
      </c>
      <c r="Q180" s="6">
        <v>27</v>
      </c>
      <c r="R180" s="6">
        <v>10.1</v>
      </c>
      <c r="S180" s="6">
        <v>11</v>
      </c>
      <c r="T180" s="5">
        <v>6.1999999999999998E-3</v>
      </c>
      <c r="U180" s="1">
        <v>-1.44E-2</v>
      </c>
      <c r="V180" s="1">
        <v>4.4459999999999997</v>
      </c>
    </row>
    <row r="181" spans="1:22" x14ac:dyDescent="0.25">
      <c r="A181" s="1">
        <v>0.96250000000000002</v>
      </c>
      <c r="B181" s="9" t="s">
        <v>4332</v>
      </c>
      <c r="C181" s="2">
        <v>4227</v>
      </c>
      <c r="D181" s="3" t="s">
        <v>78</v>
      </c>
      <c r="E181" s="9" t="s">
        <v>4333</v>
      </c>
      <c r="F181" s="9" t="s">
        <v>4334</v>
      </c>
      <c r="G181" s="1">
        <v>1271.7307000000001</v>
      </c>
      <c r="H181" s="2">
        <v>273</v>
      </c>
      <c r="I181" s="2">
        <v>2</v>
      </c>
      <c r="J181" s="1">
        <v>1271.6984</v>
      </c>
      <c r="K181" s="1">
        <v>636.87260000000003</v>
      </c>
      <c r="L181" s="9" t="s">
        <v>4335</v>
      </c>
      <c r="M181" s="2">
        <v>8.59</v>
      </c>
      <c r="N181" s="4">
        <v>6326.46</v>
      </c>
      <c r="O181" s="1">
        <f t="shared" si="2"/>
        <v>-10.663944131526996</v>
      </c>
      <c r="P181" s="6">
        <v>37</v>
      </c>
      <c r="Q181" s="6">
        <v>28</v>
      </c>
      <c r="R181" s="6">
        <v>8.9</v>
      </c>
      <c r="S181" s="6">
        <v>10.1</v>
      </c>
      <c r="T181" s="5">
        <v>0.31</v>
      </c>
      <c r="U181" s="1">
        <v>-3.2300000000000002E-2</v>
      </c>
      <c r="V181" s="1">
        <v>2.2233000000000001</v>
      </c>
    </row>
    <row r="182" spans="1:22" x14ac:dyDescent="0.25">
      <c r="A182" s="1">
        <v>0.97560000000000002</v>
      </c>
      <c r="B182" s="9" t="s">
        <v>4336</v>
      </c>
      <c r="C182" s="2">
        <v>4250</v>
      </c>
      <c r="D182" s="3" t="s">
        <v>306</v>
      </c>
      <c r="E182" s="9" t="s">
        <v>4337</v>
      </c>
      <c r="F182" s="9" t="s">
        <v>4338</v>
      </c>
      <c r="G182" s="1">
        <v>1183.6306999999999</v>
      </c>
      <c r="H182" s="2">
        <v>274</v>
      </c>
      <c r="I182" s="2">
        <v>2</v>
      </c>
      <c r="J182" s="1">
        <v>1183.605</v>
      </c>
      <c r="K182" s="1">
        <v>592.82259999999997</v>
      </c>
      <c r="L182" s="9" t="s">
        <v>4339</v>
      </c>
      <c r="M182" s="2">
        <v>8.5</v>
      </c>
      <c r="N182" s="4">
        <v>6359.82</v>
      </c>
      <c r="O182" s="1">
        <f t="shared" si="2"/>
        <v>-16.242685647941304</v>
      </c>
      <c r="P182" s="6">
        <v>25.2</v>
      </c>
      <c r="Q182" s="6">
        <v>18.5</v>
      </c>
      <c r="R182" s="6">
        <v>7.9</v>
      </c>
      <c r="S182" s="6">
        <v>6.7</v>
      </c>
      <c r="T182" s="5">
        <v>0.33</v>
      </c>
      <c r="U182" s="1">
        <v>-2.5700000000000001E-2</v>
      </c>
      <c r="V182" s="1">
        <v>2.5312000000000001</v>
      </c>
    </row>
    <row r="183" spans="1:22" x14ac:dyDescent="0.25">
      <c r="A183" s="1">
        <v>0.99729999999999996</v>
      </c>
      <c r="B183" s="9" t="s">
        <v>4340</v>
      </c>
      <c r="C183" s="2">
        <v>4268</v>
      </c>
      <c r="D183" s="3" t="s">
        <v>423</v>
      </c>
      <c r="E183" s="9" t="s">
        <v>2322</v>
      </c>
      <c r="F183" s="9" t="s">
        <v>2323</v>
      </c>
      <c r="G183" s="1">
        <v>1462.7487000000001</v>
      </c>
      <c r="H183" s="2">
        <v>820</v>
      </c>
      <c r="I183" s="2">
        <v>2</v>
      </c>
      <c r="J183" s="1">
        <v>1462.7316000000001</v>
      </c>
      <c r="K183" s="1">
        <v>732.38160000000005</v>
      </c>
      <c r="L183" s="9" t="s">
        <v>2324</v>
      </c>
      <c r="M183" s="2">
        <v>5.84</v>
      </c>
      <c r="N183" s="4">
        <v>6389.77</v>
      </c>
      <c r="O183" s="1">
        <f t="shared" si="2"/>
        <v>-14.889128510612862</v>
      </c>
      <c r="P183" s="6">
        <v>38.299999999999997</v>
      </c>
      <c r="Q183" s="6">
        <v>25.9</v>
      </c>
      <c r="R183" s="6">
        <v>10.4</v>
      </c>
      <c r="S183" s="6">
        <v>8.5</v>
      </c>
      <c r="T183" s="5">
        <v>1.1999999999999999E-3</v>
      </c>
      <c r="U183" s="1">
        <v>-1.7100000000000001E-2</v>
      </c>
      <c r="V183" s="1">
        <v>4.8212000000000002</v>
      </c>
    </row>
    <row r="184" spans="1:22" x14ac:dyDescent="0.25">
      <c r="A184" s="1">
        <v>0.99360000000000004</v>
      </c>
      <c r="B184" s="9" t="s">
        <v>4341</v>
      </c>
      <c r="C184" s="2">
        <v>4283</v>
      </c>
      <c r="D184" s="3" t="s">
        <v>423</v>
      </c>
      <c r="E184" s="9" t="s">
        <v>454</v>
      </c>
      <c r="F184" s="9" t="s">
        <v>455</v>
      </c>
      <c r="G184" s="1">
        <v>1340.7117000000001</v>
      </c>
      <c r="H184" s="2">
        <v>275</v>
      </c>
      <c r="I184" s="2">
        <v>2</v>
      </c>
      <c r="J184" s="1">
        <v>1340.6926000000001</v>
      </c>
      <c r="K184" s="1">
        <v>671.36310000000003</v>
      </c>
      <c r="L184" s="9" t="s">
        <v>456</v>
      </c>
      <c r="M184" s="2">
        <v>6.22</v>
      </c>
      <c r="N184" s="4">
        <v>6410.12</v>
      </c>
      <c r="O184" s="1">
        <f t="shared" si="2"/>
        <v>-14.001365282065695</v>
      </c>
      <c r="P184" s="6">
        <v>36</v>
      </c>
      <c r="Q184" s="6">
        <v>24.4</v>
      </c>
      <c r="R184" s="6">
        <v>9.6999999999999993</v>
      </c>
      <c r="S184" s="6">
        <v>12.5</v>
      </c>
      <c r="T184" s="5">
        <v>1.9E-2</v>
      </c>
      <c r="U184" s="1">
        <v>-1.9099999999999999E-2</v>
      </c>
      <c r="V184" s="1">
        <v>3.5886999999999998</v>
      </c>
    </row>
    <row r="185" spans="1:22" x14ac:dyDescent="0.25">
      <c r="A185" s="1">
        <v>0.99919999999999998</v>
      </c>
      <c r="B185" s="9" t="s">
        <v>4342</v>
      </c>
      <c r="C185" s="2">
        <v>4290</v>
      </c>
      <c r="D185" s="3" t="s">
        <v>178</v>
      </c>
      <c r="E185" s="9" t="s">
        <v>2322</v>
      </c>
      <c r="F185" s="9" t="s">
        <v>2323</v>
      </c>
      <c r="G185" s="1">
        <v>1462.7487000000001</v>
      </c>
      <c r="H185" s="2">
        <v>625</v>
      </c>
      <c r="I185" s="2">
        <v>2</v>
      </c>
      <c r="J185" s="1">
        <v>1462.7336</v>
      </c>
      <c r="K185" s="1">
        <v>732.38160000000005</v>
      </c>
      <c r="L185" s="9" t="s">
        <v>2324</v>
      </c>
      <c r="M185" s="2">
        <v>5.84</v>
      </c>
      <c r="N185" s="4">
        <v>6420.92</v>
      </c>
      <c r="O185" s="1">
        <f t="shared" si="2"/>
        <v>-25.227635613432735</v>
      </c>
      <c r="P185" s="6">
        <v>40.6</v>
      </c>
      <c r="Q185" s="6">
        <v>25.9</v>
      </c>
      <c r="R185" s="6">
        <v>10.8</v>
      </c>
      <c r="S185" s="6">
        <v>8.6</v>
      </c>
      <c r="T185" s="5">
        <v>9.6000000000000002E-5</v>
      </c>
      <c r="U185" s="1">
        <v>-1.5100000000000001E-2</v>
      </c>
      <c r="V185" s="1">
        <v>6.1120000000000001</v>
      </c>
    </row>
    <row r="186" spans="1:22" x14ac:dyDescent="0.25">
      <c r="A186" s="1">
        <v>0.97460000000000002</v>
      </c>
      <c r="B186" s="9" t="s">
        <v>4343</v>
      </c>
      <c r="C186" s="2">
        <v>4302</v>
      </c>
      <c r="D186" s="3" t="s">
        <v>178</v>
      </c>
      <c r="E186" s="9" t="s">
        <v>2322</v>
      </c>
      <c r="F186" s="9" t="s">
        <v>2323</v>
      </c>
      <c r="G186" s="1">
        <v>1462.7487000000001</v>
      </c>
      <c r="H186" s="2">
        <v>821</v>
      </c>
      <c r="I186" s="2">
        <v>2</v>
      </c>
      <c r="J186" s="1">
        <v>1462.9685999999999</v>
      </c>
      <c r="K186" s="1">
        <v>732.38160000000005</v>
      </c>
      <c r="L186" s="9" t="s">
        <v>2324</v>
      </c>
      <c r="M186" s="2">
        <v>5.84</v>
      </c>
      <c r="N186" s="4">
        <v>6441.27</v>
      </c>
      <c r="O186" s="1">
        <f t="shared" si="2"/>
        <v>-21.150998617588606</v>
      </c>
      <c r="P186" s="6">
        <v>42.6</v>
      </c>
      <c r="Q186" s="6">
        <v>26.2</v>
      </c>
      <c r="R186" s="6">
        <v>10.5</v>
      </c>
      <c r="S186" s="6">
        <v>8.6999999999999993</v>
      </c>
      <c r="T186" s="5">
        <v>2.9E-5</v>
      </c>
      <c r="U186" s="1">
        <v>0.21990000000000001</v>
      </c>
      <c r="V186" s="1">
        <v>6.7449000000000003</v>
      </c>
    </row>
    <row r="187" spans="1:22" x14ac:dyDescent="0.25">
      <c r="A187" s="1">
        <v>0.998</v>
      </c>
      <c r="B187" s="9" t="s">
        <v>4344</v>
      </c>
      <c r="C187" s="2">
        <v>4304</v>
      </c>
      <c r="D187" s="3" t="s">
        <v>178</v>
      </c>
      <c r="E187" s="9" t="s">
        <v>454</v>
      </c>
      <c r="F187" s="9" t="s">
        <v>552</v>
      </c>
      <c r="G187" s="1">
        <v>1340.7117000000001</v>
      </c>
      <c r="H187" s="2">
        <v>626</v>
      </c>
      <c r="I187" s="2">
        <v>2</v>
      </c>
      <c r="J187" s="1">
        <v>1340.6857</v>
      </c>
      <c r="K187" s="1">
        <v>671.36310000000003</v>
      </c>
      <c r="L187" s="9" t="s">
        <v>456</v>
      </c>
      <c r="M187" s="2">
        <v>6.22</v>
      </c>
      <c r="N187" s="4">
        <v>6442.32</v>
      </c>
      <c r="O187" s="1">
        <f t="shared" si="2"/>
        <v>-12.846567723837705</v>
      </c>
      <c r="P187" s="6">
        <v>39.200000000000003</v>
      </c>
      <c r="Q187" s="6">
        <v>24.5</v>
      </c>
      <c r="R187" s="6">
        <v>9.6999999999999993</v>
      </c>
      <c r="S187" s="6">
        <v>12.1</v>
      </c>
      <c r="T187" s="5">
        <v>1.2999999999999999E-3</v>
      </c>
      <c r="U187" s="1">
        <v>-2.5999999999999999E-2</v>
      </c>
      <c r="V187" s="1">
        <v>5.0130999999999997</v>
      </c>
    </row>
    <row r="188" spans="1:22" x14ac:dyDescent="0.25">
      <c r="A188" s="1">
        <v>0.99839999999999995</v>
      </c>
      <c r="B188" s="9" t="s">
        <v>4345</v>
      </c>
      <c r="C188" s="2">
        <v>4310</v>
      </c>
      <c r="D188" s="3" t="s">
        <v>423</v>
      </c>
      <c r="E188" s="9" t="s">
        <v>2322</v>
      </c>
      <c r="F188" s="9" t="s">
        <v>2323</v>
      </c>
      <c r="G188" s="1">
        <v>1462.749</v>
      </c>
      <c r="H188" s="2">
        <v>822</v>
      </c>
      <c r="I188" s="2">
        <v>2</v>
      </c>
      <c r="J188" s="1">
        <v>1462.7397000000001</v>
      </c>
      <c r="K188" s="1">
        <v>732.3818</v>
      </c>
      <c r="L188" s="9" t="s">
        <v>2324</v>
      </c>
      <c r="M188" s="2">
        <v>5.84</v>
      </c>
      <c r="N188" s="4">
        <v>6453.07</v>
      </c>
      <c r="O188" s="1">
        <f t="shared" si="2"/>
        <v>-25.903413940440281</v>
      </c>
      <c r="P188" s="6">
        <v>38.6</v>
      </c>
      <c r="Q188" s="6">
        <v>27.6</v>
      </c>
      <c r="R188" s="6">
        <v>10.4</v>
      </c>
      <c r="S188" s="6">
        <v>9.1999999999999993</v>
      </c>
      <c r="T188" s="5">
        <v>2.4000000000000001E-4</v>
      </c>
      <c r="U188" s="1">
        <v>-9.2999999999999992E-3</v>
      </c>
      <c r="V188" s="1">
        <v>5.3632999999999997</v>
      </c>
    </row>
    <row r="189" spans="1:22" x14ac:dyDescent="0.25">
      <c r="A189" s="1">
        <v>0.99809999999999999</v>
      </c>
      <c r="B189" s="9" t="s">
        <v>4346</v>
      </c>
      <c r="C189" s="2">
        <v>4326</v>
      </c>
      <c r="D189" s="3" t="s">
        <v>280</v>
      </c>
      <c r="E189" s="9" t="s">
        <v>454</v>
      </c>
      <c r="F189" s="9" t="s">
        <v>552</v>
      </c>
      <c r="G189" s="1">
        <v>1340.7121999999999</v>
      </c>
      <c r="H189" s="2">
        <v>627</v>
      </c>
      <c r="I189" s="2">
        <v>2</v>
      </c>
      <c r="J189" s="1">
        <v>1340.7102</v>
      </c>
      <c r="K189" s="1">
        <v>671.36339999999996</v>
      </c>
      <c r="L189" s="9" t="s">
        <v>456</v>
      </c>
      <c r="M189" s="2">
        <v>6.22</v>
      </c>
      <c r="N189" s="4">
        <v>6472.52</v>
      </c>
      <c r="O189" s="1">
        <f t="shared" si="2"/>
        <v>-19.427560455330212</v>
      </c>
      <c r="P189" s="6">
        <v>43</v>
      </c>
      <c r="Q189" s="6">
        <v>27.5</v>
      </c>
      <c r="R189" s="6">
        <v>9.9</v>
      </c>
      <c r="S189" s="6">
        <v>12</v>
      </c>
      <c r="T189" s="5">
        <v>9.6000000000000002E-4</v>
      </c>
      <c r="U189" s="1">
        <v>-2E-3</v>
      </c>
      <c r="V189" s="1">
        <v>5.0831</v>
      </c>
    </row>
    <row r="190" spans="1:22" x14ac:dyDescent="0.25">
      <c r="A190" s="1">
        <v>0.99950000000000006</v>
      </c>
      <c r="B190" s="9" t="s">
        <v>4347</v>
      </c>
      <c r="C190" s="2">
        <v>4331</v>
      </c>
      <c r="D190" s="3" t="s">
        <v>280</v>
      </c>
      <c r="E190" s="9" t="s">
        <v>2322</v>
      </c>
      <c r="F190" s="9" t="s">
        <v>2323</v>
      </c>
      <c r="G190" s="1">
        <v>1462.7487000000001</v>
      </c>
      <c r="H190" s="2">
        <v>823</v>
      </c>
      <c r="I190" s="2">
        <v>2</v>
      </c>
      <c r="J190" s="1">
        <v>1462.7279000000001</v>
      </c>
      <c r="K190" s="1">
        <v>732.38160000000005</v>
      </c>
      <c r="L190" s="9" t="s">
        <v>2324</v>
      </c>
      <c r="M190" s="2">
        <v>5.84</v>
      </c>
      <c r="N190" s="4">
        <v>6483.22</v>
      </c>
      <c r="O190" s="1">
        <f t="shared" si="2"/>
        <v>-14.260336961755153</v>
      </c>
      <c r="P190" s="6">
        <v>44.3</v>
      </c>
      <c r="Q190" s="6">
        <v>27.2</v>
      </c>
      <c r="R190" s="6">
        <v>10.199999999999999</v>
      </c>
      <c r="S190" s="6">
        <v>8.6</v>
      </c>
      <c r="T190" s="5">
        <v>1.5E-5</v>
      </c>
      <c r="U190" s="1">
        <v>-2.0799999999999999E-2</v>
      </c>
      <c r="V190" s="1">
        <v>7.0419999999999998</v>
      </c>
    </row>
    <row r="191" spans="1:22" x14ac:dyDescent="0.25">
      <c r="A191" s="1">
        <v>0.99660000000000004</v>
      </c>
      <c r="B191" s="9" t="s">
        <v>4348</v>
      </c>
      <c r="C191" s="2">
        <v>4352</v>
      </c>
      <c r="D191" s="3" t="s">
        <v>141</v>
      </c>
      <c r="E191" s="9" t="s">
        <v>435</v>
      </c>
      <c r="F191" s="9" t="s">
        <v>2264</v>
      </c>
      <c r="G191" s="1">
        <v>1387.7637</v>
      </c>
      <c r="H191" s="2">
        <v>628</v>
      </c>
      <c r="I191" s="2">
        <v>2</v>
      </c>
      <c r="J191" s="1">
        <v>1387.7231999999999</v>
      </c>
      <c r="K191" s="1">
        <v>694.88909999999998</v>
      </c>
      <c r="L191" s="9" t="s">
        <v>181</v>
      </c>
      <c r="M191" s="2">
        <v>4.8499999999999996</v>
      </c>
      <c r="N191" s="4">
        <v>6506.12</v>
      </c>
      <c r="O191" s="1">
        <f t="shared" si="2"/>
        <v>-11.724985441476409</v>
      </c>
      <c r="P191" s="6">
        <v>45.4</v>
      </c>
      <c r="Q191" s="6">
        <v>29.4</v>
      </c>
      <c r="R191" s="6">
        <v>10.4</v>
      </c>
      <c r="S191" s="6">
        <v>11.4</v>
      </c>
      <c r="T191" s="5">
        <v>6.6E-3</v>
      </c>
      <c r="U191" s="1">
        <v>-4.0500000000000001E-2</v>
      </c>
      <c r="V191" s="1">
        <v>4.5221999999999998</v>
      </c>
    </row>
    <row r="192" spans="1:22" x14ac:dyDescent="0.25">
      <c r="A192" s="1">
        <v>0.99890000000000001</v>
      </c>
      <c r="B192" s="9" t="s">
        <v>4349</v>
      </c>
      <c r="C192" s="2">
        <v>4354</v>
      </c>
      <c r="D192" s="3" t="s">
        <v>423</v>
      </c>
      <c r="E192" s="9" t="s">
        <v>2322</v>
      </c>
      <c r="F192" s="9" t="s">
        <v>2323</v>
      </c>
      <c r="G192" s="1">
        <v>1462.7487000000001</v>
      </c>
      <c r="H192" s="2">
        <v>824</v>
      </c>
      <c r="I192" s="2">
        <v>2</v>
      </c>
      <c r="J192" s="1">
        <v>1462.7168999999999</v>
      </c>
      <c r="K192" s="1">
        <v>732.38160000000005</v>
      </c>
      <c r="L192" s="9" t="s">
        <v>2324</v>
      </c>
      <c r="M192" s="2">
        <v>5.84</v>
      </c>
      <c r="N192" s="4">
        <v>6513.57</v>
      </c>
      <c r="O192" s="1">
        <f t="shared" si="2"/>
        <v>-16.151366125723833</v>
      </c>
      <c r="P192" s="6">
        <v>38.6</v>
      </c>
      <c r="Q192" s="6">
        <v>26.2</v>
      </c>
      <c r="R192" s="6">
        <v>10.7</v>
      </c>
      <c r="S192" s="6">
        <v>8.8000000000000007</v>
      </c>
      <c r="T192" s="5">
        <v>1.2999999999999999E-4</v>
      </c>
      <c r="U192" s="1">
        <v>-3.1800000000000002E-2</v>
      </c>
      <c r="V192" s="1">
        <v>5.7962999999999996</v>
      </c>
    </row>
    <row r="193" spans="1:22" x14ac:dyDescent="0.25">
      <c r="A193" s="1">
        <v>0.99419999999999997</v>
      </c>
      <c r="B193" s="9" t="s">
        <v>4350</v>
      </c>
      <c r="C193" s="2">
        <v>4376</v>
      </c>
      <c r="D193" s="2" t="s">
        <v>146</v>
      </c>
      <c r="E193" s="9" t="s">
        <v>435</v>
      </c>
      <c r="F193" s="9" t="s">
        <v>436</v>
      </c>
      <c r="G193" s="1">
        <v>1387.7637</v>
      </c>
      <c r="H193" s="2">
        <v>385</v>
      </c>
      <c r="I193" s="2">
        <v>2</v>
      </c>
      <c r="J193" s="1">
        <v>1387.7197000000001</v>
      </c>
      <c r="K193" s="1">
        <v>694.88909999999998</v>
      </c>
      <c r="L193" s="9" t="s">
        <v>181</v>
      </c>
      <c r="M193" s="2">
        <v>4.8499999999999996</v>
      </c>
      <c r="N193" s="4">
        <v>6540.78</v>
      </c>
      <c r="O193" s="1">
        <f t="shared" si="2"/>
        <v>-17.322692970166042</v>
      </c>
      <c r="P193" s="6">
        <v>38.9</v>
      </c>
      <c r="Q193" s="6">
        <v>25.1</v>
      </c>
      <c r="R193" s="6">
        <v>10.4</v>
      </c>
      <c r="S193" s="6">
        <v>11.4</v>
      </c>
      <c r="T193" s="5">
        <v>1.4E-3</v>
      </c>
      <c r="U193" s="1">
        <v>-4.3999999999999997E-2</v>
      </c>
      <c r="V193" s="1">
        <v>5.2815000000000003</v>
      </c>
    </row>
    <row r="194" spans="1:22" x14ac:dyDescent="0.25">
      <c r="A194" s="1">
        <v>0.99990000000000001</v>
      </c>
      <c r="B194" s="9" t="s">
        <v>4351</v>
      </c>
      <c r="C194" s="2">
        <v>4442</v>
      </c>
      <c r="D194" s="2" t="s">
        <v>4352</v>
      </c>
      <c r="E194" s="9" t="s">
        <v>1493</v>
      </c>
      <c r="F194" s="9" t="s">
        <v>659</v>
      </c>
      <c r="G194" s="1">
        <v>1400.7697000000001</v>
      </c>
      <c r="H194" s="2">
        <v>629</v>
      </c>
      <c r="I194" s="2">
        <v>2</v>
      </c>
      <c r="J194" s="1">
        <v>1400.7225000000001</v>
      </c>
      <c r="K194" s="1">
        <v>701.39210000000003</v>
      </c>
      <c r="L194" s="9" t="s">
        <v>660</v>
      </c>
      <c r="M194" s="2">
        <v>5.96</v>
      </c>
      <c r="N194" s="4">
        <v>6623.28</v>
      </c>
      <c r="O194" s="1">
        <f t="shared" si="2"/>
        <v>-11.51384515893184</v>
      </c>
      <c r="P194" s="6">
        <v>65.400000000000006</v>
      </c>
      <c r="Q194" s="6">
        <v>43.1</v>
      </c>
      <c r="R194" s="6">
        <v>10.8</v>
      </c>
      <c r="S194" s="6">
        <v>12.1</v>
      </c>
      <c r="T194" s="5">
        <v>6.6000000000000005E-5</v>
      </c>
      <c r="U194" s="1">
        <v>-4.7199999999999999E-2</v>
      </c>
      <c r="V194" s="1">
        <v>6.6886000000000001</v>
      </c>
    </row>
    <row r="195" spans="1:22" x14ac:dyDescent="0.25">
      <c r="A195" s="1">
        <v>0.99819999999999998</v>
      </c>
      <c r="B195" s="9" t="s">
        <v>4353</v>
      </c>
      <c r="C195" s="2">
        <v>4444</v>
      </c>
      <c r="D195" s="2" t="s">
        <v>520</v>
      </c>
      <c r="E195" s="9" t="s">
        <v>2322</v>
      </c>
      <c r="F195" s="9" t="s">
        <v>2323</v>
      </c>
      <c r="G195" s="1">
        <v>1462.7487000000001</v>
      </c>
      <c r="H195" s="2">
        <v>955</v>
      </c>
      <c r="I195" s="2">
        <v>2</v>
      </c>
      <c r="J195" s="1">
        <v>1462.7055</v>
      </c>
      <c r="K195" s="1">
        <v>732.38160000000005</v>
      </c>
      <c r="L195" s="9" t="s">
        <v>2324</v>
      </c>
      <c r="M195" s="2">
        <v>5.84</v>
      </c>
      <c r="N195" s="4">
        <v>6626.48</v>
      </c>
      <c r="O195" s="1">
        <f t="shared" si="2"/>
        <v>-25.358289868334737</v>
      </c>
      <c r="P195" s="6">
        <v>35</v>
      </c>
      <c r="Q195" s="6">
        <v>26.3</v>
      </c>
      <c r="R195" s="6">
        <v>11.1</v>
      </c>
      <c r="S195" s="6">
        <v>9.1999999999999993</v>
      </c>
      <c r="T195" s="5">
        <v>6.9999999999999994E-5</v>
      </c>
      <c r="U195" s="1">
        <v>-4.3200000000000002E-2</v>
      </c>
      <c r="V195" s="1">
        <v>5.7484999999999999</v>
      </c>
    </row>
    <row r="196" spans="1:22" x14ac:dyDescent="0.25">
      <c r="A196" s="1">
        <v>0.99350000000000005</v>
      </c>
      <c r="B196" s="9" t="s">
        <v>4354</v>
      </c>
      <c r="C196" s="2">
        <v>4448</v>
      </c>
      <c r="D196" s="2" t="s">
        <v>326</v>
      </c>
      <c r="E196" s="9" t="s">
        <v>4355</v>
      </c>
      <c r="F196" s="9" t="s">
        <v>552</v>
      </c>
      <c r="G196" s="1">
        <v>1359.7587000000001</v>
      </c>
      <c r="H196" s="2">
        <v>630</v>
      </c>
      <c r="I196" s="2">
        <v>2</v>
      </c>
      <c r="J196" s="1">
        <v>1359.7167999999999</v>
      </c>
      <c r="K196" s="1">
        <v>680.88660000000004</v>
      </c>
      <c r="L196" s="9" t="s">
        <v>456</v>
      </c>
      <c r="M196" s="2">
        <v>8.59</v>
      </c>
      <c r="N196" s="4">
        <v>6632.88</v>
      </c>
      <c r="O196" s="1">
        <f t="shared" si="2"/>
        <v>-21.675961746397657</v>
      </c>
      <c r="P196" s="6">
        <v>43.6</v>
      </c>
      <c r="Q196" s="6">
        <v>34.799999999999997</v>
      </c>
      <c r="R196" s="6">
        <v>12</v>
      </c>
      <c r="S196" s="6">
        <v>13.4</v>
      </c>
      <c r="T196" s="5">
        <v>6.6E-3</v>
      </c>
      <c r="U196" s="1">
        <v>-4.19E-2</v>
      </c>
      <c r="V196" s="1">
        <v>3.9615</v>
      </c>
    </row>
    <row r="197" spans="1:22" x14ac:dyDescent="0.25">
      <c r="A197" s="1">
        <v>0.99790000000000001</v>
      </c>
      <c r="B197" s="9" t="s">
        <v>4356</v>
      </c>
      <c r="C197" s="2">
        <v>4450</v>
      </c>
      <c r="D197" s="2" t="s">
        <v>178</v>
      </c>
      <c r="E197" s="9" t="s">
        <v>494</v>
      </c>
      <c r="F197" s="9" t="s">
        <v>495</v>
      </c>
      <c r="G197" s="1">
        <v>1368.7327</v>
      </c>
      <c r="H197" s="2">
        <v>371</v>
      </c>
      <c r="I197" s="2">
        <v>2</v>
      </c>
      <c r="J197" s="1">
        <v>1368.7074</v>
      </c>
      <c r="K197" s="1">
        <v>685.37360000000001</v>
      </c>
      <c r="L197" s="9" t="s">
        <v>157</v>
      </c>
      <c r="M197" s="2">
        <v>4.75</v>
      </c>
      <c r="N197" s="4">
        <v>6638.23</v>
      </c>
      <c r="O197" s="1">
        <f t="shared" si="2"/>
        <v>-11.674241952555882</v>
      </c>
      <c r="P197" s="6">
        <v>39.700000000000003</v>
      </c>
      <c r="Q197" s="6">
        <v>26.6</v>
      </c>
      <c r="R197" s="6">
        <v>12.1</v>
      </c>
      <c r="S197" s="6">
        <v>11.2</v>
      </c>
      <c r="T197" s="5">
        <v>6.2E-4</v>
      </c>
      <c r="U197" s="1">
        <v>-2.53E-2</v>
      </c>
      <c r="V197" s="1">
        <v>5.1417999999999999</v>
      </c>
    </row>
    <row r="198" spans="1:22" x14ac:dyDescent="0.25">
      <c r="A198" s="1">
        <v>0.98370000000000002</v>
      </c>
      <c r="B198" s="9" t="s">
        <v>4357</v>
      </c>
      <c r="C198" s="2">
        <v>4460</v>
      </c>
      <c r="D198" s="2" t="s">
        <v>183</v>
      </c>
      <c r="E198" s="9" t="s">
        <v>4329</v>
      </c>
      <c r="F198" s="9" t="s">
        <v>2392</v>
      </c>
      <c r="G198" s="1">
        <v>1248.6537000000001</v>
      </c>
      <c r="H198" s="2">
        <v>826</v>
      </c>
      <c r="I198" s="2">
        <v>2</v>
      </c>
      <c r="J198" s="1">
        <v>1248.6247000000001</v>
      </c>
      <c r="K198" s="1">
        <v>625.33410000000003</v>
      </c>
      <c r="L198" s="9" t="s">
        <v>2393</v>
      </c>
      <c r="M198" s="2">
        <v>5.96</v>
      </c>
      <c r="N198" s="4">
        <v>6650.23</v>
      </c>
      <c r="O198" s="1">
        <f t="shared" si="2"/>
        <v>-14.224791323800785</v>
      </c>
      <c r="P198" s="6">
        <v>33.700000000000003</v>
      </c>
      <c r="Q198" s="6">
        <v>26.4</v>
      </c>
      <c r="R198" s="6">
        <v>9.9</v>
      </c>
      <c r="S198" s="6">
        <v>11.6</v>
      </c>
      <c r="T198" s="5">
        <v>2.5000000000000001E-2</v>
      </c>
      <c r="U198" s="1">
        <v>-2.9000000000000001E-2</v>
      </c>
      <c r="V198" s="1">
        <v>3.3624000000000001</v>
      </c>
    </row>
    <row r="199" spans="1:22" x14ac:dyDescent="0.25">
      <c r="A199" s="1">
        <v>0.95630000000000004</v>
      </c>
      <c r="B199" s="9" t="s">
        <v>4358</v>
      </c>
      <c r="C199" s="2">
        <v>4476</v>
      </c>
      <c r="D199" s="2" t="s">
        <v>479</v>
      </c>
      <c r="E199" s="9" t="s">
        <v>494</v>
      </c>
      <c r="F199" s="9" t="s">
        <v>495</v>
      </c>
      <c r="G199" s="1">
        <v>1368.7327</v>
      </c>
      <c r="H199" s="2">
        <v>278</v>
      </c>
      <c r="I199" s="2">
        <v>2</v>
      </c>
      <c r="J199" s="1">
        <v>1368.704</v>
      </c>
      <c r="K199" s="1">
        <v>685.37360000000001</v>
      </c>
      <c r="L199" s="9" t="s">
        <v>157</v>
      </c>
      <c r="M199" s="2">
        <v>4.75</v>
      </c>
      <c r="N199" s="4">
        <v>6666.68</v>
      </c>
      <c r="O199" s="1">
        <f t="shared" si="2"/>
        <v>-10.308833537052269</v>
      </c>
      <c r="P199" s="6">
        <v>30.5</v>
      </c>
      <c r="Q199" s="6">
        <v>25.1</v>
      </c>
      <c r="R199" s="6">
        <v>12.1</v>
      </c>
      <c r="S199" s="6">
        <v>10.3</v>
      </c>
      <c r="T199" s="5">
        <v>0.17</v>
      </c>
      <c r="U199" s="1">
        <v>-2.87E-2</v>
      </c>
      <c r="V199" s="1">
        <v>1.972</v>
      </c>
    </row>
    <row r="200" spans="1:22" x14ac:dyDescent="0.25">
      <c r="A200" s="1">
        <v>0.99019999999999997</v>
      </c>
      <c r="B200" s="9" t="s">
        <v>4359</v>
      </c>
      <c r="C200" s="2">
        <v>4484</v>
      </c>
      <c r="D200" s="2" t="s">
        <v>78</v>
      </c>
      <c r="E200" s="9" t="s">
        <v>4329</v>
      </c>
      <c r="F200" s="9" t="s">
        <v>2392</v>
      </c>
      <c r="G200" s="1">
        <v>1248.6537000000001</v>
      </c>
      <c r="H200" s="2">
        <v>827</v>
      </c>
      <c r="I200" s="2">
        <v>2</v>
      </c>
      <c r="J200" s="1">
        <v>1248.6256000000001</v>
      </c>
      <c r="K200" s="1">
        <v>625.33410000000003</v>
      </c>
      <c r="L200" s="9" t="s">
        <v>2393</v>
      </c>
      <c r="M200" s="2">
        <v>5.96</v>
      </c>
      <c r="N200" s="4">
        <v>6680.63</v>
      </c>
      <c r="O200" s="1">
        <f t="shared" si="2"/>
        <v>150.1266552846221</v>
      </c>
      <c r="P200" s="6">
        <v>38</v>
      </c>
      <c r="Q200" s="6">
        <v>28.4</v>
      </c>
      <c r="R200" s="6">
        <v>9.6</v>
      </c>
      <c r="S200" s="6">
        <v>11.2</v>
      </c>
      <c r="T200" s="5">
        <v>1.7000000000000001E-2</v>
      </c>
      <c r="U200" s="1">
        <v>-2.81E-2</v>
      </c>
      <c r="V200" s="1">
        <v>3.7397999999999998</v>
      </c>
    </row>
    <row r="201" spans="1:22" x14ac:dyDescent="0.25">
      <c r="A201" s="1">
        <v>0.99909999999999999</v>
      </c>
      <c r="B201" s="9" t="s">
        <v>4360</v>
      </c>
      <c r="C201" s="2">
        <v>4514</v>
      </c>
      <c r="D201" s="2" t="s">
        <v>423</v>
      </c>
      <c r="E201" s="9" t="s">
        <v>2322</v>
      </c>
      <c r="F201" s="9" t="s">
        <v>2323</v>
      </c>
      <c r="G201" s="1">
        <v>1462.7487000000001</v>
      </c>
      <c r="H201" s="2">
        <v>828</v>
      </c>
      <c r="I201" s="2">
        <v>2</v>
      </c>
      <c r="J201" s="1">
        <v>1462.7284999999999</v>
      </c>
      <c r="K201" s="1">
        <v>732.38160000000005</v>
      </c>
      <c r="L201" s="9" t="s">
        <v>2324</v>
      </c>
      <c r="M201" s="2">
        <v>5.84</v>
      </c>
      <c r="N201" s="4">
        <v>6718.63</v>
      </c>
      <c r="O201" s="1">
        <f t="shared" si="2"/>
        <v>-19.363590283707875</v>
      </c>
      <c r="P201" s="6">
        <v>38.5</v>
      </c>
      <c r="Q201" s="6">
        <v>27.4</v>
      </c>
      <c r="R201" s="6">
        <v>10.5</v>
      </c>
      <c r="S201" s="6">
        <v>8.8000000000000007</v>
      </c>
      <c r="T201" s="5">
        <v>5.8E-5</v>
      </c>
      <c r="U201" s="1">
        <v>-2.0199999999999999E-2</v>
      </c>
      <c r="V201" s="1">
        <v>6.0083000000000002</v>
      </c>
    </row>
    <row r="202" spans="1:22" x14ac:dyDescent="0.25">
      <c r="A202" s="1">
        <v>0.98570000000000002</v>
      </c>
      <c r="B202" s="9" t="s">
        <v>4361</v>
      </c>
      <c r="C202" s="2">
        <v>4535</v>
      </c>
      <c r="D202" s="2" t="s">
        <v>115</v>
      </c>
      <c r="E202" s="9" t="s">
        <v>2322</v>
      </c>
      <c r="F202" s="9" t="s">
        <v>2323</v>
      </c>
      <c r="G202" s="1">
        <v>1462.7487000000001</v>
      </c>
      <c r="H202" s="2">
        <v>632</v>
      </c>
      <c r="I202" s="2">
        <v>2</v>
      </c>
      <c r="J202" s="1">
        <v>1462.9717000000001</v>
      </c>
      <c r="K202" s="1">
        <v>732.38160000000005</v>
      </c>
      <c r="L202" s="9" t="s">
        <v>2324</v>
      </c>
      <c r="M202" s="2">
        <v>5.84</v>
      </c>
      <c r="N202" s="4">
        <v>6744.58</v>
      </c>
      <c r="O202" s="1">
        <f t="shared" si="2"/>
        <v>-6.3491473982559361</v>
      </c>
      <c r="P202" s="6">
        <v>47</v>
      </c>
      <c r="Q202" s="6">
        <v>27.5</v>
      </c>
      <c r="R202" s="6">
        <v>10.7</v>
      </c>
      <c r="S202" s="6">
        <v>8.3000000000000007</v>
      </c>
      <c r="T202" s="5">
        <v>2.3E-6</v>
      </c>
      <c r="U202" s="1">
        <v>0.223</v>
      </c>
      <c r="V202" s="1">
        <v>8.0023</v>
      </c>
    </row>
    <row r="203" spans="1:22" x14ac:dyDescent="0.25">
      <c r="A203" s="1">
        <v>0.999</v>
      </c>
      <c r="B203" s="9" t="s">
        <v>4362</v>
      </c>
      <c r="C203" s="2">
        <v>4537</v>
      </c>
      <c r="D203" s="2" t="s">
        <v>178</v>
      </c>
      <c r="E203" s="9" t="s">
        <v>2322</v>
      </c>
      <c r="F203" s="9" t="s">
        <v>2323</v>
      </c>
      <c r="G203" s="1">
        <v>1462.7487000000001</v>
      </c>
      <c r="H203" s="2">
        <v>633</v>
      </c>
      <c r="I203" s="2">
        <v>2</v>
      </c>
      <c r="J203" s="1">
        <v>1462.7213999999999</v>
      </c>
      <c r="K203" s="1">
        <v>732.38160000000005</v>
      </c>
      <c r="L203" s="9" t="s">
        <v>2324</v>
      </c>
      <c r="M203" s="2">
        <v>5.84</v>
      </c>
      <c r="N203" s="4">
        <v>6747.78</v>
      </c>
      <c r="O203" s="1">
        <f t="shared" si="2"/>
        <v>-1.4895062793116218</v>
      </c>
      <c r="P203" s="6">
        <v>40.4</v>
      </c>
      <c r="Q203" s="6">
        <v>25.8</v>
      </c>
      <c r="R203" s="6">
        <v>10.6</v>
      </c>
      <c r="S203" s="6">
        <v>8.6</v>
      </c>
      <c r="T203" s="5">
        <v>1.9000000000000001E-4</v>
      </c>
      <c r="U203" s="1">
        <v>-2.7300000000000001E-2</v>
      </c>
      <c r="V203" s="1">
        <v>5.806</v>
      </c>
    </row>
    <row r="204" spans="1:22" x14ac:dyDescent="0.25">
      <c r="A204" s="1">
        <v>0.99960000000000004</v>
      </c>
      <c r="B204" s="9" t="s">
        <v>4363</v>
      </c>
      <c r="C204" s="2">
        <v>4560</v>
      </c>
      <c r="D204" s="2" t="s">
        <v>280</v>
      </c>
      <c r="E204" s="9" t="s">
        <v>2322</v>
      </c>
      <c r="F204" s="9" t="s">
        <v>2323</v>
      </c>
      <c r="G204" s="1">
        <v>1462.7487000000001</v>
      </c>
      <c r="H204" s="2">
        <v>829</v>
      </c>
      <c r="I204" s="2">
        <v>2</v>
      </c>
      <c r="J204" s="1">
        <v>1462.7240999999999</v>
      </c>
      <c r="K204" s="1">
        <v>732.38160000000005</v>
      </c>
      <c r="L204" s="9" t="s">
        <v>2324</v>
      </c>
      <c r="M204" s="2">
        <v>5.84</v>
      </c>
      <c r="N204" s="4">
        <v>6780.24</v>
      </c>
      <c r="O204" s="1">
        <f t="shared" si="2"/>
        <v>-14.200247521237561</v>
      </c>
      <c r="P204" s="6">
        <v>44.4</v>
      </c>
      <c r="Q204" s="6">
        <v>25.9</v>
      </c>
      <c r="R204" s="6">
        <v>10.3</v>
      </c>
      <c r="S204" s="6">
        <v>8.9</v>
      </c>
      <c r="T204" s="5">
        <v>9.3999999999999998E-6</v>
      </c>
      <c r="U204" s="1">
        <v>-2.46E-2</v>
      </c>
      <c r="V204" s="1">
        <v>7.3853999999999997</v>
      </c>
    </row>
    <row r="205" spans="1:22" x14ac:dyDescent="0.25">
      <c r="A205" s="1">
        <v>0.99860000000000004</v>
      </c>
      <c r="B205" s="9" t="s">
        <v>4364</v>
      </c>
      <c r="C205" s="2">
        <v>4585</v>
      </c>
      <c r="D205" s="2" t="s">
        <v>423</v>
      </c>
      <c r="E205" s="9" t="s">
        <v>2322</v>
      </c>
      <c r="F205" s="9" t="s">
        <v>2323</v>
      </c>
      <c r="G205" s="1">
        <v>1462.7487000000001</v>
      </c>
      <c r="H205" s="2">
        <v>634</v>
      </c>
      <c r="I205" s="2">
        <v>2</v>
      </c>
      <c r="J205" s="1">
        <v>1462.7149999999999</v>
      </c>
      <c r="K205" s="1">
        <v>732.38160000000005</v>
      </c>
      <c r="L205" s="9" t="s">
        <v>2324</v>
      </c>
      <c r="M205" s="2">
        <v>5.84</v>
      </c>
      <c r="N205" s="4">
        <v>6808.59</v>
      </c>
      <c r="O205" s="1">
        <f t="shared" si="2"/>
        <v>-29.141340682995317</v>
      </c>
      <c r="P205" s="6">
        <v>37.9</v>
      </c>
      <c r="Q205" s="6">
        <v>26.6</v>
      </c>
      <c r="R205" s="6">
        <v>10</v>
      </c>
      <c r="S205" s="6">
        <v>8</v>
      </c>
      <c r="T205" s="5">
        <v>2.5000000000000001E-4</v>
      </c>
      <c r="U205" s="1">
        <v>-3.3700000000000001E-2</v>
      </c>
      <c r="V205" s="1">
        <v>5.4036999999999997</v>
      </c>
    </row>
    <row r="206" spans="1:22" x14ac:dyDescent="0.25">
      <c r="A206" s="1">
        <v>0.99460000000000004</v>
      </c>
      <c r="B206" s="9" t="s">
        <v>4365</v>
      </c>
      <c r="C206" s="2">
        <v>4622</v>
      </c>
      <c r="D206" s="2" t="s">
        <v>183</v>
      </c>
      <c r="E206" s="9" t="s">
        <v>3012</v>
      </c>
      <c r="F206" s="9" t="s">
        <v>3013</v>
      </c>
      <c r="G206" s="1">
        <v>1390.6847</v>
      </c>
      <c r="H206" s="2">
        <v>351</v>
      </c>
      <c r="I206" s="2">
        <v>2</v>
      </c>
      <c r="J206" s="1">
        <v>1390.6477</v>
      </c>
      <c r="K206" s="1">
        <v>696.34960000000001</v>
      </c>
      <c r="L206" s="9" t="s">
        <v>2592</v>
      </c>
      <c r="M206" s="2">
        <v>6.24</v>
      </c>
      <c r="N206" s="4">
        <v>6855.49</v>
      </c>
      <c r="O206" s="1">
        <f t="shared" si="2"/>
        <v>-21.709993806507427</v>
      </c>
      <c r="P206" s="6">
        <v>33</v>
      </c>
      <c r="Q206" s="6">
        <v>23.7</v>
      </c>
      <c r="R206" s="6">
        <v>11.6</v>
      </c>
      <c r="S206" s="6">
        <v>11.2</v>
      </c>
      <c r="T206" s="5">
        <v>1.4999999999999999E-2</v>
      </c>
      <c r="U206" s="1">
        <v>-3.6999999999999998E-2</v>
      </c>
      <c r="V206" s="1">
        <v>3.9508000000000001</v>
      </c>
    </row>
    <row r="207" spans="1:22" x14ac:dyDescent="0.25">
      <c r="A207" s="1">
        <v>0.98360000000000003</v>
      </c>
      <c r="B207" s="9" t="s">
        <v>4366</v>
      </c>
      <c r="C207" s="2">
        <v>5275</v>
      </c>
      <c r="D207" s="2" t="s">
        <v>630</v>
      </c>
      <c r="E207" s="9" t="s">
        <v>4367</v>
      </c>
      <c r="F207" s="9" t="s">
        <v>2160</v>
      </c>
      <c r="G207" s="1">
        <v>1594.8867</v>
      </c>
      <c r="H207" s="2">
        <v>965</v>
      </c>
      <c r="I207" s="2">
        <v>2</v>
      </c>
      <c r="J207" s="1">
        <v>1594.8604</v>
      </c>
      <c r="K207" s="1">
        <v>798.45060000000001</v>
      </c>
      <c r="L207" s="9" t="s">
        <v>2161</v>
      </c>
      <c r="M207" s="2">
        <v>9.75</v>
      </c>
      <c r="N207" s="4">
        <v>7630.8</v>
      </c>
      <c r="O207" s="1">
        <f t="shared" si="2"/>
        <v>-31.659728149427007</v>
      </c>
      <c r="P207" s="6">
        <v>42.3</v>
      </c>
      <c r="Q207" s="6">
        <v>42.3</v>
      </c>
      <c r="R207" s="6">
        <v>8.8000000000000007</v>
      </c>
      <c r="S207" s="6">
        <v>12.7</v>
      </c>
      <c r="T207" s="5">
        <v>1.1999999999999999E-3</v>
      </c>
      <c r="U207" s="1">
        <v>-2.63E-2</v>
      </c>
      <c r="V207" s="1">
        <v>3.1783999999999999</v>
      </c>
    </row>
    <row r="208" spans="1:22" x14ac:dyDescent="0.25">
      <c r="A208" s="1">
        <v>0.99109999999999998</v>
      </c>
      <c r="B208" s="9" t="s">
        <v>4368</v>
      </c>
      <c r="C208" s="2">
        <v>5305</v>
      </c>
      <c r="D208" s="2" t="s">
        <v>311</v>
      </c>
      <c r="E208" s="9" t="s">
        <v>601</v>
      </c>
      <c r="F208" s="9" t="s">
        <v>602</v>
      </c>
      <c r="G208" s="1">
        <v>1389.7577000000001</v>
      </c>
      <c r="H208" s="2">
        <v>831</v>
      </c>
      <c r="I208" s="2">
        <v>2</v>
      </c>
      <c r="J208" s="1">
        <v>1389.7137</v>
      </c>
      <c r="K208" s="1">
        <v>695.88610000000006</v>
      </c>
      <c r="L208" s="9" t="s">
        <v>603</v>
      </c>
      <c r="M208" s="2">
        <v>4.21</v>
      </c>
      <c r="N208" s="4">
        <v>7669.05</v>
      </c>
      <c r="O208" s="1">
        <f t="shared" si="2"/>
        <v>-33.64737070748302</v>
      </c>
      <c r="P208" s="6">
        <v>38</v>
      </c>
      <c r="Q208" s="6">
        <v>27.6</v>
      </c>
      <c r="R208" s="6">
        <v>11.2</v>
      </c>
      <c r="S208" s="6">
        <v>13.7</v>
      </c>
      <c r="T208" s="5">
        <v>9.5999999999999992E-3</v>
      </c>
      <c r="U208" s="1">
        <v>-4.3999999999999997E-2</v>
      </c>
      <c r="V208" s="1">
        <v>3.81</v>
      </c>
    </row>
    <row r="209" spans="1:22" x14ac:dyDescent="0.25">
      <c r="A209" s="1">
        <v>0.98670000000000002</v>
      </c>
      <c r="B209" s="9" t="s">
        <v>4369</v>
      </c>
      <c r="C209" s="2">
        <v>5325</v>
      </c>
      <c r="D209" s="2" t="s">
        <v>1271</v>
      </c>
      <c r="E209" s="9" t="s">
        <v>4367</v>
      </c>
      <c r="F209" s="9" t="s">
        <v>2160</v>
      </c>
      <c r="G209" s="1">
        <v>1594.8867</v>
      </c>
      <c r="H209" s="2">
        <v>966</v>
      </c>
      <c r="I209" s="2">
        <v>2</v>
      </c>
      <c r="J209" s="1">
        <v>1594.8681999999999</v>
      </c>
      <c r="K209" s="1">
        <v>798.45060000000001</v>
      </c>
      <c r="L209" s="9" t="s">
        <v>2161</v>
      </c>
      <c r="M209" s="2">
        <v>9.75</v>
      </c>
      <c r="N209" s="4">
        <v>7691.9</v>
      </c>
      <c r="O209" s="1">
        <f t="shared" si="2"/>
        <v>-29.492821774878013</v>
      </c>
      <c r="P209" s="6">
        <v>38.200000000000003</v>
      </c>
      <c r="Q209" s="6">
        <v>38.200000000000003</v>
      </c>
      <c r="R209" s="6">
        <v>7.6</v>
      </c>
      <c r="S209" s="6">
        <v>12.7</v>
      </c>
      <c r="T209" s="5">
        <v>7.7999999999999999E-4</v>
      </c>
      <c r="U209" s="1">
        <v>-1.8499999999999999E-2</v>
      </c>
      <c r="V209" s="1">
        <v>3.3563999999999998</v>
      </c>
    </row>
    <row r="210" spans="1:22" x14ac:dyDescent="0.25">
      <c r="A210" s="1">
        <v>0.99280000000000002</v>
      </c>
      <c r="B210" s="9" t="s">
        <v>4370</v>
      </c>
      <c r="C210" s="2">
        <v>5385</v>
      </c>
      <c r="D210" s="2" t="s">
        <v>183</v>
      </c>
      <c r="E210" s="9" t="s">
        <v>2412</v>
      </c>
      <c r="F210" s="9" t="s">
        <v>97</v>
      </c>
      <c r="G210" s="1">
        <v>1232.6477</v>
      </c>
      <c r="H210" s="2">
        <v>333</v>
      </c>
      <c r="I210" s="2">
        <v>2</v>
      </c>
      <c r="J210" s="1">
        <v>1232.6165000000001</v>
      </c>
      <c r="K210" s="1">
        <v>617.33109999999999</v>
      </c>
      <c r="L210" s="9" t="s">
        <v>98</v>
      </c>
      <c r="M210" s="2">
        <v>6.22</v>
      </c>
      <c r="N210" s="4">
        <v>7766.26</v>
      </c>
      <c r="O210" s="1">
        <f t="shared" si="2"/>
        <v>-30.768706565821681</v>
      </c>
      <c r="P210" s="6">
        <v>31.8</v>
      </c>
      <c r="Q210" s="6">
        <v>25.2</v>
      </c>
      <c r="R210" s="6">
        <v>11.3</v>
      </c>
      <c r="S210" s="6">
        <v>10.4</v>
      </c>
      <c r="T210" s="5">
        <v>2.5999999999999999E-2</v>
      </c>
      <c r="U210" s="1">
        <v>-3.1199999999999999E-2</v>
      </c>
      <c r="V210" s="1">
        <v>3.2967</v>
      </c>
    </row>
    <row r="211" spans="1:22" x14ac:dyDescent="0.25">
      <c r="A211" s="1">
        <v>0.99660000000000004</v>
      </c>
      <c r="B211" s="9" t="s">
        <v>4371</v>
      </c>
      <c r="C211" s="2">
        <v>5413</v>
      </c>
      <c r="D211" s="2" t="s">
        <v>78</v>
      </c>
      <c r="E211" s="9" t="s">
        <v>2412</v>
      </c>
      <c r="F211" s="9" t="s">
        <v>97</v>
      </c>
      <c r="G211" s="1">
        <v>1232.6477</v>
      </c>
      <c r="H211" s="2">
        <v>280</v>
      </c>
      <c r="I211" s="2">
        <v>2</v>
      </c>
      <c r="J211" s="1">
        <v>1232.6252999999999</v>
      </c>
      <c r="K211" s="1">
        <v>617.33109999999999</v>
      </c>
      <c r="L211" s="9" t="s">
        <v>98</v>
      </c>
      <c r="M211" s="2">
        <v>6.22</v>
      </c>
      <c r="N211" s="4">
        <v>7796.92</v>
      </c>
      <c r="O211" s="1">
        <f t="shared" ref="O211:O257" si="3">(((IF(U197&lt;0.51,U197, IF(U197&lt;1.51,U197-1.003355,IF(U197&lt;2.6,U197-2*1.003355))))/I197)/K197)*1000000</f>
        <v>-18.457086762606554</v>
      </c>
      <c r="P211" s="6">
        <v>38.5</v>
      </c>
      <c r="Q211" s="6">
        <v>28</v>
      </c>
      <c r="R211" s="6">
        <v>11.4</v>
      </c>
      <c r="S211" s="6">
        <v>10.5</v>
      </c>
      <c r="T211" s="5">
        <v>1.2999999999999999E-2</v>
      </c>
      <c r="U211" s="1">
        <v>-2.24E-2</v>
      </c>
      <c r="V211" s="1">
        <v>3.9771999999999998</v>
      </c>
    </row>
    <row r="212" spans="1:22" x14ac:dyDescent="0.25">
      <c r="A212" s="1">
        <v>0.99439999999999995</v>
      </c>
      <c r="B212" s="9" t="s">
        <v>4372</v>
      </c>
      <c r="C212" s="2">
        <v>5464</v>
      </c>
      <c r="D212" s="2" t="s">
        <v>621</v>
      </c>
      <c r="E212" s="9" t="s">
        <v>2412</v>
      </c>
      <c r="F212" s="9" t="s">
        <v>97</v>
      </c>
      <c r="G212" s="1">
        <v>1232.6477</v>
      </c>
      <c r="H212" s="2">
        <v>388</v>
      </c>
      <c r="I212" s="2">
        <v>2</v>
      </c>
      <c r="J212" s="1">
        <v>1232.6258</v>
      </c>
      <c r="K212" s="1">
        <v>617.33109999999999</v>
      </c>
      <c r="L212" s="9" t="s">
        <v>98</v>
      </c>
      <c r="M212" s="2">
        <v>6.22</v>
      </c>
      <c r="N212" s="4">
        <v>7860.17</v>
      </c>
      <c r="O212" s="1">
        <f t="shared" si="3"/>
        <v>-23.187604833959959</v>
      </c>
      <c r="P212" s="6">
        <v>35.299999999999997</v>
      </c>
      <c r="Q212" s="6">
        <v>25.5</v>
      </c>
      <c r="R212" s="6">
        <v>11.4</v>
      </c>
      <c r="S212" s="6">
        <v>10.4</v>
      </c>
      <c r="T212" s="5">
        <v>3.3000000000000002E-2</v>
      </c>
      <c r="U212" s="1">
        <v>-2.1899999999999999E-2</v>
      </c>
      <c r="V212" s="1">
        <v>3.5306000000000002</v>
      </c>
    </row>
    <row r="213" spans="1:22" x14ac:dyDescent="0.25">
      <c r="A213" s="1">
        <v>0.98560000000000003</v>
      </c>
      <c r="B213" s="9" t="s">
        <v>4373</v>
      </c>
      <c r="C213" s="2">
        <v>5600</v>
      </c>
      <c r="D213" s="2" t="s">
        <v>154</v>
      </c>
      <c r="E213" s="9" t="s">
        <v>1125</v>
      </c>
      <c r="F213" s="9" t="s">
        <v>1126</v>
      </c>
      <c r="G213" s="1">
        <v>1133.6157000000001</v>
      </c>
      <c r="H213" s="2">
        <v>355</v>
      </c>
      <c r="I213" s="2">
        <v>2</v>
      </c>
      <c r="J213" s="1">
        <v>1133.5944</v>
      </c>
      <c r="K213" s="1">
        <v>567.81510000000003</v>
      </c>
      <c r="L213" s="9" t="s">
        <v>1127</v>
      </c>
      <c r="M213" s="2">
        <v>6.22</v>
      </c>
      <c r="N213" s="4">
        <v>8018.13</v>
      </c>
      <c r="O213" s="1">
        <f t="shared" si="3"/>
        <v>-20.937485774182139</v>
      </c>
      <c r="P213" s="6">
        <v>35.4</v>
      </c>
      <c r="Q213" s="6">
        <v>29.2</v>
      </c>
      <c r="R213" s="6">
        <v>11.7</v>
      </c>
      <c r="S213" s="6">
        <v>10.9</v>
      </c>
      <c r="T213" s="5">
        <v>5.1999999999999998E-2</v>
      </c>
      <c r="U213" s="1">
        <v>-2.1299999999999999E-2</v>
      </c>
      <c r="V213" s="1">
        <v>2.9108999999999998</v>
      </c>
    </row>
    <row r="214" spans="1:22" x14ac:dyDescent="0.25">
      <c r="A214" s="1">
        <v>0.97170000000000001</v>
      </c>
      <c r="B214" s="9" t="s">
        <v>4374</v>
      </c>
      <c r="C214" s="2">
        <v>7020</v>
      </c>
      <c r="D214" s="2" t="s">
        <v>4375</v>
      </c>
      <c r="E214" s="9" t="s">
        <v>4376</v>
      </c>
      <c r="F214" s="9" t="s">
        <v>1924</v>
      </c>
      <c r="G214" s="1">
        <v>2215.1017000000002</v>
      </c>
      <c r="H214" s="2">
        <v>719</v>
      </c>
      <c r="I214" s="2">
        <v>4</v>
      </c>
      <c r="J214" s="1">
        <v>2216.0698000000002</v>
      </c>
      <c r="K214" s="1">
        <v>554.78269999999998</v>
      </c>
      <c r="L214" s="9" t="s">
        <v>898</v>
      </c>
      <c r="M214" s="2">
        <v>10.29</v>
      </c>
      <c r="N214" s="4">
        <v>1345.04</v>
      </c>
      <c r="O214" s="1">
        <f t="shared" si="3"/>
        <v>-22.467989511526717</v>
      </c>
      <c r="P214" s="6">
        <v>46.8</v>
      </c>
      <c r="Q214" s="6">
        <v>35.4</v>
      </c>
      <c r="R214" s="6">
        <v>10.1</v>
      </c>
      <c r="S214" s="6">
        <v>11.7</v>
      </c>
      <c r="T214" s="5">
        <v>9.9000000000000008E-3</v>
      </c>
      <c r="U214" s="1">
        <v>0.96809999999999996</v>
      </c>
      <c r="V214" s="1">
        <v>3.4352999999999998</v>
      </c>
    </row>
    <row r="215" spans="1:22" x14ac:dyDescent="0.25">
      <c r="A215" s="1">
        <v>1</v>
      </c>
      <c r="B215" s="9" t="s">
        <v>4377</v>
      </c>
      <c r="C215" s="2">
        <v>7021</v>
      </c>
      <c r="D215" s="2" t="s">
        <v>3390</v>
      </c>
      <c r="E215" s="9" t="s">
        <v>3056</v>
      </c>
      <c r="F215" s="9" t="s">
        <v>1997</v>
      </c>
      <c r="G215" s="1">
        <v>1938.8387</v>
      </c>
      <c r="H215" s="2">
        <v>312</v>
      </c>
      <c r="I215" s="2">
        <v>3</v>
      </c>
      <c r="J215" s="1">
        <v>1938.8171</v>
      </c>
      <c r="K215" s="1">
        <v>647.28679999999997</v>
      </c>
      <c r="L215" s="9" t="s">
        <v>1998</v>
      </c>
      <c r="M215" s="2">
        <v>6.04</v>
      </c>
      <c r="N215" s="4">
        <v>1641.14</v>
      </c>
      <c r="O215" s="1">
        <f t="shared" si="3"/>
        <v>-13.790624996586477</v>
      </c>
      <c r="P215" s="6">
        <v>56.8</v>
      </c>
      <c r="Q215" s="6">
        <v>26.1</v>
      </c>
      <c r="R215" s="6">
        <v>11.9</v>
      </c>
      <c r="S215" s="6">
        <v>11.9</v>
      </c>
      <c r="T215" s="5">
        <v>2.9999999999999999E-7</v>
      </c>
      <c r="U215" s="1">
        <v>-2.1600000000000001E-2</v>
      </c>
      <c r="V215" s="1">
        <v>9.8282000000000007</v>
      </c>
    </row>
    <row r="216" spans="1:22" x14ac:dyDescent="0.25">
      <c r="A216" s="1">
        <v>0.99960000000000004</v>
      </c>
      <c r="B216" s="9" t="s">
        <v>4378</v>
      </c>
      <c r="C216" s="2">
        <v>7027</v>
      </c>
      <c r="D216" s="2" t="s">
        <v>1850</v>
      </c>
      <c r="E216" s="9" t="s">
        <v>1851</v>
      </c>
      <c r="F216" s="9" t="s">
        <v>860</v>
      </c>
      <c r="G216" s="1">
        <v>1491.7967000000001</v>
      </c>
      <c r="H216" s="2">
        <v>701</v>
      </c>
      <c r="I216" s="2">
        <v>3</v>
      </c>
      <c r="J216" s="1">
        <v>1491.7752</v>
      </c>
      <c r="K216" s="1">
        <v>498.27280000000002</v>
      </c>
      <c r="L216" s="9" t="s">
        <v>673</v>
      </c>
      <c r="M216" s="2">
        <v>9.6999999999999993</v>
      </c>
      <c r="N216" s="4">
        <v>1804.25</v>
      </c>
      <c r="O216" s="1">
        <f t="shared" si="3"/>
        <v>152.24303832865272</v>
      </c>
      <c r="P216" s="6">
        <v>48.4</v>
      </c>
      <c r="Q216" s="6">
        <v>48.4</v>
      </c>
      <c r="R216" s="6">
        <v>10</v>
      </c>
      <c r="S216" s="6">
        <v>11.7</v>
      </c>
      <c r="T216" s="5">
        <v>7.4999999999999993E-5</v>
      </c>
      <c r="U216" s="1">
        <v>-2.1499999999999998E-2</v>
      </c>
      <c r="V216" s="1">
        <v>5.4686000000000003</v>
      </c>
    </row>
    <row r="217" spans="1:22" x14ac:dyDescent="0.25">
      <c r="A217" s="1">
        <v>0.99129999999999996</v>
      </c>
      <c r="B217" s="9" t="s">
        <v>4379</v>
      </c>
      <c r="C217" s="2">
        <v>7039</v>
      </c>
      <c r="D217" s="2" t="s">
        <v>670</v>
      </c>
      <c r="E217" s="9" t="s">
        <v>4066</v>
      </c>
      <c r="F217" s="9" t="s">
        <v>4067</v>
      </c>
      <c r="G217" s="1">
        <v>1306.7176999999999</v>
      </c>
      <c r="H217" s="2">
        <v>314</v>
      </c>
      <c r="I217" s="2">
        <v>3</v>
      </c>
      <c r="J217" s="1">
        <v>1306.6824999999999</v>
      </c>
      <c r="K217" s="1">
        <v>436.57979999999998</v>
      </c>
      <c r="L217" s="9" t="s">
        <v>4068</v>
      </c>
      <c r="M217" s="2">
        <v>10.84</v>
      </c>
      <c r="N217" s="4">
        <v>2164.7600000000002</v>
      </c>
      <c r="O217" s="1">
        <f t="shared" si="3"/>
        <v>-18.6378248716243</v>
      </c>
      <c r="P217" s="6">
        <v>31.9</v>
      </c>
      <c r="Q217" s="6">
        <v>26.2</v>
      </c>
      <c r="R217" s="6">
        <v>11</v>
      </c>
      <c r="S217" s="6">
        <v>11</v>
      </c>
      <c r="T217" s="5">
        <v>3.4000000000000002E-2</v>
      </c>
      <c r="U217" s="1">
        <v>-3.5200000000000002E-2</v>
      </c>
      <c r="V217" s="1">
        <v>3.4687000000000001</v>
      </c>
    </row>
    <row r="218" spans="1:22" x14ac:dyDescent="0.25">
      <c r="A218" s="1">
        <v>0.96330000000000005</v>
      </c>
      <c r="B218" s="9" t="s">
        <v>4380</v>
      </c>
      <c r="C218" s="2">
        <v>7044</v>
      </c>
      <c r="D218" s="2" t="s">
        <v>1626</v>
      </c>
      <c r="E218" s="9" t="s">
        <v>4381</v>
      </c>
      <c r="F218" s="9" t="s">
        <v>860</v>
      </c>
      <c r="G218" s="1">
        <v>1300.7537</v>
      </c>
      <c r="H218" s="2">
        <v>703</v>
      </c>
      <c r="I218" s="2">
        <v>3</v>
      </c>
      <c r="J218" s="1">
        <v>1300.7225000000001</v>
      </c>
      <c r="K218" s="1">
        <v>434.59179999999998</v>
      </c>
      <c r="L218" s="9" t="s">
        <v>673</v>
      </c>
      <c r="M218" s="2">
        <v>11.17</v>
      </c>
      <c r="N218" s="4">
        <v>2231.36</v>
      </c>
      <c r="O218" s="1">
        <f t="shared" si="3"/>
        <v>-16.794523510694425</v>
      </c>
      <c r="P218" s="6">
        <v>39</v>
      </c>
      <c r="Q218" s="6">
        <v>34.4</v>
      </c>
      <c r="R218" s="6">
        <v>10.5</v>
      </c>
      <c r="S218" s="6">
        <v>13.1</v>
      </c>
      <c r="T218" s="5">
        <v>9.8000000000000004E-2</v>
      </c>
      <c r="U218" s="1">
        <v>-3.1199999999999999E-2</v>
      </c>
      <c r="V218" s="1">
        <v>2.415</v>
      </c>
    </row>
    <row r="219" spans="1:22" x14ac:dyDescent="0.25">
      <c r="A219" s="1">
        <v>0.99650000000000005</v>
      </c>
      <c r="B219" s="9" t="s">
        <v>4382</v>
      </c>
      <c r="C219" s="2">
        <v>7071</v>
      </c>
      <c r="D219" s="2" t="s">
        <v>752</v>
      </c>
      <c r="E219" s="9" t="s">
        <v>2487</v>
      </c>
      <c r="F219" s="9" t="s">
        <v>2488</v>
      </c>
      <c r="G219" s="1">
        <v>1160.5857000000001</v>
      </c>
      <c r="H219" s="2">
        <v>286</v>
      </c>
      <c r="I219" s="2">
        <v>2</v>
      </c>
      <c r="J219" s="1">
        <v>1160.5628999999999</v>
      </c>
      <c r="K219" s="1">
        <v>581.30010000000004</v>
      </c>
      <c r="L219" s="9" t="s">
        <v>2489</v>
      </c>
      <c r="M219" s="2">
        <v>6.25</v>
      </c>
      <c r="N219" s="4">
        <v>2704.98</v>
      </c>
      <c r="O219" s="1">
        <f t="shared" si="3"/>
        <v>-23.007131801235857</v>
      </c>
      <c r="P219" s="6">
        <v>49.8</v>
      </c>
      <c r="Q219" s="6">
        <v>34</v>
      </c>
      <c r="R219" s="6">
        <v>7.6</v>
      </c>
      <c r="S219" s="6">
        <v>11.8</v>
      </c>
      <c r="T219" s="5">
        <v>1.2999999999999999E-2</v>
      </c>
      <c r="U219" s="1">
        <v>-2.2800000000000001E-2</v>
      </c>
      <c r="V219" s="1">
        <v>4.4082999999999997</v>
      </c>
    </row>
    <row r="220" spans="1:22" x14ac:dyDescent="0.25">
      <c r="A220" s="1">
        <v>0.96209999999999996</v>
      </c>
      <c r="B220" s="9" t="s">
        <v>4383</v>
      </c>
      <c r="C220" s="2">
        <v>7080</v>
      </c>
      <c r="D220" s="2" t="s">
        <v>38</v>
      </c>
      <c r="E220" s="9" t="s">
        <v>1971</v>
      </c>
      <c r="F220" s="9" t="s">
        <v>1972</v>
      </c>
      <c r="G220" s="1">
        <v>1551.8626999999999</v>
      </c>
      <c r="H220" s="2">
        <v>316</v>
      </c>
      <c r="I220" s="2">
        <v>3</v>
      </c>
      <c r="J220" s="1">
        <v>1551.8342</v>
      </c>
      <c r="K220" s="1">
        <v>518.29480000000001</v>
      </c>
      <c r="L220" s="9" t="s">
        <v>1969</v>
      </c>
      <c r="M220" s="2">
        <v>9.99</v>
      </c>
      <c r="N220" s="4">
        <v>2815.98</v>
      </c>
      <c r="O220" s="1">
        <f t="shared" si="3"/>
        <v>-26.567115138717678</v>
      </c>
      <c r="P220" s="6">
        <v>28.4</v>
      </c>
      <c r="Q220" s="6">
        <v>23.5</v>
      </c>
      <c r="R220" s="6">
        <v>9.1</v>
      </c>
      <c r="S220" s="6">
        <v>10.6</v>
      </c>
      <c r="T220" s="5">
        <v>0.1</v>
      </c>
      <c r="U220" s="1">
        <v>-2.8500000000000001E-2</v>
      </c>
      <c r="V220" s="1">
        <v>2.5255000000000001</v>
      </c>
    </row>
    <row r="221" spans="1:22" x14ac:dyDescent="0.25">
      <c r="A221" s="1">
        <v>0.99760000000000004</v>
      </c>
      <c r="B221" s="9" t="s">
        <v>4384</v>
      </c>
      <c r="C221" s="2">
        <v>7081</v>
      </c>
      <c r="D221" s="2" t="s">
        <v>702</v>
      </c>
      <c r="E221" s="9" t="s">
        <v>96</v>
      </c>
      <c r="F221" s="9" t="s">
        <v>97</v>
      </c>
      <c r="G221" s="1">
        <v>1205.5137</v>
      </c>
      <c r="H221" s="2">
        <v>647</v>
      </c>
      <c r="I221" s="2">
        <v>2</v>
      </c>
      <c r="J221" s="1">
        <v>1205.4860000000001</v>
      </c>
      <c r="K221" s="1">
        <v>603.76409999999998</v>
      </c>
      <c r="L221" s="9" t="s">
        <v>98</v>
      </c>
      <c r="M221" s="2">
        <v>5.05</v>
      </c>
      <c r="N221" s="4">
        <v>2823.38</v>
      </c>
      <c r="O221" s="1">
        <f t="shared" si="3"/>
        <v>-16.469397104842805</v>
      </c>
      <c r="P221" s="6">
        <v>36.9</v>
      </c>
      <c r="Q221" s="6">
        <v>26.4</v>
      </c>
      <c r="R221" s="6">
        <v>11.2</v>
      </c>
      <c r="S221" s="6">
        <v>13.7</v>
      </c>
      <c r="T221" s="5">
        <v>1.6999999999999999E-3</v>
      </c>
      <c r="U221" s="1">
        <v>-2.7699999999999999E-2</v>
      </c>
      <c r="V221" s="1">
        <v>4.8491999999999997</v>
      </c>
    </row>
    <row r="222" spans="1:22" x14ac:dyDescent="0.25">
      <c r="A222" s="1">
        <v>0.99960000000000004</v>
      </c>
      <c r="B222" s="9" t="s">
        <v>4385</v>
      </c>
      <c r="C222" s="2">
        <v>7091</v>
      </c>
      <c r="D222" s="2" t="s">
        <v>2220</v>
      </c>
      <c r="E222" s="9" t="s">
        <v>1202</v>
      </c>
      <c r="F222" s="9" t="s">
        <v>363</v>
      </c>
      <c r="G222" s="1">
        <v>1545.8077000000001</v>
      </c>
      <c r="H222" s="2">
        <v>649</v>
      </c>
      <c r="I222" s="2">
        <v>2</v>
      </c>
      <c r="J222" s="1">
        <v>1545.7646</v>
      </c>
      <c r="K222" s="1">
        <v>773.91110000000003</v>
      </c>
      <c r="L222" s="9" t="s">
        <v>364</v>
      </c>
      <c r="M222" s="2">
        <v>8.59</v>
      </c>
      <c r="N222" s="4">
        <v>2971.39</v>
      </c>
      <c r="O222" s="1">
        <f t="shared" si="3"/>
        <v>-31.614369075628897</v>
      </c>
      <c r="P222" s="6">
        <v>62.2</v>
      </c>
      <c r="Q222" s="6">
        <v>38.799999999999997</v>
      </c>
      <c r="R222" s="6">
        <v>9</v>
      </c>
      <c r="S222" s="6">
        <v>11.1</v>
      </c>
      <c r="T222" s="5">
        <v>4.5000000000000001E-6</v>
      </c>
      <c r="U222" s="1">
        <v>-4.3099999999999999E-2</v>
      </c>
      <c r="V222" s="1">
        <v>7.2732999999999999</v>
      </c>
    </row>
    <row r="223" spans="1:22" x14ac:dyDescent="0.25">
      <c r="A223" s="1">
        <v>0.97989999999999999</v>
      </c>
      <c r="B223" s="9" t="s">
        <v>4386</v>
      </c>
      <c r="C223" s="2">
        <v>7093</v>
      </c>
      <c r="D223" s="2" t="s">
        <v>33</v>
      </c>
      <c r="E223" s="9" t="s">
        <v>4149</v>
      </c>
      <c r="F223" s="9" t="s">
        <v>304</v>
      </c>
      <c r="G223" s="1">
        <v>1043.5797</v>
      </c>
      <c r="H223" s="2">
        <v>288</v>
      </c>
      <c r="I223" s="2">
        <v>2</v>
      </c>
      <c r="J223" s="1">
        <v>1043.5491</v>
      </c>
      <c r="K223" s="1">
        <v>522.7971</v>
      </c>
      <c r="L223" s="9" t="s">
        <v>118</v>
      </c>
      <c r="M223" s="2">
        <v>11</v>
      </c>
      <c r="N223" s="4">
        <v>3015.79</v>
      </c>
      <c r="O223" s="1">
        <f t="shared" si="3"/>
        <v>-11.584937126980678</v>
      </c>
      <c r="P223" s="6">
        <v>44.8</v>
      </c>
      <c r="Q223" s="6">
        <v>31.9</v>
      </c>
      <c r="R223" s="6">
        <v>10.199999999999999</v>
      </c>
      <c r="S223" s="6">
        <v>12.7</v>
      </c>
      <c r="T223" s="5">
        <v>0.34</v>
      </c>
      <c r="U223" s="1">
        <v>-3.0599999999999999E-2</v>
      </c>
      <c r="V223" s="1">
        <v>2.6391</v>
      </c>
    </row>
    <row r="224" spans="1:22" x14ac:dyDescent="0.25">
      <c r="A224" s="1">
        <v>0.99939999999999996</v>
      </c>
      <c r="B224" s="9" t="s">
        <v>4387</v>
      </c>
      <c r="C224" s="2">
        <v>7119</v>
      </c>
      <c r="D224" s="2" t="s">
        <v>146</v>
      </c>
      <c r="E224" s="9" t="s">
        <v>4166</v>
      </c>
      <c r="F224" s="9" t="s">
        <v>860</v>
      </c>
      <c r="G224" s="1">
        <v>1347.5517</v>
      </c>
      <c r="H224" s="2">
        <v>652</v>
      </c>
      <c r="I224" s="2">
        <v>2</v>
      </c>
      <c r="J224" s="1">
        <v>1347.5256999999999</v>
      </c>
      <c r="K224" s="1">
        <v>674.78309999999999</v>
      </c>
      <c r="L224" s="9" t="s">
        <v>673</v>
      </c>
      <c r="M224" s="2">
        <v>4.53</v>
      </c>
      <c r="N224" s="4">
        <v>3356.2</v>
      </c>
      <c r="O224" s="1">
        <f t="shared" si="3"/>
        <v>-25.270069821526889</v>
      </c>
      <c r="P224" s="6">
        <v>39.9</v>
      </c>
      <c r="Q224" s="6">
        <v>23.8</v>
      </c>
      <c r="R224" s="6">
        <v>10.199999999999999</v>
      </c>
      <c r="S224" s="6">
        <v>11.4</v>
      </c>
      <c r="T224" s="5">
        <v>1.9000000000000001E-4</v>
      </c>
      <c r="U224" s="1">
        <v>-2.5999999999999999E-2</v>
      </c>
      <c r="V224" s="1">
        <v>6.4802</v>
      </c>
    </row>
    <row r="225" spans="1:22" x14ac:dyDescent="0.25">
      <c r="A225" s="1">
        <v>0.98570000000000002</v>
      </c>
      <c r="B225" s="9" t="s">
        <v>4388</v>
      </c>
      <c r="C225" s="2">
        <v>7124</v>
      </c>
      <c r="D225" s="2" t="s">
        <v>1002</v>
      </c>
      <c r="E225" s="9" t="s">
        <v>3173</v>
      </c>
      <c r="F225" s="9" t="s">
        <v>860</v>
      </c>
      <c r="G225" s="1">
        <v>1227.6537000000001</v>
      </c>
      <c r="H225" s="2">
        <v>654</v>
      </c>
      <c r="I225" s="2">
        <v>2</v>
      </c>
      <c r="J225" s="1">
        <v>1227.6285</v>
      </c>
      <c r="K225" s="1">
        <v>614.83410000000003</v>
      </c>
      <c r="L225" s="9" t="s">
        <v>673</v>
      </c>
      <c r="M225" s="2">
        <v>5.93</v>
      </c>
      <c r="N225" s="4">
        <v>3415.4</v>
      </c>
      <c r="O225" s="1">
        <f t="shared" si="3"/>
        <v>-18.142614230839818</v>
      </c>
      <c r="P225" s="6">
        <v>52.4</v>
      </c>
      <c r="Q225" s="6">
        <v>38</v>
      </c>
      <c r="R225" s="6">
        <v>11.2</v>
      </c>
      <c r="S225" s="6">
        <v>13.2</v>
      </c>
      <c r="T225" s="5">
        <v>4.7E-2</v>
      </c>
      <c r="U225" s="1">
        <v>-2.52E-2</v>
      </c>
      <c r="V225" s="1">
        <v>3.3374999999999999</v>
      </c>
    </row>
    <row r="226" spans="1:22" x14ac:dyDescent="0.25">
      <c r="A226" s="1">
        <v>1</v>
      </c>
      <c r="B226" s="9" t="s">
        <v>4389</v>
      </c>
      <c r="C226" s="2">
        <v>7130</v>
      </c>
      <c r="D226" s="2" t="s">
        <v>2151</v>
      </c>
      <c r="E226" s="9" t="s">
        <v>4171</v>
      </c>
      <c r="F226" s="9" t="s">
        <v>860</v>
      </c>
      <c r="G226" s="1">
        <v>2017.9167</v>
      </c>
      <c r="H226" s="2">
        <v>708</v>
      </c>
      <c r="I226" s="2">
        <v>3</v>
      </c>
      <c r="J226" s="1">
        <v>2017.8938000000001</v>
      </c>
      <c r="K226" s="1">
        <v>673.64620000000002</v>
      </c>
      <c r="L226" s="9" t="s">
        <v>673</v>
      </c>
      <c r="M226" s="2">
        <v>4.66</v>
      </c>
      <c r="N226" s="4">
        <v>3479.16</v>
      </c>
      <c r="O226" s="1">
        <f t="shared" si="3"/>
        <v>-17.737645163187146</v>
      </c>
      <c r="P226" s="6">
        <v>51.8</v>
      </c>
      <c r="Q226" s="6">
        <v>29.2</v>
      </c>
      <c r="R226" s="6">
        <v>10.5</v>
      </c>
      <c r="S226" s="6">
        <v>12.1</v>
      </c>
      <c r="T226" s="5">
        <v>2.7999999999999999E-6</v>
      </c>
      <c r="U226" s="1">
        <v>-2.29E-2</v>
      </c>
      <c r="V226" s="1">
        <v>8.2840000000000007</v>
      </c>
    </row>
    <row r="227" spans="1:22" x14ac:dyDescent="0.25">
      <c r="A227" s="1">
        <v>0.99270000000000003</v>
      </c>
      <c r="B227" s="9" t="s">
        <v>4390</v>
      </c>
      <c r="C227" s="2">
        <v>7145</v>
      </c>
      <c r="D227" s="2" t="s">
        <v>1246</v>
      </c>
      <c r="E227" s="9" t="s">
        <v>2013</v>
      </c>
      <c r="F227" s="9" t="s">
        <v>860</v>
      </c>
      <c r="G227" s="1">
        <v>2047.0657000000001</v>
      </c>
      <c r="H227" s="2">
        <v>66</v>
      </c>
      <c r="I227" s="2">
        <v>3</v>
      </c>
      <c r="J227" s="1">
        <v>2047.0110999999999</v>
      </c>
      <c r="K227" s="1">
        <v>683.36249999999995</v>
      </c>
      <c r="L227" s="9" t="s">
        <v>673</v>
      </c>
      <c r="M227" s="2">
        <v>6.24</v>
      </c>
      <c r="N227" s="4">
        <v>3678.96</v>
      </c>
      <c r="O227" s="1">
        <f t="shared" si="3"/>
        <v>-18.756105640727061</v>
      </c>
      <c r="P227" s="6">
        <v>34.799999999999997</v>
      </c>
      <c r="Q227" s="6">
        <v>23.7</v>
      </c>
      <c r="R227" s="6">
        <v>9.3000000000000007</v>
      </c>
      <c r="S227" s="6">
        <v>10.8</v>
      </c>
      <c r="T227" s="5">
        <v>1.9E-3</v>
      </c>
      <c r="U227" s="1">
        <v>-5.4600000000000003E-2</v>
      </c>
      <c r="V227" s="1">
        <v>4.7866</v>
      </c>
    </row>
    <row r="228" spans="1:22" x14ac:dyDescent="0.25">
      <c r="A228" s="1">
        <v>0.99980000000000002</v>
      </c>
      <c r="B228" s="9" t="s">
        <v>4391</v>
      </c>
      <c r="C228" s="2">
        <v>7146</v>
      </c>
      <c r="D228" s="2" t="s">
        <v>1903</v>
      </c>
      <c r="E228" s="9" t="s">
        <v>4185</v>
      </c>
      <c r="F228" s="9" t="s">
        <v>2062</v>
      </c>
      <c r="G228" s="1">
        <v>1880.9917</v>
      </c>
      <c r="H228" s="2">
        <v>710</v>
      </c>
      <c r="I228" s="2">
        <v>3</v>
      </c>
      <c r="J228" s="1">
        <v>1880.9512</v>
      </c>
      <c r="K228" s="1">
        <v>628.00450000000001</v>
      </c>
      <c r="L228" s="9" t="s">
        <v>2063</v>
      </c>
      <c r="M228" s="2">
        <v>5.57</v>
      </c>
      <c r="N228" s="4">
        <v>3693.76</v>
      </c>
      <c r="O228" s="1">
        <f t="shared" si="3"/>
        <v>-15.886850833668769</v>
      </c>
      <c r="P228" s="6">
        <v>42.1</v>
      </c>
      <c r="Q228" s="6">
        <v>31.9</v>
      </c>
      <c r="R228" s="6">
        <v>10.8</v>
      </c>
      <c r="S228" s="6">
        <v>12.6</v>
      </c>
      <c r="T228" s="5">
        <v>9.3999999999999994E-5</v>
      </c>
      <c r="U228" s="1">
        <v>-4.0500000000000001E-2</v>
      </c>
      <c r="V228" s="1">
        <v>6.2393000000000001</v>
      </c>
    </row>
    <row r="229" spans="1:22" x14ac:dyDescent="0.25">
      <c r="A229" s="1">
        <v>0.99480000000000002</v>
      </c>
      <c r="B229" s="9" t="s">
        <v>4392</v>
      </c>
      <c r="C229" s="2">
        <v>7157</v>
      </c>
      <c r="D229" s="2" t="s">
        <v>1887</v>
      </c>
      <c r="E229" s="9" t="s">
        <v>4195</v>
      </c>
      <c r="F229" s="9" t="s">
        <v>4196</v>
      </c>
      <c r="G229" s="1">
        <v>1118.6367</v>
      </c>
      <c r="H229" s="2">
        <v>657</v>
      </c>
      <c r="I229" s="2">
        <v>2</v>
      </c>
      <c r="J229" s="1">
        <v>1118.585</v>
      </c>
      <c r="K229" s="1">
        <v>560.32560000000001</v>
      </c>
      <c r="L229" s="9" t="s">
        <v>514</v>
      </c>
      <c r="M229" s="2">
        <v>10</v>
      </c>
      <c r="N229" s="4">
        <v>3805.96</v>
      </c>
      <c r="O229" s="1">
        <f t="shared" si="3"/>
        <v>-11.123353666411861</v>
      </c>
      <c r="P229" s="6">
        <v>58.9</v>
      </c>
      <c r="Q229" s="6">
        <v>42.9</v>
      </c>
      <c r="R229" s="6">
        <v>9.5</v>
      </c>
      <c r="S229" s="6">
        <v>10.7</v>
      </c>
      <c r="T229" s="5">
        <v>9.1999999999999998E-3</v>
      </c>
      <c r="U229" s="1">
        <v>-5.1700000000000003E-2</v>
      </c>
      <c r="V229" s="1">
        <v>4.1467000000000001</v>
      </c>
    </row>
    <row r="230" spans="1:22" x14ac:dyDescent="0.25">
      <c r="A230" s="1">
        <v>0.99939999999999996</v>
      </c>
      <c r="B230" s="9" t="s">
        <v>4393</v>
      </c>
      <c r="C230" s="2">
        <v>7180</v>
      </c>
      <c r="D230" s="2" t="s">
        <v>2518</v>
      </c>
      <c r="E230" s="9" t="s">
        <v>194</v>
      </c>
      <c r="F230" s="9" t="s">
        <v>1262</v>
      </c>
      <c r="G230" s="1">
        <v>1531.8647000000001</v>
      </c>
      <c r="H230" s="2">
        <v>663</v>
      </c>
      <c r="I230" s="2">
        <v>2</v>
      </c>
      <c r="J230" s="1">
        <v>1531.8218999999999</v>
      </c>
      <c r="K230" s="1">
        <v>766.93960000000004</v>
      </c>
      <c r="L230" s="9" t="s">
        <v>1263</v>
      </c>
      <c r="M230" s="2">
        <v>10</v>
      </c>
      <c r="N230" s="4">
        <v>4038.57</v>
      </c>
      <c r="O230" s="1">
        <f t="shared" si="3"/>
        <v>-14.383018030818992</v>
      </c>
      <c r="P230" s="6">
        <v>66</v>
      </c>
      <c r="Q230" s="6">
        <v>41.7</v>
      </c>
      <c r="R230" s="6">
        <v>11.9</v>
      </c>
      <c r="S230" s="6">
        <v>11.5</v>
      </c>
      <c r="T230" s="5">
        <v>2.9E-5</v>
      </c>
      <c r="U230" s="1">
        <v>-4.2799999999999998E-2</v>
      </c>
      <c r="V230" s="1">
        <v>6.4423000000000004</v>
      </c>
    </row>
    <row r="231" spans="1:22" x14ac:dyDescent="0.25">
      <c r="A231" s="1">
        <v>0.98109999999999997</v>
      </c>
      <c r="B231" s="9" t="s">
        <v>4394</v>
      </c>
      <c r="C231" s="2">
        <v>7191</v>
      </c>
      <c r="D231" s="2" t="s">
        <v>302</v>
      </c>
      <c r="E231" s="9" t="s">
        <v>823</v>
      </c>
      <c r="F231" s="9" t="s">
        <v>508</v>
      </c>
      <c r="G231" s="1">
        <v>1386.6857</v>
      </c>
      <c r="H231" s="2">
        <v>290</v>
      </c>
      <c r="I231" s="2">
        <v>2</v>
      </c>
      <c r="J231" s="1">
        <v>1386.6482000000001</v>
      </c>
      <c r="K231" s="1">
        <v>694.3501</v>
      </c>
      <c r="L231" s="9" t="s">
        <v>509</v>
      </c>
      <c r="M231" s="2">
        <v>6.14</v>
      </c>
      <c r="N231" s="4">
        <v>4149.58</v>
      </c>
      <c r="O231" s="1">
        <f t="shared" si="3"/>
        <v>-26.875575400724756</v>
      </c>
      <c r="P231" s="6">
        <v>33.700000000000003</v>
      </c>
      <c r="Q231" s="6">
        <v>25.5</v>
      </c>
      <c r="R231" s="6">
        <v>12.7</v>
      </c>
      <c r="S231" s="6">
        <v>11.1</v>
      </c>
      <c r="T231" s="5">
        <v>3.9E-2</v>
      </c>
      <c r="U231" s="1">
        <v>-3.7499999999999999E-2</v>
      </c>
      <c r="V231" s="1">
        <v>3.1389</v>
      </c>
    </row>
    <row r="232" spans="1:22" x14ac:dyDescent="0.25">
      <c r="A232" s="1">
        <v>0.99629999999999996</v>
      </c>
      <c r="B232" s="9" t="s">
        <v>4395</v>
      </c>
      <c r="C232" s="2">
        <v>7201</v>
      </c>
      <c r="D232" s="2" t="s">
        <v>285</v>
      </c>
      <c r="E232" s="9" t="s">
        <v>4211</v>
      </c>
      <c r="F232" s="9" t="s">
        <v>1122</v>
      </c>
      <c r="G232" s="1">
        <v>1509.7687000000001</v>
      </c>
      <c r="H232" s="2">
        <v>291</v>
      </c>
      <c r="I232" s="2">
        <v>2</v>
      </c>
      <c r="J232" s="1">
        <v>1509.7485999999999</v>
      </c>
      <c r="K232" s="1">
        <v>755.89160000000004</v>
      </c>
      <c r="L232" s="9" t="s">
        <v>456</v>
      </c>
      <c r="M232" s="2">
        <v>8.2200000000000006</v>
      </c>
      <c r="N232" s="4">
        <v>4245.78</v>
      </c>
      <c r="O232" s="1">
        <f t="shared" si="3"/>
        <v>-23.930502140169235</v>
      </c>
      <c r="P232" s="6">
        <v>49.7</v>
      </c>
      <c r="Q232" s="6">
        <v>31.6</v>
      </c>
      <c r="R232" s="6">
        <v>11.8</v>
      </c>
      <c r="S232" s="6">
        <v>13.1</v>
      </c>
      <c r="T232" s="5">
        <v>7.6E-3</v>
      </c>
      <c r="U232" s="1">
        <v>-2.01E-2</v>
      </c>
      <c r="V232" s="1">
        <v>4.3358999999999996</v>
      </c>
    </row>
    <row r="233" spans="1:22" x14ac:dyDescent="0.25">
      <c r="A233" s="1">
        <v>0.97260000000000002</v>
      </c>
      <c r="B233" s="9" t="s">
        <v>4396</v>
      </c>
      <c r="C233" s="2">
        <v>7211</v>
      </c>
      <c r="D233" s="2" t="s">
        <v>423</v>
      </c>
      <c r="E233" s="9" t="s">
        <v>4217</v>
      </c>
      <c r="F233" s="9" t="s">
        <v>3529</v>
      </c>
      <c r="G233" s="1">
        <v>1460.7447</v>
      </c>
      <c r="H233" s="2">
        <v>669</v>
      </c>
      <c r="I233" s="2">
        <v>2</v>
      </c>
      <c r="J233" s="1">
        <v>1460.7188000000001</v>
      </c>
      <c r="K233" s="1">
        <v>731.37959999999998</v>
      </c>
      <c r="L233" s="9" t="s">
        <v>3530</v>
      </c>
      <c r="M233" s="2">
        <v>8.75</v>
      </c>
      <c r="N233" s="4">
        <v>4356.78</v>
      </c>
      <c r="O233" s="1">
        <f t="shared" si="3"/>
        <v>-19.611212865781372</v>
      </c>
      <c r="P233" s="6">
        <v>36.4</v>
      </c>
      <c r="Q233" s="6">
        <v>28.4</v>
      </c>
      <c r="R233" s="6">
        <v>12.8</v>
      </c>
      <c r="S233" s="6">
        <v>11.7</v>
      </c>
      <c r="T233" s="5">
        <v>3.5000000000000003E-2</v>
      </c>
      <c r="U233" s="1">
        <v>-2.5899999999999999E-2</v>
      </c>
      <c r="V233" s="1">
        <v>2.863</v>
      </c>
    </row>
    <row r="234" spans="1:22" x14ac:dyDescent="0.25">
      <c r="A234" s="1">
        <v>0.99539999999999995</v>
      </c>
      <c r="B234" s="9" t="s">
        <v>4397</v>
      </c>
      <c r="C234" s="2">
        <v>7212</v>
      </c>
      <c r="D234" s="2" t="s">
        <v>384</v>
      </c>
      <c r="E234" s="9" t="s">
        <v>4229</v>
      </c>
      <c r="F234" s="9" t="s">
        <v>97</v>
      </c>
      <c r="G234" s="1">
        <v>1566.8806999999999</v>
      </c>
      <c r="H234" s="2">
        <v>713</v>
      </c>
      <c r="I234" s="2">
        <v>3</v>
      </c>
      <c r="J234" s="1">
        <v>1566.7501</v>
      </c>
      <c r="K234" s="1">
        <v>523.30079999999998</v>
      </c>
      <c r="L234" s="9" t="s">
        <v>98</v>
      </c>
      <c r="M234" s="2">
        <v>8.57</v>
      </c>
      <c r="N234" s="4">
        <v>4371.58</v>
      </c>
      <c r="O234" s="1">
        <f t="shared" si="3"/>
        <v>-18.329336894755645</v>
      </c>
      <c r="P234" s="6">
        <v>38.700000000000003</v>
      </c>
      <c r="Q234" s="6">
        <v>29.5</v>
      </c>
      <c r="R234" s="6">
        <v>11.3</v>
      </c>
      <c r="S234" s="6">
        <v>12.8</v>
      </c>
      <c r="T234" s="5">
        <v>1.9E-2</v>
      </c>
      <c r="U234" s="1">
        <v>-0.13059999999999999</v>
      </c>
      <c r="V234" s="1">
        <v>3.7170999999999998</v>
      </c>
    </row>
    <row r="235" spans="1:22" x14ac:dyDescent="0.25">
      <c r="A235" s="1">
        <v>0.99809999999999999</v>
      </c>
      <c r="B235" s="9" t="s">
        <v>4398</v>
      </c>
      <c r="C235" s="2">
        <v>7218</v>
      </c>
      <c r="D235" s="2" t="s">
        <v>493</v>
      </c>
      <c r="E235" s="9" t="s">
        <v>2076</v>
      </c>
      <c r="F235" s="9" t="s">
        <v>1924</v>
      </c>
      <c r="G235" s="1">
        <v>1431.7387000000001</v>
      </c>
      <c r="H235" s="2">
        <v>670</v>
      </c>
      <c r="I235" s="2">
        <v>2</v>
      </c>
      <c r="J235" s="1">
        <v>1431.7002</v>
      </c>
      <c r="K235" s="1">
        <v>716.87660000000005</v>
      </c>
      <c r="L235" s="9" t="s">
        <v>898</v>
      </c>
      <c r="M235" s="2">
        <v>6.25</v>
      </c>
      <c r="N235" s="4">
        <v>4423.3900000000003</v>
      </c>
      <c r="O235" s="1">
        <f t="shared" si="3"/>
        <v>-22.939422863996054</v>
      </c>
      <c r="P235" s="6">
        <v>46.4</v>
      </c>
      <c r="Q235" s="6">
        <v>28.5</v>
      </c>
      <c r="R235" s="6">
        <v>8</v>
      </c>
      <c r="S235" s="6">
        <v>8.6999999999999993</v>
      </c>
      <c r="T235" s="5">
        <v>1.1999999999999999E-3</v>
      </c>
      <c r="U235" s="1">
        <v>-3.85E-2</v>
      </c>
      <c r="V235" s="1">
        <v>5.0964</v>
      </c>
    </row>
    <row r="236" spans="1:22" x14ac:dyDescent="0.25">
      <c r="A236" s="1">
        <v>0.99839999999999995</v>
      </c>
      <c r="B236" s="9" t="s">
        <v>4399</v>
      </c>
      <c r="C236" s="2">
        <v>7220</v>
      </c>
      <c r="D236" s="2" t="s">
        <v>280</v>
      </c>
      <c r="E236" s="9" t="s">
        <v>2634</v>
      </c>
      <c r="F236" s="9" t="s">
        <v>2635</v>
      </c>
      <c r="G236" s="1">
        <v>1644.8067000000001</v>
      </c>
      <c r="H236" s="2">
        <v>671</v>
      </c>
      <c r="I236" s="2">
        <v>2</v>
      </c>
      <c r="J236" s="1">
        <v>1644.7699</v>
      </c>
      <c r="K236" s="1">
        <v>823.41060000000004</v>
      </c>
      <c r="L236" s="9" t="s">
        <v>2636</v>
      </c>
      <c r="M236" s="2">
        <v>4.62</v>
      </c>
      <c r="N236" s="4">
        <v>4446.6899999999996</v>
      </c>
      <c r="O236" s="1">
        <f t="shared" si="3"/>
        <v>-27.845575544788026</v>
      </c>
      <c r="P236" s="6">
        <v>41.6</v>
      </c>
      <c r="Q236" s="6">
        <v>26.5</v>
      </c>
      <c r="R236" s="6">
        <v>11.3</v>
      </c>
      <c r="S236" s="6">
        <v>9.1</v>
      </c>
      <c r="T236" s="5">
        <v>6.3000000000000003E-4</v>
      </c>
      <c r="U236" s="1">
        <v>-3.6799999999999999E-2</v>
      </c>
      <c r="V236" s="1">
        <v>5.2812000000000001</v>
      </c>
    </row>
    <row r="237" spans="1:22" x14ac:dyDescent="0.25">
      <c r="A237" s="1">
        <v>0.98419999999999996</v>
      </c>
      <c r="B237" s="9" t="s">
        <v>4400</v>
      </c>
      <c r="C237" s="2">
        <v>7229</v>
      </c>
      <c r="D237" s="2" t="s">
        <v>568</v>
      </c>
      <c r="E237" s="9" t="s">
        <v>2085</v>
      </c>
      <c r="F237" s="9" t="s">
        <v>860</v>
      </c>
      <c r="G237" s="1">
        <v>1704.8757000000001</v>
      </c>
      <c r="H237" s="2">
        <v>673</v>
      </c>
      <c r="I237" s="2">
        <v>2</v>
      </c>
      <c r="J237" s="1">
        <v>1704.8389999999999</v>
      </c>
      <c r="K237" s="1">
        <v>853.44510000000002</v>
      </c>
      <c r="L237" s="9" t="s">
        <v>673</v>
      </c>
      <c r="M237" s="2">
        <v>5.93</v>
      </c>
      <c r="N237" s="4">
        <v>4595.2</v>
      </c>
      <c r="O237" s="1">
        <f t="shared" si="3"/>
        <v>-29.265655834739711</v>
      </c>
      <c r="P237" s="6">
        <v>32.6</v>
      </c>
      <c r="Q237" s="6">
        <v>25.2</v>
      </c>
      <c r="R237" s="6">
        <v>10.4</v>
      </c>
      <c r="S237" s="6">
        <v>11.5</v>
      </c>
      <c r="T237" s="5">
        <v>1.2E-2</v>
      </c>
      <c r="U237" s="1">
        <v>-3.6700000000000003E-2</v>
      </c>
      <c r="V237" s="1">
        <v>3.262</v>
      </c>
    </row>
    <row r="238" spans="1:22" x14ac:dyDescent="0.25">
      <c r="A238" s="1">
        <v>0.98409999999999997</v>
      </c>
      <c r="B238" s="9" t="s">
        <v>4401</v>
      </c>
      <c r="C238" s="2">
        <v>7247</v>
      </c>
      <c r="D238" s="2" t="s">
        <v>4248</v>
      </c>
      <c r="E238" s="9" t="s">
        <v>2109</v>
      </c>
      <c r="F238" s="9" t="s">
        <v>647</v>
      </c>
      <c r="G238" s="1">
        <v>960.52170000000001</v>
      </c>
      <c r="H238" s="2">
        <v>295</v>
      </c>
      <c r="I238" s="2">
        <v>2</v>
      </c>
      <c r="J238" s="1">
        <v>960.49760000000003</v>
      </c>
      <c r="K238" s="1">
        <v>481.2681</v>
      </c>
      <c r="L238" s="9" t="s">
        <v>118</v>
      </c>
      <c r="M238" s="2">
        <v>11</v>
      </c>
      <c r="N238" s="4">
        <v>4813.6000000000004</v>
      </c>
      <c r="O238" s="1">
        <f t="shared" si="3"/>
        <v>-19.265449890490736</v>
      </c>
      <c r="P238" s="6">
        <v>35.700000000000003</v>
      </c>
      <c r="Q238" s="6">
        <v>29.3</v>
      </c>
      <c r="R238" s="6">
        <v>11.4</v>
      </c>
      <c r="S238" s="6">
        <v>11.8</v>
      </c>
      <c r="T238" s="5">
        <v>0.13</v>
      </c>
      <c r="U238" s="1">
        <v>-2.41E-2</v>
      </c>
      <c r="V238" s="1">
        <v>2.7179000000000002</v>
      </c>
    </row>
    <row r="239" spans="1:22" x14ac:dyDescent="0.25">
      <c r="A239" s="1">
        <v>0.99990000000000001</v>
      </c>
      <c r="B239" s="9" t="s">
        <v>4402</v>
      </c>
      <c r="C239" s="2">
        <v>7265</v>
      </c>
      <c r="D239" s="2" t="s">
        <v>2194</v>
      </c>
      <c r="E239" s="9" t="s">
        <v>887</v>
      </c>
      <c r="F239" s="9" t="s">
        <v>97</v>
      </c>
      <c r="G239" s="1">
        <v>1880.0436999999999</v>
      </c>
      <c r="H239" s="2">
        <v>715</v>
      </c>
      <c r="I239" s="2">
        <v>3</v>
      </c>
      <c r="J239" s="1">
        <v>1880.0065999999999</v>
      </c>
      <c r="K239" s="1">
        <v>627.68849999999998</v>
      </c>
      <c r="L239" s="9" t="s">
        <v>98</v>
      </c>
      <c r="M239" s="2">
        <v>6.73</v>
      </c>
      <c r="N239" s="4">
        <v>5103.76</v>
      </c>
      <c r="O239" s="1">
        <f t="shared" si="3"/>
        <v>-20.493333079606352</v>
      </c>
      <c r="P239" s="6">
        <v>40.1</v>
      </c>
      <c r="Q239" s="6">
        <v>24</v>
      </c>
      <c r="R239" s="6">
        <v>12.2</v>
      </c>
      <c r="S239" s="6">
        <v>10.9</v>
      </c>
      <c r="T239" s="5">
        <v>9.7999999999999997E-5</v>
      </c>
      <c r="U239" s="1">
        <v>-3.7100000000000001E-2</v>
      </c>
      <c r="V239" s="1">
        <v>6.8228</v>
      </c>
    </row>
    <row r="240" spans="1:22" x14ac:dyDescent="0.25">
      <c r="A240" s="1">
        <v>0.99650000000000005</v>
      </c>
      <c r="B240" s="9" t="s">
        <v>4403</v>
      </c>
      <c r="C240" s="2">
        <v>7267</v>
      </c>
      <c r="D240" s="2" t="s">
        <v>316</v>
      </c>
      <c r="E240" s="9" t="s">
        <v>271</v>
      </c>
      <c r="F240" s="9" t="s">
        <v>272</v>
      </c>
      <c r="G240" s="1">
        <v>1682.8077000000001</v>
      </c>
      <c r="H240" s="2">
        <v>678</v>
      </c>
      <c r="I240" s="2">
        <v>2</v>
      </c>
      <c r="J240" s="1">
        <v>1682.7497000000001</v>
      </c>
      <c r="K240" s="1">
        <v>842.41110000000003</v>
      </c>
      <c r="L240" s="9" t="s">
        <v>273</v>
      </c>
      <c r="M240" s="2">
        <v>4.46</v>
      </c>
      <c r="N240" s="4">
        <v>5125.21</v>
      </c>
      <c r="O240" s="1">
        <f t="shared" si="3"/>
        <v>-11.331368503723962</v>
      </c>
      <c r="P240" s="6">
        <v>39</v>
      </c>
      <c r="Q240" s="6">
        <v>27.2</v>
      </c>
      <c r="R240" s="6">
        <v>11.3</v>
      </c>
      <c r="S240" s="6">
        <v>11.8</v>
      </c>
      <c r="T240" s="5">
        <v>1.4E-3</v>
      </c>
      <c r="U240" s="1">
        <v>-5.8000000000000003E-2</v>
      </c>
      <c r="V240" s="1">
        <v>4.5038</v>
      </c>
    </row>
    <row r="241" spans="1:22" x14ac:dyDescent="0.25">
      <c r="A241" s="1">
        <v>0.99970000000000003</v>
      </c>
      <c r="B241" s="9" t="s">
        <v>4404</v>
      </c>
      <c r="C241" s="2">
        <v>7279</v>
      </c>
      <c r="D241" s="2" t="s">
        <v>4405</v>
      </c>
      <c r="E241" s="9" t="s">
        <v>4278</v>
      </c>
      <c r="F241" s="9" t="s">
        <v>1961</v>
      </c>
      <c r="G241" s="1">
        <v>1793.8226999999999</v>
      </c>
      <c r="H241" s="2">
        <v>679</v>
      </c>
      <c r="I241" s="2">
        <v>2</v>
      </c>
      <c r="J241" s="1">
        <v>1793.7787000000001</v>
      </c>
      <c r="K241" s="1">
        <v>897.91859999999997</v>
      </c>
      <c r="L241" s="9" t="s">
        <v>1962</v>
      </c>
      <c r="M241" s="2">
        <v>5.95</v>
      </c>
      <c r="N241" s="4">
        <v>5228.07</v>
      </c>
      <c r="O241" s="1">
        <f t="shared" si="3"/>
        <v>-26.633009566664839</v>
      </c>
      <c r="P241" s="6">
        <v>61.7</v>
      </c>
      <c r="Q241" s="6">
        <v>30.8</v>
      </c>
      <c r="R241" s="6">
        <v>12.2</v>
      </c>
      <c r="S241" s="6">
        <v>11.8</v>
      </c>
      <c r="T241" s="5">
        <v>9.9999999999999995E-7</v>
      </c>
      <c r="U241" s="1">
        <v>-4.3999999999999997E-2</v>
      </c>
      <c r="V241" s="1">
        <v>7.9294000000000002</v>
      </c>
    </row>
    <row r="242" spans="1:22" x14ac:dyDescent="0.25">
      <c r="A242" s="1">
        <v>0.99429999999999996</v>
      </c>
      <c r="B242" s="9" t="s">
        <v>4406</v>
      </c>
      <c r="C242" s="2">
        <v>7280</v>
      </c>
      <c r="D242" s="2" t="s">
        <v>396</v>
      </c>
      <c r="E242" s="9" t="s">
        <v>4287</v>
      </c>
      <c r="F242" s="9" t="s">
        <v>2392</v>
      </c>
      <c r="G242" s="1">
        <v>1135.5697</v>
      </c>
      <c r="H242" s="2">
        <v>680</v>
      </c>
      <c r="I242" s="2">
        <v>2</v>
      </c>
      <c r="J242" s="1">
        <v>1135.5463999999999</v>
      </c>
      <c r="K242" s="1">
        <v>568.7921</v>
      </c>
      <c r="L242" s="9" t="s">
        <v>2393</v>
      </c>
      <c r="M242" s="2">
        <v>5.96</v>
      </c>
      <c r="N242" s="4">
        <v>5257.77</v>
      </c>
      <c r="O242" s="1">
        <f t="shared" si="3"/>
        <v>-21.496661250038812</v>
      </c>
      <c r="P242" s="6">
        <v>42.5</v>
      </c>
      <c r="Q242" s="6">
        <v>32.1</v>
      </c>
      <c r="R242" s="6">
        <v>11.1</v>
      </c>
      <c r="S242" s="6">
        <v>11.8</v>
      </c>
      <c r="T242" s="5">
        <v>1.2E-2</v>
      </c>
      <c r="U242" s="1">
        <v>-2.3300000000000001E-2</v>
      </c>
      <c r="V242" s="1">
        <v>4.0640000000000001</v>
      </c>
    </row>
    <row r="243" spans="1:22" x14ac:dyDescent="0.25">
      <c r="A243" s="1">
        <v>0.97319999999999995</v>
      </c>
      <c r="B243" s="9" t="s">
        <v>4407</v>
      </c>
      <c r="C243" s="2">
        <v>7281</v>
      </c>
      <c r="D243" s="2" t="s">
        <v>302</v>
      </c>
      <c r="E243" s="9" t="s">
        <v>4285</v>
      </c>
      <c r="F243" s="9" t="s">
        <v>2323</v>
      </c>
      <c r="G243" s="1">
        <v>1187.6216999999999</v>
      </c>
      <c r="H243" s="2">
        <v>681</v>
      </c>
      <c r="I243" s="2">
        <v>2</v>
      </c>
      <c r="J243" s="1">
        <v>1187.5907999999999</v>
      </c>
      <c r="K243" s="1">
        <v>594.81809999999996</v>
      </c>
      <c r="L243" s="9" t="s">
        <v>2324</v>
      </c>
      <c r="M243" s="2">
        <v>5.84</v>
      </c>
      <c r="N243" s="4">
        <v>5274.77</v>
      </c>
      <c r="O243" s="1">
        <f t="shared" si="3"/>
        <v>-46.13389072353646</v>
      </c>
      <c r="P243" s="6">
        <v>34.6</v>
      </c>
      <c r="Q243" s="6">
        <v>25.6</v>
      </c>
      <c r="R243" s="6">
        <v>10.9</v>
      </c>
      <c r="S243" s="6">
        <v>7</v>
      </c>
      <c r="T243" s="5">
        <v>7.9000000000000001E-2</v>
      </c>
      <c r="U243" s="1">
        <v>-3.09E-2</v>
      </c>
      <c r="V243" s="1">
        <v>2.8794</v>
      </c>
    </row>
    <row r="244" spans="1:22" x14ac:dyDescent="0.25">
      <c r="A244" s="1">
        <v>0.99970000000000003</v>
      </c>
      <c r="B244" s="9" t="s">
        <v>4408</v>
      </c>
      <c r="C244" s="2">
        <v>7283</v>
      </c>
      <c r="D244" s="2" t="s">
        <v>1561</v>
      </c>
      <c r="E244" s="9" t="s">
        <v>4291</v>
      </c>
      <c r="F244" s="9" t="s">
        <v>97</v>
      </c>
      <c r="G244" s="1">
        <v>1429.8217</v>
      </c>
      <c r="H244" s="2">
        <v>683</v>
      </c>
      <c r="I244" s="2">
        <v>2</v>
      </c>
      <c r="J244" s="1">
        <v>1429.7947999999999</v>
      </c>
      <c r="K244" s="1">
        <v>715.91809999999998</v>
      </c>
      <c r="L244" s="9" t="s">
        <v>98</v>
      </c>
      <c r="M244" s="2">
        <v>8.56</v>
      </c>
      <c r="N244" s="4">
        <v>5297.07</v>
      </c>
      <c r="O244" s="1">
        <f t="shared" si="3"/>
        <v>-27.903109971111149</v>
      </c>
      <c r="P244" s="6">
        <v>75.3</v>
      </c>
      <c r="Q244" s="6">
        <v>43.3</v>
      </c>
      <c r="R244" s="6">
        <v>12.1</v>
      </c>
      <c r="S244" s="6">
        <v>11.8</v>
      </c>
      <c r="T244" s="5">
        <v>9.5999999999999996E-6</v>
      </c>
      <c r="U244" s="1">
        <v>-2.69E-2</v>
      </c>
      <c r="V244" s="1">
        <v>7.6993</v>
      </c>
    </row>
    <row r="245" spans="1:22" x14ac:dyDescent="0.25">
      <c r="A245" s="1">
        <v>0.97870000000000001</v>
      </c>
      <c r="B245" s="9" t="s">
        <v>4409</v>
      </c>
      <c r="C245" s="2">
        <v>7284</v>
      </c>
      <c r="D245" s="2" t="s">
        <v>511</v>
      </c>
      <c r="E245" s="9" t="s">
        <v>2143</v>
      </c>
      <c r="F245" s="9" t="s">
        <v>1847</v>
      </c>
      <c r="G245" s="1">
        <v>1409.6316999999999</v>
      </c>
      <c r="H245" s="2">
        <v>300</v>
      </c>
      <c r="I245" s="2">
        <v>2</v>
      </c>
      <c r="J245" s="1">
        <v>1409.597</v>
      </c>
      <c r="K245" s="1">
        <v>705.82309999999995</v>
      </c>
      <c r="L245" s="9" t="s">
        <v>1848</v>
      </c>
      <c r="M245" s="2">
        <v>4.75</v>
      </c>
      <c r="N245" s="4">
        <v>5323.77</v>
      </c>
      <c r="O245" s="1">
        <f t="shared" si="3"/>
        <v>-27.003668610402734</v>
      </c>
      <c r="P245" s="6">
        <v>31.2</v>
      </c>
      <c r="Q245" s="6">
        <v>26.4</v>
      </c>
      <c r="R245" s="6">
        <v>11</v>
      </c>
      <c r="S245" s="6">
        <v>9.6</v>
      </c>
      <c r="T245" s="5">
        <v>3.3000000000000002E-2</v>
      </c>
      <c r="U245" s="1">
        <v>-3.4700000000000002E-2</v>
      </c>
      <c r="V245" s="1">
        <v>2.9043999999999999</v>
      </c>
    </row>
    <row r="246" spans="1:22" x14ac:dyDescent="0.25">
      <c r="A246" s="1">
        <v>0.98619999999999997</v>
      </c>
      <c r="B246" s="9" t="s">
        <v>4410</v>
      </c>
      <c r="C246" s="2">
        <v>7305</v>
      </c>
      <c r="D246" s="2" t="s">
        <v>311</v>
      </c>
      <c r="E246" s="9" t="s">
        <v>3302</v>
      </c>
      <c r="F246" s="9" t="s">
        <v>860</v>
      </c>
      <c r="G246" s="1">
        <v>1502.7807</v>
      </c>
      <c r="H246" s="2">
        <v>686</v>
      </c>
      <c r="I246" s="2">
        <v>2</v>
      </c>
      <c r="J246" s="1">
        <v>1502.7578000000001</v>
      </c>
      <c r="K246" s="1">
        <v>752.39760000000001</v>
      </c>
      <c r="L246" s="9" t="s">
        <v>673</v>
      </c>
      <c r="M246" s="2">
        <v>5.96</v>
      </c>
      <c r="N246" s="4">
        <v>5645.49</v>
      </c>
      <c r="O246" s="1">
        <f t="shared" si="3"/>
        <v>-13.295557193650517</v>
      </c>
      <c r="P246" s="6">
        <v>38.299999999999997</v>
      </c>
      <c r="Q246" s="6">
        <v>28.9</v>
      </c>
      <c r="R246" s="6">
        <v>11.7</v>
      </c>
      <c r="S246" s="6">
        <v>11.7</v>
      </c>
      <c r="T246" s="5">
        <v>1.9E-2</v>
      </c>
      <c r="U246" s="1">
        <v>-2.29E-2</v>
      </c>
      <c r="V246" s="1">
        <v>3.3641999999999999</v>
      </c>
    </row>
    <row r="247" spans="1:22" x14ac:dyDescent="0.25">
      <c r="A247" s="1">
        <v>0.98460000000000003</v>
      </c>
      <c r="B247" s="9" t="s">
        <v>4411</v>
      </c>
      <c r="C247" s="2">
        <v>7307</v>
      </c>
      <c r="D247" s="2" t="s">
        <v>423</v>
      </c>
      <c r="E247" s="9" t="s">
        <v>4314</v>
      </c>
      <c r="F247" s="9" t="s">
        <v>97</v>
      </c>
      <c r="G247" s="1">
        <v>1432.7272</v>
      </c>
      <c r="H247" s="2">
        <v>687</v>
      </c>
      <c r="I247" s="2">
        <v>2</v>
      </c>
      <c r="J247" s="1">
        <v>1432.7268999999999</v>
      </c>
      <c r="K247" s="1">
        <v>717.37090000000001</v>
      </c>
      <c r="L247" s="9" t="s">
        <v>98</v>
      </c>
      <c r="M247" s="2">
        <v>5.83</v>
      </c>
      <c r="N247" s="4">
        <v>5662.59</v>
      </c>
      <c r="O247" s="1">
        <f t="shared" si="3"/>
        <v>-17.706263614681074</v>
      </c>
      <c r="P247" s="6">
        <v>35.700000000000003</v>
      </c>
      <c r="Q247" s="6">
        <v>28.6</v>
      </c>
      <c r="R247" s="6">
        <v>10.199999999999999</v>
      </c>
      <c r="S247" s="6">
        <v>10.9</v>
      </c>
      <c r="T247" s="5">
        <v>1.0999999999999999E-2</v>
      </c>
      <c r="U247" s="1">
        <v>-2.9999999999999997E-4</v>
      </c>
      <c r="V247" s="1">
        <v>3.2837999999999998</v>
      </c>
    </row>
    <row r="248" spans="1:22" x14ac:dyDescent="0.25">
      <c r="A248" s="1">
        <v>0.97550000000000003</v>
      </c>
      <c r="B248" s="9" t="s">
        <v>4412</v>
      </c>
      <c r="C248" s="2">
        <v>7322</v>
      </c>
      <c r="D248" s="2" t="s">
        <v>4413</v>
      </c>
      <c r="E248" s="9" t="s">
        <v>4414</v>
      </c>
      <c r="F248" s="9" t="s">
        <v>4415</v>
      </c>
      <c r="G248" s="1">
        <v>1803.9437</v>
      </c>
      <c r="H248" s="2">
        <v>722</v>
      </c>
      <c r="I248" s="2">
        <v>4</v>
      </c>
      <c r="J248" s="1">
        <v>1804.7040999999999</v>
      </c>
      <c r="K248" s="1">
        <v>451.9932</v>
      </c>
      <c r="L248" s="9" t="s">
        <v>4416</v>
      </c>
      <c r="M248" s="2">
        <v>4.03</v>
      </c>
      <c r="N248" s="4">
        <v>5850.09</v>
      </c>
      <c r="O248" s="1">
        <f t="shared" si="3"/>
        <v>-83.189884925330389</v>
      </c>
      <c r="P248" s="6">
        <v>41.6</v>
      </c>
      <c r="Q248" s="6">
        <v>33.299999999999997</v>
      </c>
      <c r="R248" s="6">
        <v>10</v>
      </c>
      <c r="S248" s="6">
        <v>9.9</v>
      </c>
      <c r="T248" s="5">
        <v>9.7999999999999997E-3</v>
      </c>
      <c r="U248" s="1">
        <v>0.76039999999999996</v>
      </c>
      <c r="V248" s="1">
        <v>3.5103</v>
      </c>
    </row>
    <row r="249" spans="1:22" x14ac:dyDescent="0.25">
      <c r="A249" s="1">
        <v>0.99760000000000004</v>
      </c>
      <c r="B249" s="9" t="s">
        <v>4417</v>
      </c>
      <c r="C249" s="2">
        <v>7330</v>
      </c>
      <c r="D249" s="2" t="s">
        <v>220</v>
      </c>
      <c r="E249" s="9" t="s">
        <v>435</v>
      </c>
      <c r="F249" s="9" t="s">
        <v>2264</v>
      </c>
      <c r="G249" s="1">
        <v>1387.7637</v>
      </c>
      <c r="H249" s="2">
        <v>691</v>
      </c>
      <c r="I249" s="2">
        <v>2</v>
      </c>
      <c r="J249" s="1">
        <v>1387.7276999999999</v>
      </c>
      <c r="K249" s="1">
        <v>694.88909999999998</v>
      </c>
      <c r="L249" s="9" t="s">
        <v>181</v>
      </c>
      <c r="M249" s="2">
        <v>4.8499999999999996</v>
      </c>
      <c r="N249" s="4">
        <v>6060.1</v>
      </c>
      <c r="O249" s="1">
        <f t="shared" si="3"/>
        <v>-26.852599178157021</v>
      </c>
      <c r="P249" s="6">
        <v>57.5</v>
      </c>
      <c r="Q249" s="6">
        <v>37.799999999999997</v>
      </c>
      <c r="R249" s="6">
        <v>10.6</v>
      </c>
      <c r="S249" s="6">
        <v>11.4</v>
      </c>
      <c r="T249" s="5">
        <v>2.8999999999999998E-3</v>
      </c>
      <c r="U249" s="1">
        <v>-3.5999999999999997E-2</v>
      </c>
      <c r="V249" s="1">
        <v>4.8715999999999999</v>
      </c>
    </row>
    <row r="250" spans="1:22" x14ac:dyDescent="0.25">
      <c r="A250" s="1">
        <v>0.99470000000000003</v>
      </c>
      <c r="B250" s="9" t="s">
        <v>4418</v>
      </c>
      <c r="C250" s="2">
        <v>7337</v>
      </c>
      <c r="D250" s="2" t="s">
        <v>326</v>
      </c>
      <c r="E250" s="9" t="s">
        <v>4329</v>
      </c>
      <c r="F250" s="9" t="s">
        <v>2392</v>
      </c>
      <c r="G250" s="1">
        <v>1248.6537000000001</v>
      </c>
      <c r="H250" s="2">
        <v>692</v>
      </c>
      <c r="I250" s="2">
        <v>2</v>
      </c>
      <c r="J250" s="1">
        <v>1248.6334999999999</v>
      </c>
      <c r="K250" s="1">
        <v>625.33410000000003</v>
      </c>
      <c r="L250" s="9" t="s">
        <v>2393</v>
      </c>
      <c r="M250" s="2">
        <v>5.96</v>
      </c>
      <c r="N250" s="4">
        <v>6280.11</v>
      </c>
      <c r="O250" s="1">
        <f t="shared" si="3"/>
        <v>-22.346081043892315</v>
      </c>
      <c r="P250" s="6">
        <v>42.5</v>
      </c>
      <c r="Q250" s="6">
        <v>30.9</v>
      </c>
      <c r="R250" s="6">
        <v>10.8</v>
      </c>
      <c r="S250" s="6">
        <v>11.9</v>
      </c>
      <c r="T250" s="5">
        <v>9.4999999999999998E-3</v>
      </c>
      <c r="U250" s="1">
        <v>-2.0199999999999999E-2</v>
      </c>
      <c r="V250" s="1">
        <v>4.1369999999999996</v>
      </c>
    </row>
    <row r="251" spans="1:22" x14ac:dyDescent="0.25">
      <c r="A251" s="1">
        <v>0.95930000000000004</v>
      </c>
      <c r="B251" s="9" t="s">
        <v>4419</v>
      </c>
      <c r="C251" s="2">
        <v>7338</v>
      </c>
      <c r="D251" s="2" t="s">
        <v>260</v>
      </c>
      <c r="E251" s="9" t="s">
        <v>4420</v>
      </c>
      <c r="F251" s="9" t="s">
        <v>455</v>
      </c>
      <c r="G251" s="1">
        <v>1103.5717</v>
      </c>
      <c r="H251" s="2">
        <v>307</v>
      </c>
      <c r="I251" s="2">
        <v>2</v>
      </c>
      <c r="J251" s="1">
        <v>1103.5562</v>
      </c>
      <c r="K251" s="1">
        <v>552.79309999999998</v>
      </c>
      <c r="L251" s="9" t="s">
        <v>456</v>
      </c>
      <c r="M251" s="2">
        <v>6.09</v>
      </c>
      <c r="N251" s="4">
        <v>6280.11</v>
      </c>
      <c r="O251" s="1">
        <f t="shared" si="3"/>
        <v>-21.501090111127244</v>
      </c>
      <c r="P251" s="6">
        <v>33</v>
      </c>
      <c r="Q251" s="6">
        <v>23.9</v>
      </c>
      <c r="R251" s="6">
        <v>11.9</v>
      </c>
      <c r="S251" s="6">
        <v>10.7</v>
      </c>
      <c r="T251" s="5">
        <v>0.45</v>
      </c>
      <c r="U251" s="1">
        <v>-1.55E-2</v>
      </c>
      <c r="V251" s="1">
        <v>2.2966000000000002</v>
      </c>
    </row>
    <row r="252" spans="1:22" x14ac:dyDescent="0.25">
      <c r="A252" s="1">
        <v>0.99929999999999997</v>
      </c>
      <c r="B252" s="9" t="s">
        <v>4421</v>
      </c>
      <c r="C252" s="2">
        <v>7347</v>
      </c>
      <c r="D252" s="2" t="s">
        <v>280</v>
      </c>
      <c r="E252" s="9" t="s">
        <v>2322</v>
      </c>
      <c r="F252" s="9" t="s">
        <v>2323</v>
      </c>
      <c r="G252" s="1">
        <v>1462.7487000000001</v>
      </c>
      <c r="H252" s="2">
        <v>693</v>
      </c>
      <c r="I252" s="2">
        <v>2</v>
      </c>
      <c r="J252" s="1">
        <v>1462.7316000000001</v>
      </c>
      <c r="K252" s="1">
        <v>732.38160000000005</v>
      </c>
      <c r="L252" s="9" t="s">
        <v>2324</v>
      </c>
      <c r="M252" s="2">
        <v>5.84</v>
      </c>
      <c r="N252" s="4">
        <v>6387.62</v>
      </c>
      <c r="O252" s="1">
        <f t="shared" si="3"/>
        <v>-25.038019349298239</v>
      </c>
      <c r="P252" s="6">
        <v>44.8</v>
      </c>
      <c r="Q252" s="6">
        <v>27.8</v>
      </c>
      <c r="R252" s="6">
        <v>10.9</v>
      </c>
      <c r="S252" s="6">
        <v>8.6</v>
      </c>
      <c r="T252" s="5">
        <v>6.7000000000000002E-5</v>
      </c>
      <c r="U252" s="1">
        <v>-1.7100000000000001E-2</v>
      </c>
      <c r="V252" s="1">
        <v>6.3487999999999998</v>
      </c>
    </row>
    <row r="253" spans="1:22" x14ac:dyDescent="0.25">
      <c r="A253" s="1">
        <v>0.99890000000000001</v>
      </c>
      <c r="B253" s="9" t="s">
        <v>4422</v>
      </c>
      <c r="C253" s="2">
        <v>7349</v>
      </c>
      <c r="D253" s="2" t="s">
        <v>280</v>
      </c>
      <c r="E253" s="9" t="s">
        <v>454</v>
      </c>
      <c r="F253" s="9" t="s">
        <v>552</v>
      </c>
      <c r="G253" s="1">
        <v>1340.7117000000001</v>
      </c>
      <c r="H253" s="2">
        <v>694</v>
      </c>
      <c r="I253" s="2">
        <v>2</v>
      </c>
      <c r="J253" s="1">
        <v>1340.6926000000001</v>
      </c>
      <c r="K253" s="1">
        <v>671.36310000000003</v>
      </c>
      <c r="L253" s="9" t="s">
        <v>456</v>
      </c>
      <c r="M253" s="2">
        <v>6.22</v>
      </c>
      <c r="N253" s="4">
        <v>6410.12</v>
      </c>
      <c r="O253" s="1">
        <f t="shared" si="3"/>
        <v>-19.701916900925646</v>
      </c>
      <c r="P253" s="6">
        <v>43.5</v>
      </c>
      <c r="Q253" s="6">
        <v>27.5</v>
      </c>
      <c r="R253" s="6">
        <v>9.6</v>
      </c>
      <c r="S253" s="6">
        <v>12.6</v>
      </c>
      <c r="T253" s="5">
        <v>2.5999999999999998E-4</v>
      </c>
      <c r="U253" s="1">
        <v>-1.9099999999999999E-2</v>
      </c>
      <c r="V253" s="1">
        <v>5.6954000000000002</v>
      </c>
    </row>
    <row r="254" spans="1:22" x14ac:dyDescent="0.25">
      <c r="A254" s="1">
        <v>0.99229999999999996</v>
      </c>
      <c r="B254" s="9" t="s">
        <v>4423</v>
      </c>
      <c r="C254" s="2">
        <v>7352</v>
      </c>
      <c r="D254" s="2" t="s">
        <v>141</v>
      </c>
      <c r="E254" s="9" t="s">
        <v>435</v>
      </c>
      <c r="F254" s="9" t="s">
        <v>436</v>
      </c>
      <c r="G254" s="1">
        <v>1387.7637</v>
      </c>
      <c r="H254" s="2">
        <v>310</v>
      </c>
      <c r="I254" s="2">
        <v>2</v>
      </c>
      <c r="J254" s="1">
        <v>1387.7231999999999</v>
      </c>
      <c r="K254" s="1">
        <v>694.88909999999998</v>
      </c>
      <c r="L254" s="9" t="s">
        <v>181</v>
      </c>
      <c r="M254" s="2">
        <v>4.8499999999999996</v>
      </c>
      <c r="N254" s="4">
        <v>6506.12</v>
      </c>
      <c r="O254" s="1">
        <f t="shared" si="3"/>
        <v>-34.424997486381649</v>
      </c>
      <c r="P254" s="6">
        <v>45.8</v>
      </c>
      <c r="Q254" s="6">
        <v>30.8</v>
      </c>
      <c r="R254" s="6">
        <v>10.4</v>
      </c>
      <c r="S254" s="6">
        <v>11.4</v>
      </c>
      <c r="T254" s="5">
        <v>7.4999999999999997E-3</v>
      </c>
      <c r="U254" s="1">
        <v>-4.0500000000000001E-2</v>
      </c>
      <c r="V254" s="1">
        <v>4.3403999999999998</v>
      </c>
    </row>
    <row r="255" spans="1:22" x14ac:dyDescent="0.25">
      <c r="A255" s="1">
        <v>0.9879</v>
      </c>
      <c r="B255" s="9" t="s">
        <v>4424</v>
      </c>
      <c r="C255" s="2">
        <v>7354</v>
      </c>
      <c r="D255" s="2" t="s">
        <v>423</v>
      </c>
      <c r="E255" s="9" t="s">
        <v>494</v>
      </c>
      <c r="F255" s="9" t="s">
        <v>495</v>
      </c>
      <c r="G255" s="1">
        <v>1368.7327</v>
      </c>
      <c r="H255" s="2">
        <v>311</v>
      </c>
      <c r="I255" s="2">
        <v>2</v>
      </c>
      <c r="J255" s="1">
        <v>1368.6890000000001</v>
      </c>
      <c r="K255" s="1">
        <v>685.37360000000001</v>
      </c>
      <c r="L255" s="9" t="s">
        <v>157</v>
      </c>
      <c r="M255" s="2">
        <v>4.75</v>
      </c>
      <c r="N255" s="4">
        <v>6604.88</v>
      </c>
      <c r="O255" s="1">
        <f t="shared" si="3"/>
        <v>-24.501107338683038</v>
      </c>
      <c r="P255" s="6">
        <v>35.799999999999997</v>
      </c>
      <c r="Q255" s="6">
        <v>25.8</v>
      </c>
      <c r="R255" s="6">
        <v>12.1</v>
      </c>
      <c r="S255" s="6">
        <v>11.1</v>
      </c>
      <c r="T255" s="5">
        <v>4.7999999999999996E-3</v>
      </c>
      <c r="U255" s="1">
        <v>-4.3700000000000003E-2</v>
      </c>
      <c r="V255" s="1">
        <v>4.0088999999999997</v>
      </c>
    </row>
    <row r="256" spans="1:22" x14ac:dyDescent="0.25">
      <c r="A256" s="1">
        <v>0.99650000000000005</v>
      </c>
      <c r="B256" s="9" t="s">
        <v>4425</v>
      </c>
      <c r="C256" s="2">
        <v>7356</v>
      </c>
      <c r="D256" s="2" t="s">
        <v>201</v>
      </c>
      <c r="E256" s="9" t="s">
        <v>4329</v>
      </c>
      <c r="F256" s="9" t="s">
        <v>2392</v>
      </c>
      <c r="G256" s="1">
        <v>1248.6537000000001</v>
      </c>
      <c r="H256" s="2">
        <v>695</v>
      </c>
      <c r="I256" s="2">
        <v>2</v>
      </c>
      <c r="J256" s="1">
        <v>1248.6247000000001</v>
      </c>
      <c r="K256" s="1">
        <v>625.33410000000003</v>
      </c>
      <c r="L256" s="9" t="s">
        <v>2393</v>
      </c>
      <c r="M256" s="2">
        <v>5.96</v>
      </c>
      <c r="N256" s="4">
        <v>6648.08</v>
      </c>
      <c r="O256" s="1">
        <f t="shared" si="3"/>
        <v>-20.482000365335594</v>
      </c>
      <c r="P256" s="6">
        <v>45.9</v>
      </c>
      <c r="Q256" s="6">
        <v>32.799999999999997</v>
      </c>
      <c r="R256" s="6">
        <v>10.7</v>
      </c>
      <c r="S256" s="6">
        <v>12</v>
      </c>
      <c r="T256" s="5">
        <v>5.4000000000000003E-3</v>
      </c>
      <c r="U256" s="1">
        <v>-2.9000000000000001E-2</v>
      </c>
      <c r="V256" s="1">
        <v>4.4859</v>
      </c>
    </row>
    <row r="257" spans="1:22" x14ac:dyDescent="0.25">
      <c r="A257" s="1">
        <v>0.99870000000000003</v>
      </c>
      <c r="B257" s="9" t="s">
        <v>4426</v>
      </c>
      <c r="C257" s="2">
        <v>7359</v>
      </c>
      <c r="D257" s="2" t="s">
        <v>178</v>
      </c>
      <c r="E257" s="9" t="s">
        <v>2322</v>
      </c>
      <c r="F257" s="9" t="s">
        <v>2323</v>
      </c>
      <c r="G257" s="1">
        <v>1462.7487000000001</v>
      </c>
      <c r="H257" s="2">
        <v>697</v>
      </c>
      <c r="I257" s="2">
        <v>2</v>
      </c>
      <c r="J257" s="1">
        <v>1462.7284999999999</v>
      </c>
      <c r="K257" s="1">
        <v>732.38160000000005</v>
      </c>
      <c r="L257" s="9" t="s">
        <v>2324</v>
      </c>
      <c r="M257" s="2">
        <v>5.84</v>
      </c>
      <c r="N257" s="4">
        <v>6716.48</v>
      </c>
      <c r="O257" s="1">
        <f t="shared" si="3"/>
        <v>-25.974327277532414</v>
      </c>
      <c r="P257" s="6">
        <v>40.6</v>
      </c>
      <c r="Q257" s="6">
        <v>27.8</v>
      </c>
      <c r="R257" s="6">
        <v>10.8</v>
      </c>
      <c r="S257" s="6">
        <v>8.6999999999999993</v>
      </c>
      <c r="T257" s="5">
        <v>2.4000000000000001E-4</v>
      </c>
      <c r="U257" s="1">
        <v>-2.0199999999999999E-2</v>
      </c>
      <c r="V257" s="1">
        <v>5.4977</v>
      </c>
    </row>
  </sheetData>
  <mergeCells count="1">
    <mergeCell ref="A2:I2"/>
  </mergeCells>
  <phoneticPr fontId="21" type="noConversion"/>
  <hyperlinks>
    <hyperlink ref="J1" location="'Supplementary Table 2'!A1" display="back to index"/>
  </hyperlinks>
  <pageMargins left="0.39000000000000007" right="0.39000000000000007" top="0.39000000000000007" bottom="0.39000000000000007" header="0" footer="0"/>
  <pageSetup orientation="landscape" r:id="rId1"/>
  <ignoredErrors>
    <ignoredError sqref="A4:V17 A19:N257 A18:N18 P18:V18 P19:V257" twoDigitTextYear="1"/>
  </ignoredError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2"/>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1"/>
    <col min="16" max="19" width="15.7109375" style="6"/>
    <col min="20" max="20" width="15.7109375" style="5"/>
    <col min="21" max="22" width="15.7109375" style="1"/>
    <col min="23" max="16384" width="15.7109375" style="2"/>
  </cols>
  <sheetData>
    <row r="1" spans="1:22" ht="15" customHeight="1" x14ac:dyDescent="0.25">
      <c r="A1" s="12" t="s">
        <v>5402</v>
      </c>
      <c r="J1" s="26" t="s">
        <v>5405</v>
      </c>
    </row>
    <row r="2" spans="1:22" s="21" customFormat="1" ht="90" customHeight="1" x14ac:dyDescent="0.25">
      <c r="A2" s="34" t="s">
        <v>5384</v>
      </c>
      <c r="B2" s="34"/>
      <c r="C2" s="34"/>
      <c r="D2" s="34"/>
      <c r="E2" s="34"/>
      <c r="F2" s="34"/>
      <c r="G2" s="34"/>
      <c r="H2" s="34"/>
      <c r="I2" s="34"/>
      <c r="N2" s="22"/>
      <c r="O2" s="1"/>
      <c r="P2" s="23"/>
      <c r="Q2" s="23"/>
      <c r="R2" s="23"/>
      <c r="S2" s="23"/>
      <c r="T2" s="24"/>
      <c r="U2" s="25"/>
      <c r="V2" s="25"/>
    </row>
    <row r="3" spans="1:22" s="8" customFormat="1" ht="45" x14ac:dyDescent="0.25">
      <c r="A3" s="7" t="str">
        <f>'MMP1-G'!A3</f>
        <v>probability</v>
      </c>
      <c r="B3" s="7" t="str">
        <f>'MMP1-G'!B3</f>
        <v>spectrum</v>
      </c>
      <c r="C3" s="7" t="str">
        <f>'MMP1-G'!C3</f>
        <v>start scan</v>
      </c>
      <c r="D3" s="7" t="str">
        <f>'MMP1-G'!D3</f>
        <v>ions</v>
      </c>
      <c r="E3" s="7" t="str">
        <f>'MMP1-G'!E3</f>
        <v>peptide</v>
      </c>
      <c r="F3" s="7" t="str">
        <f>'MMP1-G'!F3</f>
        <v>protein</v>
      </c>
      <c r="G3" s="7" t="str">
        <f>'MMP1-G'!G3</f>
        <v>calculated neutral
peptide mass</v>
      </c>
      <c r="H3" s="7" t="str">
        <f>'MMP1-G'!H3</f>
        <v>index</v>
      </c>
      <c r="I3" s="7" t="str">
        <f>'MMP1-G'!I3</f>
        <v>assumed charge</v>
      </c>
      <c r="J3" s="7" t="str">
        <f>'MMP1-G'!J3</f>
        <v>precursor neutral mass</v>
      </c>
      <c r="K3" s="7" t="str">
        <f>'MMP1-G'!K3</f>
        <v>m/z ratio</v>
      </c>
      <c r="L3" s="7" t="str">
        <f>'MMP1-G'!L3</f>
        <v>protein description</v>
      </c>
      <c r="M3" s="7" t="str">
        <f>'MMP1-G'!M3</f>
        <v>pI</v>
      </c>
      <c r="N3" s="7" t="str">
        <f>'MMP1-G'!N3</f>
        <v>retention
time (sec)</v>
      </c>
      <c r="O3" s="7" t="str">
        <f>'MMP1-G'!O3</f>
        <v>ppm</v>
      </c>
      <c r="P3" s="7" t="str">
        <f>'MMP1-G'!P3</f>
        <v>hyperscore</v>
      </c>
      <c r="Q3" s="7" t="str">
        <f>'MMP1-G'!Q3</f>
        <v>nextscore</v>
      </c>
      <c r="R3" s="7" t="str">
        <f>'MMP1-G'!R3</f>
        <v>bscore</v>
      </c>
      <c r="S3" s="7" t="str">
        <f>'MMP1-G'!S3</f>
        <v>yscore</v>
      </c>
      <c r="T3" s="7" t="str">
        <f>'MMP1-G'!T3</f>
        <v>expect</v>
      </c>
      <c r="U3" s="7" t="str">
        <f>'MMP1-G'!U3</f>
        <v>mass diff</v>
      </c>
      <c r="V3" s="7" t="str">
        <f>'MMP1-G'!V3</f>
        <v>fval</v>
      </c>
    </row>
    <row r="4" spans="1:22" x14ac:dyDescent="0.25">
      <c r="A4" s="1">
        <v>1</v>
      </c>
      <c r="B4" s="9" t="s">
        <v>4427</v>
      </c>
      <c r="C4" s="2">
        <v>1918</v>
      </c>
      <c r="D4" s="3" t="s">
        <v>4428</v>
      </c>
      <c r="E4" s="9" t="s">
        <v>3030</v>
      </c>
      <c r="F4" s="9" t="s">
        <v>1799</v>
      </c>
      <c r="G4" s="1">
        <v>2345.3977</v>
      </c>
      <c r="H4" s="2">
        <v>219</v>
      </c>
      <c r="I4" s="2">
        <v>4</v>
      </c>
      <c r="J4" s="1">
        <v>2345.4245999999998</v>
      </c>
      <c r="K4" s="1">
        <v>587.35670000000005</v>
      </c>
      <c r="L4" s="9" t="s">
        <v>1800</v>
      </c>
      <c r="M4" s="2">
        <v>10.7</v>
      </c>
      <c r="N4" s="4">
        <v>2025.48</v>
      </c>
      <c r="O4" s="1">
        <v>11.449601238906443</v>
      </c>
      <c r="P4" s="6">
        <v>38.299999999999997</v>
      </c>
      <c r="Q4" s="6">
        <v>23.7</v>
      </c>
      <c r="R4" s="6">
        <v>10.3</v>
      </c>
      <c r="S4" s="6">
        <v>10.9</v>
      </c>
      <c r="T4" s="5">
        <v>3.4000000000000001E-6</v>
      </c>
      <c r="U4" s="1">
        <v>2.69E-2</v>
      </c>
      <c r="V4" s="1">
        <v>7.3592000000000004</v>
      </c>
    </row>
    <row r="5" spans="1:22" x14ac:dyDescent="0.25">
      <c r="A5" s="1">
        <v>0.99960000000000004</v>
      </c>
      <c r="B5" s="9" t="s">
        <v>4429</v>
      </c>
      <c r="C5" s="2">
        <v>1933</v>
      </c>
      <c r="D5" s="3" t="s">
        <v>384</v>
      </c>
      <c r="E5" s="9" t="s">
        <v>3437</v>
      </c>
      <c r="F5" s="9" t="s">
        <v>1799</v>
      </c>
      <c r="G5" s="1">
        <v>1480.8797</v>
      </c>
      <c r="H5" s="2">
        <v>220</v>
      </c>
      <c r="I5" s="2">
        <v>3</v>
      </c>
      <c r="J5" s="1">
        <v>1480.8938000000001</v>
      </c>
      <c r="K5" s="1">
        <v>494.63380000000001</v>
      </c>
      <c r="L5" s="9" t="s">
        <v>1800</v>
      </c>
      <c r="M5" s="2">
        <v>10.48</v>
      </c>
      <c r="N5" s="4">
        <v>2042.28</v>
      </c>
      <c r="O5" s="1">
        <v>9.5019790398472566</v>
      </c>
      <c r="P5" s="6">
        <v>32.5</v>
      </c>
      <c r="Q5" s="6">
        <v>21.6</v>
      </c>
      <c r="R5" s="6">
        <v>10</v>
      </c>
      <c r="S5" s="6">
        <v>11.2</v>
      </c>
      <c r="T5" s="5">
        <v>3.0999999999999999E-3</v>
      </c>
      <c r="U5" s="1">
        <v>1.41E-2</v>
      </c>
      <c r="V5" s="1">
        <v>5.2645</v>
      </c>
    </row>
    <row r="6" spans="1:22" x14ac:dyDescent="0.25">
      <c r="A6" s="1">
        <v>0.98119999999999996</v>
      </c>
      <c r="B6" s="9" t="s">
        <v>4430</v>
      </c>
      <c r="C6" s="2">
        <v>2006</v>
      </c>
      <c r="D6" s="3" t="s">
        <v>46</v>
      </c>
      <c r="E6" s="9" t="s">
        <v>16</v>
      </c>
      <c r="F6" s="9" t="s">
        <v>17</v>
      </c>
      <c r="G6" s="1">
        <v>1509.7827</v>
      </c>
      <c r="H6" s="2">
        <v>303</v>
      </c>
      <c r="I6" s="2">
        <v>3</v>
      </c>
      <c r="J6" s="1">
        <v>1509.8145</v>
      </c>
      <c r="K6" s="1">
        <v>504.26819999999998</v>
      </c>
      <c r="L6" s="9" t="s">
        <v>18</v>
      </c>
      <c r="M6" s="2">
        <v>6.77</v>
      </c>
      <c r="N6" s="4">
        <v>2121.0300000000002</v>
      </c>
      <c r="O6" s="1">
        <v>21.020560090840551</v>
      </c>
      <c r="P6" s="6">
        <v>31.7</v>
      </c>
      <c r="Q6" s="6">
        <v>25.8</v>
      </c>
      <c r="R6" s="6">
        <v>13.7</v>
      </c>
      <c r="S6" s="6">
        <v>10.4</v>
      </c>
      <c r="T6" s="5">
        <v>0.04</v>
      </c>
      <c r="U6" s="1">
        <v>3.1800000000000002E-2</v>
      </c>
      <c r="V6" s="1">
        <v>3.0179</v>
      </c>
    </row>
    <row r="7" spans="1:22" x14ac:dyDescent="0.25">
      <c r="A7" s="1">
        <v>0.96489999999999998</v>
      </c>
      <c r="B7" s="9" t="s">
        <v>4431</v>
      </c>
      <c r="C7" s="2">
        <v>2049</v>
      </c>
      <c r="D7" s="3" t="s">
        <v>4432</v>
      </c>
      <c r="E7" s="9" t="s">
        <v>4433</v>
      </c>
      <c r="F7" s="9" t="s">
        <v>4434</v>
      </c>
      <c r="G7" s="1">
        <v>2003.9776999999999</v>
      </c>
      <c r="H7" s="2">
        <v>2</v>
      </c>
      <c r="I7" s="2">
        <v>4</v>
      </c>
      <c r="J7" s="1">
        <v>2004.2121999999999</v>
      </c>
      <c r="K7" s="1">
        <v>502.00170000000003</v>
      </c>
      <c r="L7" s="9" t="s">
        <v>4435</v>
      </c>
      <c r="M7" s="2">
        <v>10.06</v>
      </c>
      <c r="N7" s="4">
        <v>2174.58</v>
      </c>
      <c r="O7" s="1">
        <v>116.78247304740201</v>
      </c>
      <c r="P7" s="6">
        <v>30.2</v>
      </c>
      <c r="Q7" s="6">
        <v>23.8</v>
      </c>
      <c r="R7" s="6">
        <v>10.4</v>
      </c>
      <c r="S7" s="6">
        <v>11.2</v>
      </c>
      <c r="T7" s="5">
        <v>9.4E-2</v>
      </c>
      <c r="U7" s="1">
        <v>0.23449999999999999</v>
      </c>
      <c r="V7" s="1">
        <v>2.4418000000000002</v>
      </c>
    </row>
    <row r="8" spans="1:22" x14ac:dyDescent="0.25">
      <c r="A8" s="1">
        <v>0.98470000000000002</v>
      </c>
      <c r="B8" s="9" t="s">
        <v>4436</v>
      </c>
      <c r="C8" s="2">
        <v>2166</v>
      </c>
      <c r="D8" s="3" t="s">
        <v>797</v>
      </c>
      <c r="E8" s="9" t="s">
        <v>3447</v>
      </c>
      <c r="F8" s="9" t="s">
        <v>3448</v>
      </c>
      <c r="G8" s="1">
        <v>1328.5997</v>
      </c>
      <c r="H8" s="2">
        <v>307</v>
      </c>
      <c r="I8" s="2">
        <v>3</v>
      </c>
      <c r="J8" s="1">
        <v>1328.6179999999999</v>
      </c>
      <c r="K8" s="1">
        <v>443.87380000000002</v>
      </c>
      <c r="L8" s="9" t="s">
        <v>3449</v>
      </c>
      <c r="M8" s="2">
        <v>4.8099999999999996</v>
      </c>
      <c r="N8" s="4">
        <v>2339.44</v>
      </c>
      <c r="O8" s="1">
        <v>13.742644868879397</v>
      </c>
      <c r="P8" s="6">
        <v>26.6</v>
      </c>
      <c r="Q8" s="6">
        <v>21</v>
      </c>
      <c r="R8" s="6">
        <v>12</v>
      </c>
      <c r="S8" s="6">
        <v>10.9</v>
      </c>
      <c r="T8" s="5">
        <v>0.1</v>
      </c>
      <c r="U8" s="1">
        <v>1.83E-2</v>
      </c>
      <c r="V8" s="1">
        <v>2.7448999999999999</v>
      </c>
    </row>
    <row r="9" spans="1:22" x14ac:dyDescent="0.25">
      <c r="A9" s="1">
        <v>0.99450000000000005</v>
      </c>
      <c r="B9" s="9" t="s">
        <v>4437</v>
      </c>
      <c r="C9" s="2">
        <v>2168</v>
      </c>
      <c r="D9" s="3" t="s">
        <v>1875</v>
      </c>
      <c r="E9" s="9" t="s">
        <v>1809</v>
      </c>
      <c r="F9" s="9" t="s">
        <v>211</v>
      </c>
      <c r="G9" s="1">
        <v>1573.8647000000001</v>
      </c>
      <c r="H9" s="2">
        <v>308</v>
      </c>
      <c r="I9" s="2">
        <v>3</v>
      </c>
      <c r="J9" s="1">
        <v>1573.8910000000001</v>
      </c>
      <c r="K9" s="1">
        <v>525.62879999999996</v>
      </c>
      <c r="L9" s="9" t="s">
        <v>212</v>
      </c>
      <c r="M9" s="2">
        <v>9.11</v>
      </c>
      <c r="N9" s="4">
        <v>2344.69</v>
      </c>
      <c r="O9" s="1">
        <v>16.678436696517903</v>
      </c>
      <c r="P9" s="6">
        <v>27.6</v>
      </c>
      <c r="Q9" s="6">
        <v>25.4</v>
      </c>
      <c r="R9" s="6">
        <v>7.3</v>
      </c>
      <c r="S9" s="6">
        <v>9.1</v>
      </c>
      <c r="T9" s="5">
        <v>1.2999999999999999E-2</v>
      </c>
      <c r="U9" s="1">
        <v>2.63E-2</v>
      </c>
      <c r="V9" s="1">
        <v>3.1675</v>
      </c>
    </row>
    <row r="10" spans="1:22" x14ac:dyDescent="0.25">
      <c r="A10" s="1">
        <v>0.99990000000000001</v>
      </c>
      <c r="B10" s="9" t="s">
        <v>4438</v>
      </c>
      <c r="C10" s="2">
        <v>2205</v>
      </c>
      <c r="D10" s="3" t="s">
        <v>779</v>
      </c>
      <c r="E10" s="9" t="s">
        <v>1819</v>
      </c>
      <c r="F10" s="9" t="s">
        <v>1820</v>
      </c>
      <c r="G10" s="1">
        <v>1419.6416999999999</v>
      </c>
      <c r="H10" s="2">
        <v>310</v>
      </c>
      <c r="I10" s="2">
        <v>3</v>
      </c>
      <c r="J10" s="1">
        <v>1419.6554000000001</v>
      </c>
      <c r="K10" s="1">
        <v>474.22120000000001</v>
      </c>
      <c r="L10" s="9" t="s">
        <v>1821</v>
      </c>
      <c r="M10" s="2">
        <v>5.96</v>
      </c>
      <c r="N10" s="4">
        <v>2406.64</v>
      </c>
      <c r="O10" s="1">
        <v>9.6298239443252776</v>
      </c>
      <c r="P10" s="6">
        <v>34.299999999999997</v>
      </c>
      <c r="Q10" s="6">
        <v>22.5</v>
      </c>
      <c r="R10" s="6">
        <v>9.4</v>
      </c>
      <c r="S10" s="6">
        <v>10.4</v>
      </c>
      <c r="T10" s="5">
        <v>7.2000000000000005E-4</v>
      </c>
      <c r="U10" s="1">
        <v>1.37E-2</v>
      </c>
      <c r="V10" s="1">
        <v>6.6382000000000003</v>
      </c>
    </row>
    <row r="11" spans="1:22" x14ac:dyDescent="0.25">
      <c r="A11" s="1">
        <v>1</v>
      </c>
      <c r="B11" s="9" t="s">
        <v>4439</v>
      </c>
      <c r="C11" s="2">
        <v>2208</v>
      </c>
      <c r="D11" s="3" t="s">
        <v>4440</v>
      </c>
      <c r="E11" s="9" t="s">
        <v>3056</v>
      </c>
      <c r="F11" s="9" t="s">
        <v>3968</v>
      </c>
      <c r="G11" s="1">
        <v>1938.8387</v>
      </c>
      <c r="H11" s="2">
        <v>738</v>
      </c>
      <c r="I11" s="2">
        <v>3</v>
      </c>
      <c r="J11" s="1">
        <v>1938.8628000000001</v>
      </c>
      <c r="K11" s="1">
        <v>647.28679999999997</v>
      </c>
      <c r="L11" s="9" t="s">
        <v>1998</v>
      </c>
      <c r="M11" s="2">
        <v>6.04</v>
      </c>
      <c r="N11" s="4">
        <v>2413.9899999999998</v>
      </c>
      <c r="O11" s="1">
        <v>12.410778859283603</v>
      </c>
      <c r="P11" s="6">
        <v>85.1</v>
      </c>
      <c r="Q11" s="6">
        <v>46.4</v>
      </c>
      <c r="R11" s="6">
        <v>12.2</v>
      </c>
      <c r="S11" s="6">
        <v>12.3</v>
      </c>
      <c r="T11" s="5">
        <v>1.3000000000000001E-8</v>
      </c>
      <c r="U11" s="1">
        <v>2.41E-2</v>
      </c>
      <c r="V11" s="1">
        <v>10.903700000000001</v>
      </c>
    </row>
    <row r="12" spans="1:22" x14ac:dyDescent="0.25">
      <c r="A12" s="1">
        <v>0.99690000000000001</v>
      </c>
      <c r="B12" s="9" t="s">
        <v>4441</v>
      </c>
      <c r="C12" s="2">
        <v>2239</v>
      </c>
      <c r="D12" s="3" t="s">
        <v>206</v>
      </c>
      <c r="E12" s="9" t="s">
        <v>676</v>
      </c>
      <c r="F12" s="9" t="s">
        <v>677</v>
      </c>
      <c r="G12" s="1">
        <v>1748.7727</v>
      </c>
      <c r="H12" s="2">
        <v>687</v>
      </c>
      <c r="I12" s="2">
        <v>3</v>
      </c>
      <c r="J12" s="1">
        <v>1748.7911999999999</v>
      </c>
      <c r="K12" s="1">
        <v>583.93150000000003</v>
      </c>
      <c r="L12" s="9" t="s">
        <v>678</v>
      </c>
      <c r="M12" s="2">
        <v>6.74</v>
      </c>
      <c r="N12" s="4">
        <v>2471.7399999999998</v>
      </c>
      <c r="O12" s="1">
        <v>10.56059943104057</v>
      </c>
      <c r="P12" s="6">
        <v>25.2</v>
      </c>
      <c r="Q12" s="6">
        <v>18.899999999999999</v>
      </c>
      <c r="R12" s="6">
        <v>6.3</v>
      </c>
      <c r="S12" s="6">
        <v>8.5</v>
      </c>
      <c r="T12" s="5">
        <v>1.6E-2</v>
      </c>
      <c r="U12" s="1">
        <v>1.8499999999999999E-2</v>
      </c>
      <c r="V12" s="1">
        <v>3.6263999999999998</v>
      </c>
    </row>
    <row r="13" spans="1:22" x14ac:dyDescent="0.25">
      <c r="A13" s="1">
        <v>0.99970000000000003</v>
      </c>
      <c r="B13" s="9" t="s">
        <v>4442</v>
      </c>
      <c r="C13" s="2">
        <v>2259</v>
      </c>
      <c r="D13" s="3" t="s">
        <v>149</v>
      </c>
      <c r="E13" s="9" t="s">
        <v>3059</v>
      </c>
      <c r="F13" s="9" t="s">
        <v>3060</v>
      </c>
      <c r="G13" s="1">
        <v>1462.9027000000001</v>
      </c>
      <c r="H13" s="2">
        <v>712</v>
      </c>
      <c r="I13" s="2">
        <v>3</v>
      </c>
      <c r="J13" s="1">
        <v>1462.921</v>
      </c>
      <c r="K13" s="1">
        <v>488.64150000000001</v>
      </c>
      <c r="L13" s="9" t="s">
        <v>3061</v>
      </c>
      <c r="M13" s="2">
        <v>9.5299999999999994</v>
      </c>
      <c r="N13" s="4">
        <v>2507.44</v>
      </c>
      <c r="O13" s="1">
        <v>12.483589707382611</v>
      </c>
      <c r="P13" s="6">
        <v>29.9</v>
      </c>
      <c r="Q13" s="6">
        <v>18.8</v>
      </c>
      <c r="R13" s="6">
        <v>7.6</v>
      </c>
      <c r="S13" s="6">
        <v>10.199999999999999</v>
      </c>
      <c r="T13" s="5">
        <v>1.8E-3</v>
      </c>
      <c r="U13" s="1">
        <v>1.83E-2</v>
      </c>
      <c r="V13" s="1">
        <v>6.2496999999999998</v>
      </c>
    </row>
    <row r="14" spans="1:22" x14ac:dyDescent="0.25">
      <c r="A14" s="1">
        <v>0.96719999999999995</v>
      </c>
      <c r="B14" s="9" t="s">
        <v>4443</v>
      </c>
      <c r="C14" s="2">
        <v>2263</v>
      </c>
      <c r="D14" s="3" t="s">
        <v>163</v>
      </c>
      <c r="E14" s="9" t="s">
        <v>4444</v>
      </c>
      <c r="F14" s="9" t="s">
        <v>1987</v>
      </c>
      <c r="G14" s="1">
        <v>1737.7897</v>
      </c>
      <c r="H14" s="2">
        <v>314</v>
      </c>
      <c r="I14" s="2">
        <v>3</v>
      </c>
      <c r="J14" s="1">
        <v>1737.8169</v>
      </c>
      <c r="K14" s="1">
        <v>580.27049999999997</v>
      </c>
      <c r="L14" s="9" t="s">
        <v>1988</v>
      </c>
      <c r="M14" s="2">
        <v>6.93</v>
      </c>
      <c r="N14" s="4">
        <v>2511.64</v>
      </c>
      <c r="O14" s="1">
        <v>15.624896779461761</v>
      </c>
      <c r="P14" s="6">
        <v>30.6</v>
      </c>
      <c r="Q14" s="6">
        <v>24.1</v>
      </c>
      <c r="R14" s="6">
        <v>11.5</v>
      </c>
      <c r="S14" s="6">
        <v>11</v>
      </c>
      <c r="T14" s="5">
        <v>8.1000000000000003E-2</v>
      </c>
      <c r="U14" s="1">
        <v>2.7199999999999998E-2</v>
      </c>
      <c r="V14" s="1">
        <v>2.6787999999999998</v>
      </c>
    </row>
    <row r="15" spans="1:22" x14ac:dyDescent="0.25">
      <c r="A15" s="1">
        <v>0.98850000000000005</v>
      </c>
      <c r="B15" s="9" t="s">
        <v>4445</v>
      </c>
      <c r="C15" s="2">
        <v>2266</v>
      </c>
      <c r="D15" s="3" t="s">
        <v>298</v>
      </c>
      <c r="E15" s="9" t="s">
        <v>4446</v>
      </c>
      <c r="F15" s="9" t="s">
        <v>4447</v>
      </c>
      <c r="G15" s="1">
        <v>1014.4807</v>
      </c>
      <c r="H15" s="2">
        <v>728</v>
      </c>
      <c r="I15" s="2">
        <v>2</v>
      </c>
      <c r="J15" s="1">
        <v>1014.4982</v>
      </c>
      <c r="K15" s="1">
        <v>508.24759999999998</v>
      </c>
      <c r="L15" s="9" t="s">
        <v>927</v>
      </c>
      <c r="M15" s="2">
        <v>6.76</v>
      </c>
      <c r="N15" s="4">
        <v>2518.9899999999998</v>
      </c>
      <c r="O15" s="1">
        <v>17.21601833437089</v>
      </c>
      <c r="P15" s="6">
        <v>34.5</v>
      </c>
      <c r="Q15" s="6">
        <v>25.8</v>
      </c>
      <c r="R15" s="6">
        <v>9.3000000000000007</v>
      </c>
      <c r="S15" s="6">
        <v>9.5</v>
      </c>
      <c r="T15" s="5">
        <v>0.11</v>
      </c>
      <c r="U15" s="1">
        <v>1.7500000000000002E-2</v>
      </c>
      <c r="V15" s="1">
        <v>3.0750999999999999</v>
      </c>
    </row>
    <row r="16" spans="1:22" x14ac:dyDescent="0.25">
      <c r="A16" s="1">
        <v>0.95079999999999998</v>
      </c>
      <c r="B16" s="9" t="s">
        <v>4448</v>
      </c>
      <c r="C16" s="2">
        <v>2274</v>
      </c>
      <c r="D16" s="3" t="s">
        <v>4245</v>
      </c>
      <c r="E16" s="9" t="s">
        <v>4449</v>
      </c>
      <c r="F16" s="9" t="s">
        <v>4450</v>
      </c>
      <c r="G16" s="1">
        <v>1293.4976999999999</v>
      </c>
      <c r="H16" s="2">
        <v>315</v>
      </c>
      <c r="I16" s="2">
        <v>3</v>
      </c>
      <c r="J16" s="1">
        <v>1293.5173</v>
      </c>
      <c r="K16" s="1">
        <v>432.17320000000001</v>
      </c>
      <c r="L16" s="9" t="s">
        <v>4451</v>
      </c>
      <c r="M16" s="2">
        <v>6</v>
      </c>
      <c r="N16" s="4">
        <v>2531.59</v>
      </c>
      <c r="O16" s="1">
        <v>15.117395834201041</v>
      </c>
      <c r="P16" s="6">
        <v>25.1</v>
      </c>
      <c r="Q16" s="6">
        <v>20.9</v>
      </c>
      <c r="R16" s="6">
        <v>6.7</v>
      </c>
      <c r="S16" s="6">
        <v>10.4</v>
      </c>
      <c r="T16" s="5">
        <v>0.13</v>
      </c>
      <c r="U16" s="1">
        <v>1.9599999999999999E-2</v>
      </c>
      <c r="V16" s="1">
        <v>2.5486</v>
      </c>
    </row>
    <row r="17" spans="1:22" x14ac:dyDescent="0.25">
      <c r="A17" s="1">
        <v>0.99929999999999997</v>
      </c>
      <c r="B17" s="9" t="s">
        <v>4452</v>
      </c>
      <c r="C17" s="2">
        <v>2294</v>
      </c>
      <c r="D17" s="3" t="s">
        <v>110</v>
      </c>
      <c r="E17" s="9" t="s">
        <v>3454</v>
      </c>
      <c r="F17" s="9" t="s">
        <v>1911</v>
      </c>
      <c r="G17" s="1">
        <v>1560.5867000000001</v>
      </c>
      <c r="H17" s="2">
        <v>894</v>
      </c>
      <c r="I17" s="2">
        <v>2</v>
      </c>
      <c r="J17" s="1">
        <v>1560.6011000000001</v>
      </c>
      <c r="K17" s="1">
        <v>781.30060000000003</v>
      </c>
      <c r="L17" s="9" t="s">
        <v>1912</v>
      </c>
      <c r="M17" s="2">
        <v>7.62</v>
      </c>
      <c r="N17" s="4">
        <v>2570.44</v>
      </c>
      <c r="O17" s="1">
        <v>9.2154031367696376</v>
      </c>
      <c r="P17" s="6">
        <v>53.3</v>
      </c>
      <c r="Q17" s="6">
        <v>30</v>
      </c>
      <c r="R17" s="6">
        <v>9</v>
      </c>
      <c r="S17" s="6">
        <v>9</v>
      </c>
      <c r="T17" s="5">
        <v>4.6E-6</v>
      </c>
      <c r="U17" s="1">
        <v>1.44E-2</v>
      </c>
      <c r="V17" s="1">
        <v>8.0953999999999997</v>
      </c>
    </row>
    <row r="18" spans="1:22" x14ac:dyDescent="0.25">
      <c r="A18" s="1">
        <v>0.98540000000000005</v>
      </c>
      <c r="B18" s="9" t="s">
        <v>4453</v>
      </c>
      <c r="C18" s="2">
        <v>2339</v>
      </c>
      <c r="D18" s="3" t="s">
        <v>2910</v>
      </c>
      <c r="E18" s="9" t="s">
        <v>1863</v>
      </c>
      <c r="F18" s="9" t="s">
        <v>1864</v>
      </c>
      <c r="G18" s="1">
        <v>1870.9576999999999</v>
      </c>
      <c r="H18" s="2">
        <v>318</v>
      </c>
      <c r="I18" s="2">
        <v>4</v>
      </c>
      <c r="J18" s="1">
        <v>1870.9947999999999</v>
      </c>
      <c r="K18" s="1">
        <v>468.74669999999998</v>
      </c>
      <c r="L18" s="9" t="s">
        <v>1865</v>
      </c>
      <c r="M18" s="2">
        <v>6.77</v>
      </c>
      <c r="N18" s="4">
        <v>2650.25</v>
      </c>
      <c r="O18" s="1">
        <v>19.786805965780665</v>
      </c>
      <c r="P18" s="6">
        <v>25</v>
      </c>
      <c r="Q18" s="6">
        <v>17.100000000000001</v>
      </c>
      <c r="R18" s="6">
        <v>8.8000000000000007</v>
      </c>
      <c r="S18" s="6">
        <v>10.6</v>
      </c>
      <c r="T18" s="5">
        <v>1.2999999999999999E-2</v>
      </c>
      <c r="U18" s="1">
        <v>3.7100000000000001E-2</v>
      </c>
      <c r="V18" s="1">
        <v>4.0743999999999998</v>
      </c>
    </row>
    <row r="19" spans="1:22" x14ac:dyDescent="0.25">
      <c r="A19" s="1">
        <v>0.97040000000000004</v>
      </c>
      <c r="B19" s="9" t="s">
        <v>4454</v>
      </c>
      <c r="C19" s="2">
        <v>2345</v>
      </c>
      <c r="D19" s="3" t="s">
        <v>154</v>
      </c>
      <c r="E19" s="9" t="s">
        <v>4455</v>
      </c>
      <c r="F19" s="9" t="s">
        <v>27</v>
      </c>
      <c r="G19" s="1">
        <v>1059.5634</v>
      </c>
      <c r="H19" s="2">
        <v>319</v>
      </c>
      <c r="I19" s="2">
        <v>2</v>
      </c>
      <c r="J19" s="1">
        <v>1059.5688</v>
      </c>
      <c r="K19" s="1">
        <v>530.78899999999999</v>
      </c>
      <c r="L19" s="9" t="s">
        <v>28</v>
      </c>
      <c r="M19" s="2">
        <v>8.31</v>
      </c>
      <c r="N19" s="4">
        <v>2657.59</v>
      </c>
      <c r="O19" s="1">
        <v>5.0867670580965321</v>
      </c>
      <c r="P19" s="6">
        <v>34.1</v>
      </c>
      <c r="Q19" s="6">
        <v>28.4</v>
      </c>
      <c r="R19" s="6">
        <v>9.6</v>
      </c>
      <c r="S19" s="6">
        <v>10</v>
      </c>
      <c r="T19" s="5">
        <v>0.15</v>
      </c>
      <c r="U19" s="1">
        <v>5.4000000000000003E-3</v>
      </c>
      <c r="V19" s="1">
        <v>2.3033000000000001</v>
      </c>
    </row>
    <row r="20" spans="1:22" x14ac:dyDescent="0.25">
      <c r="A20" s="1">
        <v>0.99690000000000001</v>
      </c>
      <c r="B20" s="9" t="s">
        <v>4456</v>
      </c>
      <c r="C20" s="2">
        <v>2368</v>
      </c>
      <c r="D20" s="3" t="s">
        <v>370</v>
      </c>
      <c r="E20" s="9" t="s">
        <v>4045</v>
      </c>
      <c r="F20" s="9" t="s">
        <v>1075</v>
      </c>
      <c r="G20" s="1">
        <v>1400.6718000000001</v>
      </c>
      <c r="H20" s="2">
        <v>579</v>
      </c>
      <c r="I20" s="2">
        <v>2</v>
      </c>
      <c r="J20" s="1">
        <v>1400.6686</v>
      </c>
      <c r="K20" s="1">
        <v>701.34320000000002</v>
      </c>
      <c r="L20" s="9" t="s">
        <v>1076</v>
      </c>
      <c r="M20" s="2">
        <v>6.25</v>
      </c>
      <c r="N20" s="4">
        <v>2705.94</v>
      </c>
      <c r="O20" s="1">
        <v>-2.281336726441491</v>
      </c>
      <c r="P20" s="6">
        <v>43.8</v>
      </c>
      <c r="Q20" s="6">
        <v>32.299999999999997</v>
      </c>
      <c r="R20" s="6">
        <v>10.3</v>
      </c>
      <c r="S20" s="6">
        <v>11.2</v>
      </c>
      <c r="T20" s="5">
        <v>2.7000000000000001E-3</v>
      </c>
      <c r="U20" s="1">
        <v>-3.2000000000000002E-3</v>
      </c>
      <c r="V20" s="1">
        <v>4.5198999999999998</v>
      </c>
    </row>
    <row r="21" spans="1:22" x14ac:dyDescent="0.25">
      <c r="A21" s="1">
        <v>0.99239999999999995</v>
      </c>
      <c r="B21" s="9" t="s">
        <v>4457</v>
      </c>
      <c r="C21" s="2">
        <v>2418</v>
      </c>
      <c r="D21" s="3" t="s">
        <v>163</v>
      </c>
      <c r="E21" s="9" t="s">
        <v>3461</v>
      </c>
      <c r="F21" s="9" t="s">
        <v>3462</v>
      </c>
      <c r="G21" s="1">
        <v>1512.7827</v>
      </c>
      <c r="H21" s="2">
        <v>226</v>
      </c>
      <c r="I21" s="2">
        <v>3</v>
      </c>
      <c r="J21" s="1">
        <v>1512.7982999999999</v>
      </c>
      <c r="K21" s="1">
        <v>505.26819999999998</v>
      </c>
      <c r="L21" s="9" t="s">
        <v>3463</v>
      </c>
      <c r="M21" s="2">
        <v>10.84</v>
      </c>
      <c r="N21" s="4">
        <v>2795.34</v>
      </c>
      <c r="O21" s="1">
        <v>10.291563965434595</v>
      </c>
      <c r="P21" s="6">
        <v>29.6</v>
      </c>
      <c r="Q21" s="6">
        <v>22.3</v>
      </c>
      <c r="R21" s="6">
        <v>10.1</v>
      </c>
      <c r="S21" s="6">
        <v>10.3</v>
      </c>
      <c r="T21" s="5">
        <v>3.3000000000000002E-2</v>
      </c>
      <c r="U21" s="1">
        <v>1.5599999999999999E-2</v>
      </c>
      <c r="V21" s="1">
        <v>3.3416000000000001</v>
      </c>
    </row>
    <row r="22" spans="1:22" x14ac:dyDescent="0.25">
      <c r="A22" s="1">
        <v>0.94969999999999999</v>
      </c>
      <c r="B22" s="9" t="s">
        <v>4458</v>
      </c>
      <c r="C22" s="2">
        <v>2494</v>
      </c>
      <c r="D22" s="3" t="s">
        <v>250</v>
      </c>
      <c r="E22" s="9" t="s">
        <v>4459</v>
      </c>
      <c r="F22" s="9" t="s">
        <v>4460</v>
      </c>
      <c r="G22" s="1">
        <v>1047.4906000000001</v>
      </c>
      <c r="H22" s="2">
        <v>228</v>
      </c>
      <c r="I22" s="2">
        <v>2</v>
      </c>
      <c r="J22" s="1">
        <v>1047.4961000000001</v>
      </c>
      <c r="K22" s="1">
        <v>524.75260000000003</v>
      </c>
      <c r="L22" s="9" t="s">
        <v>4461</v>
      </c>
      <c r="M22" s="2">
        <v>5.88</v>
      </c>
      <c r="N22" s="4">
        <v>2935.55</v>
      </c>
      <c r="O22" s="1">
        <v>5.2405647918657277</v>
      </c>
      <c r="P22" s="6">
        <v>29.5</v>
      </c>
      <c r="Q22" s="6">
        <v>26.1</v>
      </c>
      <c r="R22" s="6">
        <v>10.1</v>
      </c>
      <c r="S22" s="6">
        <v>10.6</v>
      </c>
      <c r="T22" s="5">
        <v>0.23</v>
      </c>
      <c r="U22" s="1">
        <v>5.4999999999999997E-3</v>
      </c>
      <c r="V22" s="1">
        <v>1.7985</v>
      </c>
    </row>
    <row r="23" spans="1:22" x14ac:dyDescent="0.25">
      <c r="A23" s="1">
        <v>0.98929999999999996</v>
      </c>
      <c r="B23" s="9" t="s">
        <v>4462</v>
      </c>
      <c r="C23" s="2">
        <v>2518</v>
      </c>
      <c r="D23" s="3" t="s">
        <v>2708</v>
      </c>
      <c r="E23" s="9" t="s">
        <v>4463</v>
      </c>
      <c r="F23" s="9" t="s">
        <v>4464</v>
      </c>
      <c r="G23" s="1">
        <v>1030.4032</v>
      </c>
      <c r="H23" s="2">
        <v>726</v>
      </c>
      <c r="I23" s="2">
        <v>2</v>
      </c>
      <c r="J23" s="1">
        <v>1030.4102</v>
      </c>
      <c r="K23" s="1">
        <v>516.20889999999997</v>
      </c>
      <c r="L23" s="9" t="s">
        <v>2138</v>
      </c>
      <c r="M23" s="2">
        <v>4.71</v>
      </c>
      <c r="N23" s="4">
        <v>2982.1</v>
      </c>
      <c r="O23" s="1">
        <v>6.7802008063014805</v>
      </c>
      <c r="P23" s="6">
        <v>22.6</v>
      </c>
      <c r="Q23" s="6">
        <v>17.5</v>
      </c>
      <c r="R23" s="6">
        <v>2.4</v>
      </c>
      <c r="S23" s="6">
        <v>6.4</v>
      </c>
      <c r="T23" s="5">
        <v>0.06</v>
      </c>
      <c r="U23" s="1">
        <v>7.0000000000000001E-3</v>
      </c>
      <c r="V23" s="1">
        <v>3.2681</v>
      </c>
    </row>
    <row r="24" spans="1:22" x14ac:dyDescent="0.25">
      <c r="A24" s="1">
        <v>0.99419999999999997</v>
      </c>
      <c r="B24" s="9" t="s">
        <v>4465</v>
      </c>
      <c r="C24" s="2">
        <v>2573</v>
      </c>
      <c r="D24" s="3" t="s">
        <v>752</v>
      </c>
      <c r="E24" s="9" t="s">
        <v>1899</v>
      </c>
      <c r="F24" s="9" t="s">
        <v>1900</v>
      </c>
      <c r="G24" s="1">
        <v>1141.6165000000001</v>
      </c>
      <c r="H24" s="2">
        <v>329</v>
      </c>
      <c r="I24" s="2">
        <v>2</v>
      </c>
      <c r="J24" s="1">
        <v>1141.6167</v>
      </c>
      <c r="K24" s="1">
        <v>571.81550000000004</v>
      </c>
      <c r="L24" s="9" t="s">
        <v>1901</v>
      </c>
      <c r="M24" s="2">
        <v>8.59</v>
      </c>
      <c r="N24" s="4">
        <v>3081.46</v>
      </c>
      <c r="O24" s="1">
        <v>0.17488158330790263</v>
      </c>
      <c r="P24" s="6">
        <v>47.2</v>
      </c>
      <c r="Q24" s="6">
        <v>34</v>
      </c>
      <c r="R24" s="6">
        <v>12</v>
      </c>
      <c r="S24" s="6">
        <v>10.6</v>
      </c>
      <c r="T24" s="5">
        <v>4.1000000000000002E-2</v>
      </c>
      <c r="U24" s="1">
        <v>2.0000000000000001E-4</v>
      </c>
      <c r="V24" s="1">
        <v>3.5951</v>
      </c>
    </row>
    <row r="25" spans="1:22" x14ac:dyDescent="0.25">
      <c r="A25" s="1">
        <v>0.96340000000000003</v>
      </c>
      <c r="B25" s="9" t="s">
        <v>4466</v>
      </c>
      <c r="C25" s="2">
        <v>2585</v>
      </c>
      <c r="D25" s="3" t="s">
        <v>2273</v>
      </c>
      <c r="E25" s="9" t="s">
        <v>4467</v>
      </c>
      <c r="F25" s="9" t="s">
        <v>4468</v>
      </c>
      <c r="G25" s="1">
        <v>987.51379999999995</v>
      </c>
      <c r="H25" s="2">
        <v>549</v>
      </c>
      <c r="I25" s="2">
        <v>2</v>
      </c>
      <c r="J25" s="1">
        <v>987.51930000000004</v>
      </c>
      <c r="K25" s="1">
        <v>494.76420000000002</v>
      </c>
      <c r="L25" s="9" t="s">
        <v>4469</v>
      </c>
      <c r="M25" s="2">
        <v>6.22</v>
      </c>
      <c r="N25" s="4">
        <v>3105.81</v>
      </c>
      <c r="O25" s="1">
        <v>5.5582032814823696</v>
      </c>
      <c r="P25" s="6">
        <v>24.4</v>
      </c>
      <c r="Q25" s="6">
        <v>19.100000000000001</v>
      </c>
      <c r="R25" s="6">
        <v>11.6</v>
      </c>
      <c r="S25" s="6">
        <v>8.1999999999999993</v>
      </c>
      <c r="T25" s="5">
        <v>0.24</v>
      </c>
      <c r="U25" s="1">
        <v>5.4999999999999997E-3</v>
      </c>
      <c r="V25" s="1">
        <v>2.3195999999999999</v>
      </c>
    </row>
    <row r="26" spans="1:22" x14ac:dyDescent="0.25">
      <c r="A26" s="1">
        <v>0.99819999999999998</v>
      </c>
      <c r="B26" s="9" t="s">
        <v>4470</v>
      </c>
      <c r="C26" s="2">
        <v>2587</v>
      </c>
      <c r="D26" s="3" t="s">
        <v>326</v>
      </c>
      <c r="E26" s="9" t="s">
        <v>52</v>
      </c>
      <c r="F26" s="9" t="s">
        <v>53</v>
      </c>
      <c r="G26" s="1">
        <v>1307.6216999999999</v>
      </c>
      <c r="H26" s="2">
        <v>330</v>
      </c>
      <c r="I26" s="2">
        <v>2</v>
      </c>
      <c r="J26" s="1">
        <v>1307.6396999999999</v>
      </c>
      <c r="K26" s="1">
        <v>654.81809999999996</v>
      </c>
      <c r="L26" s="9" t="s">
        <v>54</v>
      </c>
      <c r="M26" s="2">
        <v>8.1999999999999993</v>
      </c>
      <c r="N26" s="4">
        <v>3103.66</v>
      </c>
      <c r="O26" s="1">
        <v>13.744274936810697</v>
      </c>
      <c r="P26" s="6">
        <v>42.8</v>
      </c>
      <c r="Q26" s="6">
        <v>28.8</v>
      </c>
      <c r="R26" s="6">
        <v>7.4</v>
      </c>
      <c r="S26" s="6">
        <v>8.6</v>
      </c>
      <c r="T26" s="5">
        <v>7.7999999999999996E-3</v>
      </c>
      <c r="U26" s="1">
        <v>1.7999999999999999E-2</v>
      </c>
      <c r="V26" s="1">
        <v>4.5107999999999997</v>
      </c>
    </row>
    <row r="27" spans="1:22" x14ac:dyDescent="0.25">
      <c r="A27" s="1">
        <v>1</v>
      </c>
      <c r="B27" s="9" t="s">
        <v>4471</v>
      </c>
      <c r="C27" s="2">
        <v>2597</v>
      </c>
      <c r="D27" s="3" t="s">
        <v>1850</v>
      </c>
      <c r="E27" s="9" t="s">
        <v>57</v>
      </c>
      <c r="F27" s="9" t="s">
        <v>58</v>
      </c>
      <c r="G27" s="1">
        <v>1470.7943</v>
      </c>
      <c r="H27" s="2">
        <v>331</v>
      </c>
      <c r="I27" s="2">
        <v>3</v>
      </c>
      <c r="J27" s="1">
        <v>1470.8039000000001</v>
      </c>
      <c r="K27" s="1">
        <v>491.27199999999999</v>
      </c>
      <c r="L27" s="9" t="s">
        <v>59</v>
      </c>
      <c r="M27" s="2">
        <v>8.6</v>
      </c>
      <c r="N27" s="4">
        <v>3125.86</v>
      </c>
      <c r="O27" s="1">
        <v>6.5137032031135496</v>
      </c>
      <c r="P27" s="6">
        <v>47.2</v>
      </c>
      <c r="Q27" s="6">
        <v>30.5</v>
      </c>
      <c r="R27" s="6">
        <v>10.3</v>
      </c>
      <c r="S27" s="6">
        <v>10.1</v>
      </c>
      <c r="T27" s="5">
        <v>2.7E-4</v>
      </c>
      <c r="U27" s="1">
        <v>9.5999999999999992E-3</v>
      </c>
      <c r="V27" s="1">
        <v>6.7206000000000001</v>
      </c>
    </row>
    <row r="28" spans="1:22" x14ac:dyDescent="0.25">
      <c r="A28" s="1">
        <v>0.98060000000000003</v>
      </c>
      <c r="B28" s="9" t="s">
        <v>4472</v>
      </c>
      <c r="C28" s="2">
        <v>2613</v>
      </c>
      <c r="D28" s="3" t="s">
        <v>306</v>
      </c>
      <c r="E28" s="9" t="s">
        <v>1905</v>
      </c>
      <c r="F28" s="9" t="s">
        <v>1906</v>
      </c>
      <c r="G28" s="1">
        <v>1039.5117</v>
      </c>
      <c r="H28" s="2">
        <v>234</v>
      </c>
      <c r="I28" s="2">
        <v>2</v>
      </c>
      <c r="J28" s="1">
        <v>1039.5272</v>
      </c>
      <c r="K28" s="1">
        <v>520.76310000000001</v>
      </c>
      <c r="L28" s="9" t="s">
        <v>1907</v>
      </c>
      <c r="M28" s="2">
        <v>6.76</v>
      </c>
      <c r="N28" s="4">
        <v>3155.46</v>
      </c>
      <c r="O28" s="1">
        <v>14.882006808854161</v>
      </c>
      <c r="P28" s="6">
        <v>31.6</v>
      </c>
      <c r="Q28" s="6">
        <v>27.9</v>
      </c>
      <c r="R28" s="6">
        <v>11</v>
      </c>
      <c r="S28" s="6">
        <v>10.6</v>
      </c>
      <c r="T28" s="5">
        <v>8.4000000000000005E-2</v>
      </c>
      <c r="U28" s="1">
        <v>1.55E-2</v>
      </c>
      <c r="V28" s="1">
        <v>2.4634999999999998</v>
      </c>
    </row>
    <row r="29" spans="1:22" x14ac:dyDescent="0.25">
      <c r="A29" s="1">
        <v>0.96389999999999998</v>
      </c>
      <c r="B29" s="9" t="s">
        <v>4473</v>
      </c>
      <c r="C29" s="2">
        <v>2622</v>
      </c>
      <c r="D29" s="3" t="s">
        <v>2118</v>
      </c>
      <c r="E29" s="9" t="s">
        <v>4474</v>
      </c>
      <c r="F29" s="9" t="s">
        <v>4475</v>
      </c>
      <c r="G29" s="1">
        <v>1051.5117</v>
      </c>
      <c r="H29" s="2">
        <v>333</v>
      </c>
      <c r="I29" s="2">
        <v>2</v>
      </c>
      <c r="J29" s="1">
        <v>1051.5248999999999</v>
      </c>
      <c r="K29" s="1">
        <v>526.76310000000001</v>
      </c>
      <c r="L29" s="9" t="s">
        <v>4476</v>
      </c>
      <c r="M29" s="2">
        <v>6.76</v>
      </c>
      <c r="N29" s="4">
        <v>3170.26</v>
      </c>
      <c r="O29" s="1">
        <v>12.52935142951357</v>
      </c>
      <c r="P29" s="6">
        <v>39.4</v>
      </c>
      <c r="Q29" s="6">
        <v>36.299999999999997</v>
      </c>
      <c r="R29" s="6">
        <v>9.4</v>
      </c>
      <c r="S29" s="6">
        <v>11.1</v>
      </c>
      <c r="T29" s="5">
        <v>9.6000000000000002E-2</v>
      </c>
      <c r="U29" s="1">
        <v>1.32E-2</v>
      </c>
      <c r="V29" s="1">
        <v>2.1707000000000001</v>
      </c>
    </row>
    <row r="30" spans="1:22" x14ac:dyDescent="0.25">
      <c r="A30" s="1">
        <v>0.99960000000000004</v>
      </c>
      <c r="B30" s="9" t="s">
        <v>4477</v>
      </c>
      <c r="C30" s="2">
        <v>2635</v>
      </c>
      <c r="D30" s="3" t="s">
        <v>61</v>
      </c>
      <c r="E30" s="9" t="s">
        <v>62</v>
      </c>
      <c r="F30" s="9" t="s">
        <v>4478</v>
      </c>
      <c r="G30" s="1">
        <v>1674.7746999999999</v>
      </c>
      <c r="H30" s="2">
        <v>334</v>
      </c>
      <c r="I30" s="2">
        <v>3</v>
      </c>
      <c r="J30" s="1">
        <v>1674.7940000000001</v>
      </c>
      <c r="K30" s="1">
        <v>559.26549999999997</v>
      </c>
      <c r="L30" s="9" t="s">
        <v>1024</v>
      </c>
      <c r="M30" s="2">
        <v>6.76</v>
      </c>
      <c r="N30" s="4">
        <v>3192.46</v>
      </c>
      <c r="O30" s="1">
        <v>11.503182894945841</v>
      </c>
      <c r="P30" s="6">
        <v>33</v>
      </c>
      <c r="Q30" s="6">
        <v>22.8</v>
      </c>
      <c r="R30" s="6">
        <v>8.1</v>
      </c>
      <c r="S30" s="6">
        <v>8.1999999999999993</v>
      </c>
      <c r="T30" s="5">
        <v>1.5E-3</v>
      </c>
      <c r="U30" s="1">
        <v>1.9300000000000001E-2</v>
      </c>
      <c r="V30" s="1">
        <v>5.1539000000000001</v>
      </c>
    </row>
    <row r="31" spans="1:22" x14ac:dyDescent="0.25">
      <c r="A31" s="1">
        <v>0.99199999999999999</v>
      </c>
      <c r="B31" s="9" t="s">
        <v>4479</v>
      </c>
      <c r="C31" s="2">
        <v>2682</v>
      </c>
      <c r="D31" s="3" t="s">
        <v>621</v>
      </c>
      <c r="E31" s="9" t="s">
        <v>3102</v>
      </c>
      <c r="F31" s="9" t="s">
        <v>3103</v>
      </c>
      <c r="G31" s="1">
        <v>1178.6216999999999</v>
      </c>
      <c r="H31" s="2">
        <v>337</v>
      </c>
      <c r="I31" s="2">
        <v>2</v>
      </c>
      <c r="J31" s="1">
        <v>1178.6198999999999</v>
      </c>
      <c r="K31" s="1">
        <v>590.31809999999996</v>
      </c>
      <c r="L31" s="9" t="s">
        <v>1840</v>
      </c>
      <c r="M31" s="2">
        <v>8.56</v>
      </c>
      <c r="N31" s="4">
        <v>3281.26</v>
      </c>
      <c r="O31" s="1">
        <v>-1.5246017359115367</v>
      </c>
      <c r="P31" s="6">
        <v>33.799999999999997</v>
      </c>
      <c r="Q31" s="6">
        <v>24.4</v>
      </c>
      <c r="R31" s="6">
        <v>8.5</v>
      </c>
      <c r="S31" s="6">
        <v>8.8000000000000007</v>
      </c>
      <c r="T31" s="5">
        <v>3.5999999999999997E-2</v>
      </c>
      <c r="U31" s="1">
        <v>-1.8E-3</v>
      </c>
      <c r="V31" s="1">
        <v>3.4891000000000001</v>
      </c>
    </row>
    <row r="32" spans="1:22" x14ac:dyDescent="0.25">
      <c r="A32" s="1">
        <v>0.99690000000000001</v>
      </c>
      <c r="B32" s="9" t="s">
        <v>4480</v>
      </c>
      <c r="C32" s="2">
        <v>2693</v>
      </c>
      <c r="D32" s="3" t="s">
        <v>1349</v>
      </c>
      <c r="E32" s="9" t="s">
        <v>1910</v>
      </c>
      <c r="F32" s="9" t="s">
        <v>1911</v>
      </c>
      <c r="G32" s="1">
        <v>2653.0376999999999</v>
      </c>
      <c r="H32" s="2">
        <v>678</v>
      </c>
      <c r="I32" s="2">
        <v>3</v>
      </c>
      <c r="J32" s="1">
        <v>2653.0268999999998</v>
      </c>
      <c r="K32" s="1">
        <v>885.35320000000002</v>
      </c>
      <c r="L32" s="9" t="s">
        <v>1912</v>
      </c>
      <c r="M32" s="2">
        <v>8.27</v>
      </c>
      <c r="N32" s="4">
        <v>3305.61</v>
      </c>
      <c r="O32" s="1">
        <v>-4.0661738162803278</v>
      </c>
      <c r="P32" s="6">
        <v>30.3</v>
      </c>
      <c r="Q32" s="6">
        <v>18.100000000000001</v>
      </c>
      <c r="R32" s="6">
        <v>8.1</v>
      </c>
      <c r="S32" s="6">
        <v>8.1</v>
      </c>
      <c r="T32" s="5">
        <v>3.6999999999999999E-4</v>
      </c>
      <c r="U32" s="1">
        <v>-1.0800000000000001E-2</v>
      </c>
      <c r="V32" s="1">
        <v>5.4059999999999997</v>
      </c>
    </row>
    <row r="33" spans="1:22" x14ac:dyDescent="0.25">
      <c r="A33" s="1">
        <v>0.95879999999999999</v>
      </c>
      <c r="B33" s="9" t="s">
        <v>4481</v>
      </c>
      <c r="C33" s="2">
        <v>2702</v>
      </c>
      <c r="D33" s="3" t="s">
        <v>1845</v>
      </c>
      <c r="E33" s="9" t="s">
        <v>720</v>
      </c>
      <c r="F33" s="9" t="s">
        <v>721</v>
      </c>
      <c r="G33" s="1">
        <v>1323.7666999999999</v>
      </c>
      <c r="H33" s="2">
        <v>558</v>
      </c>
      <c r="I33" s="2">
        <v>3</v>
      </c>
      <c r="J33" s="1">
        <v>1323.7787000000001</v>
      </c>
      <c r="K33" s="1">
        <v>442.26280000000003</v>
      </c>
      <c r="L33" s="9" t="s">
        <v>118</v>
      </c>
      <c r="M33" s="2">
        <v>8.6</v>
      </c>
      <c r="N33" s="4">
        <v>3322.51</v>
      </c>
      <c r="O33" s="1">
        <v>9.0443962277632206</v>
      </c>
      <c r="P33" s="6">
        <v>29.3</v>
      </c>
      <c r="Q33" s="6">
        <v>24.9</v>
      </c>
      <c r="R33" s="6">
        <v>11.7</v>
      </c>
      <c r="S33" s="6">
        <v>10.3</v>
      </c>
      <c r="T33" s="5">
        <v>0.18</v>
      </c>
      <c r="U33" s="1">
        <v>1.2E-2</v>
      </c>
      <c r="V33" s="1">
        <v>2.1396000000000002</v>
      </c>
    </row>
    <row r="34" spans="1:22" x14ac:dyDescent="0.25">
      <c r="A34" s="1">
        <v>1</v>
      </c>
      <c r="B34" s="9" t="s">
        <v>4482</v>
      </c>
      <c r="C34" s="2">
        <v>2710</v>
      </c>
      <c r="D34" s="3" t="s">
        <v>1882</v>
      </c>
      <c r="E34" s="9" t="s">
        <v>1918</v>
      </c>
      <c r="F34" s="9" t="s">
        <v>1919</v>
      </c>
      <c r="G34" s="1">
        <v>2623.0272</v>
      </c>
      <c r="H34" s="2">
        <v>947</v>
      </c>
      <c r="I34" s="2">
        <v>3</v>
      </c>
      <c r="J34" s="1">
        <v>2623.0174999999999</v>
      </c>
      <c r="K34" s="1">
        <v>875.34969999999998</v>
      </c>
      <c r="L34" s="9" t="s">
        <v>1920</v>
      </c>
      <c r="M34" s="2">
        <v>8.27</v>
      </c>
      <c r="N34" s="4">
        <v>3337.31</v>
      </c>
      <c r="O34" s="1">
        <v>-3.6937618569279609</v>
      </c>
      <c r="P34" s="6">
        <v>46.2</v>
      </c>
      <c r="Q34" s="6">
        <v>24.9</v>
      </c>
      <c r="R34" s="6">
        <v>8.5</v>
      </c>
      <c r="S34" s="6">
        <v>8.1</v>
      </c>
      <c r="T34" s="5">
        <v>5.5999999999999999E-8</v>
      </c>
      <c r="U34" s="1">
        <v>-9.7000000000000003E-3</v>
      </c>
      <c r="V34" s="1">
        <v>9.4997000000000007</v>
      </c>
    </row>
    <row r="35" spans="1:22" x14ac:dyDescent="0.25">
      <c r="A35" s="1">
        <v>0.99960000000000004</v>
      </c>
      <c r="B35" s="9" t="s">
        <v>4483</v>
      </c>
      <c r="C35" s="2">
        <v>2745</v>
      </c>
      <c r="D35" s="3" t="s">
        <v>128</v>
      </c>
      <c r="E35" s="9" t="s">
        <v>724</v>
      </c>
      <c r="F35" s="9" t="s">
        <v>647</v>
      </c>
      <c r="G35" s="1">
        <v>1439.85</v>
      </c>
      <c r="H35" s="2">
        <v>631</v>
      </c>
      <c r="I35" s="2">
        <v>3</v>
      </c>
      <c r="J35" s="1">
        <v>1439.8592000000001</v>
      </c>
      <c r="K35" s="1">
        <v>480.95729999999998</v>
      </c>
      <c r="L35" s="9" t="s">
        <v>118</v>
      </c>
      <c r="M35" s="2">
        <v>8.48</v>
      </c>
      <c r="N35" s="4">
        <v>3401.82</v>
      </c>
      <c r="O35" s="1">
        <v>6.3761724100386186</v>
      </c>
      <c r="P35" s="6">
        <v>30.9</v>
      </c>
      <c r="Q35" s="6">
        <v>20.7</v>
      </c>
      <c r="R35" s="6">
        <v>3.4</v>
      </c>
      <c r="S35" s="6">
        <v>10.5</v>
      </c>
      <c r="T35" s="5">
        <v>1.0999999999999999E-2</v>
      </c>
      <c r="U35" s="1">
        <v>9.1999999999999998E-3</v>
      </c>
      <c r="V35" s="1">
        <v>4.9100999999999999</v>
      </c>
    </row>
    <row r="36" spans="1:22" x14ac:dyDescent="0.25">
      <c r="A36" s="1">
        <v>0.998</v>
      </c>
      <c r="B36" s="9" t="s">
        <v>4484</v>
      </c>
      <c r="C36" s="2">
        <v>2765</v>
      </c>
      <c r="D36" s="3" t="s">
        <v>792</v>
      </c>
      <c r="E36" s="9" t="s">
        <v>724</v>
      </c>
      <c r="F36" s="9" t="s">
        <v>647</v>
      </c>
      <c r="G36" s="1">
        <v>1439.85</v>
      </c>
      <c r="H36" s="2">
        <v>658</v>
      </c>
      <c r="I36" s="2">
        <v>3</v>
      </c>
      <c r="J36" s="1">
        <v>1439.8584000000001</v>
      </c>
      <c r="K36" s="1">
        <v>480.95729999999998</v>
      </c>
      <c r="L36" s="9" t="s">
        <v>118</v>
      </c>
      <c r="M36" s="2">
        <v>8.48</v>
      </c>
      <c r="N36" s="4">
        <v>3438.82</v>
      </c>
      <c r="O36" s="1">
        <v>5.8217226352526517</v>
      </c>
      <c r="P36" s="6">
        <v>27.6</v>
      </c>
      <c r="Q36" s="6">
        <v>18.7</v>
      </c>
      <c r="R36" s="6">
        <v>4.9000000000000004</v>
      </c>
      <c r="S36" s="6">
        <v>10.6</v>
      </c>
      <c r="T36" s="5">
        <v>5.6000000000000001E-2</v>
      </c>
      <c r="U36" s="1">
        <v>8.3999999999999995E-3</v>
      </c>
      <c r="V36" s="1">
        <v>3.8826999999999998</v>
      </c>
    </row>
    <row r="37" spans="1:22" x14ac:dyDescent="0.25">
      <c r="A37" s="1">
        <v>0.99990000000000001</v>
      </c>
      <c r="B37" s="9" t="s">
        <v>4485</v>
      </c>
      <c r="C37" s="2">
        <v>2785</v>
      </c>
      <c r="D37" s="3" t="s">
        <v>298</v>
      </c>
      <c r="E37" s="9" t="s">
        <v>3115</v>
      </c>
      <c r="F37" s="9" t="s">
        <v>3116</v>
      </c>
      <c r="G37" s="1">
        <v>909.47080000000005</v>
      </c>
      <c r="H37" s="2">
        <v>641</v>
      </c>
      <c r="I37" s="2">
        <v>2</v>
      </c>
      <c r="J37" s="1">
        <v>909.4742</v>
      </c>
      <c r="K37" s="1">
        <v>455.74270000000001</v>
      </c>
      <c r="L37" s="9" t="s">
        <v>3117</v>
      </c>
      <c r="M37" s="2">
        <v>6.74</v>
      </c>
      <c r="N37" s="4">
        <v>3475.82</v>
      </c>
      <c r="O37" s="1">
        <v>3.7301749430106064</v>
      </c>
      <c r="P37" s="6">
        <v>36.9</v>
      </c>
      <c r="Q37" s="6">
        <v>23.1</v>
      </c>
      <c r="R37" s="6">
        <v>11.5</v>
      </c>
      <c r="S37" s="6">
        <v>12.1</v>
      </c>
      <c r="T37" s="5">
        <v>2.1000000000000001E-4</v>
      </c>
      <c r="U37" s="1">
        <v>3.3999999999999998E-3</v>
      </c>
      <c r="V37" s="1">
        <v>7.306</v>
      </c>
    </row>
    <row r="38" spans="1:22" x14ac:dyDescent="0.25">
      <c r="A38" s="1">
        <v>1</v>
      </c>
      <c r="B38" s="9" t="s">
        <v>4486</v>
      </c>
      <c r="C38" s="2">
        <v>2805</v>
      </c>
      <c r="D38" s="3" t="s">
        <v>298</v>
      </c>
      <c r="E38" s="9" t="s">
        <v>3115</v>
      </c>
      <c r="F38" s="9" t="s">
        <v>3116</v>
      </c>
      <c r="G38" s="1">
        <v>909.47080000000005</v>
      </c>
      <c r="H38" s="2">
        <v>620</v>
      </c>
      <c r="I38" s="2">
        <v>2</v>
      </c>
      <c r="J38" s="1">
        <v>909.47990000000004</v>
      </c>
      <c r="K38" s="1">
        <v>455.74270000000001</v>
      </c>
      <c r="L38" s="9" t="s">
        <v>3117</v>
      </c>
      <c r="M38" s="2">
        <v>6.74</v>
      </c>
      <c r="N38" s="4">
        <v>3512.82</v>
      </c>
      <c r="O38" s="1">
        <v>9.9837035239401537</v>
      </c>
      <c r="P38" s="6">
        <v>37.1</v>
      </c>
      <c r="Q38" s="6">
        <v>23.5</v>
      </c>
      <c r="R38" s="6">
        <v>12</v>
      </c>
      <c r="S38" s="6">
        <v>11.9</v>
      </c>
      <c r="T38" s="5">
        <v>1.8E-5</v>
      </c>
      <c r="U38" s="1">
        <v>9.1000000000000004E-3</v>
      </c>
      <c r="V38" s="1">
        <v>8.6539000000000001</v>
      </c>
    </row>
    <row r="39" spans="1:22" x14ac:dyDescent="0.25">
      <c r="A39" s="1">
        <v>0.99409999999999998</v>
      </c>
      <c r="B39" s="9" t="s">
        <v>4487</v>
      </c>
      <c r="C39" s="2">
        <v>2847</v>
      </c>
      <c r="D39" s="3" t="s">
        <v>38</v>
      </c>
      <c r="E39" s="9" t="s">
        <v>3122</v>
      </c>
      <c r="F39" s="9" t="s">
        <v>841</v>
      </c>
      <c r="G39" s="1">
        <v>1401.7076999999999</v>
      </c>
      <c r="H39" s="2">
        <v>578</v>
      </c>
      <c r="I39" s="2">
        <v>3</v>
      </c>
      <c r="J39" s="1">
        <v>1401.7340999999999</v>
      </c>
      <c r="K39" s="1">
        <v>468.2432</v>
      </c>
      <c r="L39" s="9" t="s">
        <v>673</v>
      </c>
      <c r="M39" s="2">
        <v>6.48</v>
      </c>
      <c r="N39" s="4">
        <v>3591.02</v>
      </c>
      <c r="O39" s="1">
        <v>18.793652529283928</v>
      </c>
      <c r="P39" s="6">
        <v>34.5</v>
      </c>
      <c r="Q39" s="6">
        <v>26.7</v>
      </c>
      <c r="R39" s="6">
        <v>10.6</v>
      </c>
      <c r="S39" s="6">
        <v>11.5</v>
      </c>
      <c r="T39" s="5">
        <v>9.1000000000000004E-3</v>
      </c>
      <c r="U39" s="1">
        <v>2.64E-2</v>
      </c>
      <c r="V39" s="1">
        <v>4.2186000000000003</v>
      </c>
    </row>
    <row r="40" spans="1:22" x14ac:dyDescent="0.25">
      <c r="A40" s="1">
        <v>0.99990000000000001</v>
      </c>
      <c r="B40" s="9" t="s">
        <v>4488</v>
      </c>
      <c r="C40" s="2">
        <v>2851</v>
      </c>
      <c r="D40" s="3" t="s">
        <v>1399</v>
      </c>
      <c r="E40" s="9" t="s">
        <v>1176</v>
      </c>
      <c r="F40" s="9" t="s">
        <v>1749</v>
      </c>
      <c r="G40" s="1">
        <v>2091.9387000000002</v>
      </c>
      <c r="H40" s="2">
        <v>754</v>
      </c>
      <c r="I40" s="2">
        <v>3</v>
      </c>
      <c r="J40" s="1">
        <v>2091.9502000000002</v>
      </c>
      <c r="K40" s="1">
        <v>698.3202</v>
      </c>
      <c r="L40" s="9" t="s">
        <v>1069</v>
      </c>
      <c r="M40" s="2">
        <v>4.53</v>
      </c>
      <c r="N40" s="4">
        <v>3592.07</v>
      </c>
      <c r="O40" s="1">
        <v>5.4893633799127297</v>
      </c>
      <c r="P40" s="6">
        <v>42</v>
      </c>
      <c r="Q40" s="6">
        <v>24.4</v>
      </c>
      <c r="R40" s="6">
        <v>10.8</v>
      </c>
      <c r="S40" s="6">
        <v>9.4</v>
      </c>
      <c r="T40" s="5">
        <v>1.5E-5</v>
      </c>
      <c r="U40" s="1">
        <v>1.15E-2</v>
      </c>
      <c r="V40" s="1">
        <v>7.4115000000000002</v>
      </c>
    </row>
    <row r="41" spans="1:22" x14ac:dyDescent="0.25">
      <c r="A41" s="1">
        <v>0.99990000000000001</v>
      </c>
      <c r="B41" s="9" t="s">
        <v>4489</v>
      </c>
      <c r="C41" s="2">
        <v>2853</v>
      </c>
      <c r="D41" s="3" t="s">
        <v>326</v>
      </c>
      <c r="E41" s="9" t="s">
        <v>79</v>
      </c>
      <c r="F41" s="9" t="s">
        <v>80</v>
      </c>
      <c r="G41" s="1">
        <v>1140.5239999999999</v>
      </c>
      <c r="H41" s="2">
        <v>613</v>
      </c>
      <c r="I41" s="2">
        <v>2</v>
      </c>
      <c r="J41" s="1">
        <v>1140.5243</v>
      </c>
      <c r="K41" s="1">
        <v>571.26930000000004</v>
      </c>
      <c r="L41" s="9" t="s">
        <v>81</v>
      </c>
      <c r="M41" s="2">
        <v>5.47</v>
      </c>
      <c r="N41" s="4">
        <v>3601.62</v>
      </c>
      <c r="O41" s="1">
        <v>0.26257318571118732</v>
      </c>
      <c r="P41" s="6">
        <v>45.9</v>
      </c>
      <c r="Q41" s="6">
        <v>24.4</v>
      </c>
      <c r="R41" s="6">
        <v>10.9</v>
      </c>
      <c r="S41" s="6">
        <v>11.3</v>
      </c>
      <c r="T41" s="5">
        <v>8.2999999999999998E-5</v>
      </c>
      <c r="U41" s="1">
        <v>2.9999999999999997E-4</v>
      </c>
      <c r="V41" s="1">
        <v>7.5244</v>
      </c>
    </row>
    <row r="42" spans="1:22" x14ac:dyDescent="0.25">
      <c r="A42" s="1">
        <v>0.99990000000000001</v>
      </c>
      <c r="B42" s="9" t="s">
        <v>4490</v>
      </c>
      <c r="C42" s="2">
        <v>2874</v>
      </c>
      <c r="D42" s="3" t="s">
        <v>201</v>
      </c>
      <c r="E42" s="9" t="s">
        <v>79</v>
      </c>
      <c r="F42" s="9" t="s">
        <v>80</v>
      </c>
      <c r="G42" s="1">
        <v>1140.5239999999999</v>
      </c>
      <c r="H42" s="2">
        <v>590</v>
      </c>
      <c r="I42" s="2">
        <v>2</v>
      </c>
      <c r="J42" s="1">
        <v>1140.5320999999999</v>
      </c>
      <c r="K42" s="1">
        <v>571.26930000000004</v>
      </c>
      <c r="L42" s="9" t="s">
        <v>81</v>
      </c>
      <c r="M42" s="2">
        <v>5.47</v>
      </c>
      <c r="N42" s="4">
        <v>3640.72</v>
      </c>
      <c r="O42" s="1">
        <v>7.0894760142020576</v>
      </c>
      <c r="P42" s="6">
        <v>46.9</v>
      </c>
      <c r="Q42" s="6">
        <v>28</v>
      </c>
      <c r="R42" s="6">
        <v>11.2</v>
      </c>
      <c r="S42" s="6">
        <v>11</v>
      </c>
      <c r="T42" s="5">
        <v>1.7000000000000001E-4</v>
      </c>
      <c r="U42" s="1">
        <v>8.0999999999999996E-3</v>
      </c>
      <c r="V42" s="1">
        <v>6.8305999999999996</v>
      </c>
    </row>
    <row r="43" spans="1:22" x14ac:dyDescent="0.25">
      <c r="A43" s="1">
        <v>0.99870000000000003</v>
      </c>
      <c r="B43" s="9" t="s">
        <v>4491</v>
      </c>
      <c r="C43" s="2">
        <v>2877</v>
      </c>
      <c r="D43" s="3" t="s">
        <v>146</v>
      </c>
      <c r="E43" s="9" t="s">
        <v>4492</v>
      </c>
      <c r="F43" s="9" t="s">
        <v>4493</v>
      </c>
      <c r="G43" s="1">
        <v>1424.6357</v>
      </c>
      <c r="H43" s="2">
        <v>576</v>
      </c>
      <c r="I43" s="2">
        <v>2</v>
      </c>
      <c r="J43" s="1">
        <v>1424.6577</v>
      </c>
      <c r="K43" s="1">
        <v>713.32510000000002</v>
      </c>
      <c r="L43" s="9" t="s">
        <v>673</v>
      </c>
      <c r="M43" s="2">
        <v>6.14</v>
      </c>
      <c r="N43" s="4">
        <v>3646.03</v>
      </c>
      <c r="O43" s="1">
        <v>15.420738734694739</v>
      </c>
      <c r="P43" s="6">
        <v>38.299999999999997</v>
      </c>
      <c r="Q43" s="6">
        <v>24.7</v>
      </c>
      <c r="R43" s="6">
        <v>10.1</v>
      </c>
      <c r="S43" s="6">
        <v>11.4</v>
      </c>
      <c r="T43" s="5">
        <v>2E-3</v>
      </c>
      <c r="U43" s="1">
        <v>2.1999999999999999E-2</v>
      </c>
      <c r="V43" s="1">
        <v>5.1111000000000004</v>
      </c>
    </row>
    <row r="44" spans="1:22" x14ac:dyDescent="0.25">
      <c r="A44" s="1">
        <v>0.99950000000000006</v>
      </c>
      <c r="B44" s="9" t="s">
        <v>4494</v>
      </c>
      <c r="C44" s="2">
        <v>2885</v>
      </c>
      <c r="D44" s="3" t="s">
        <v>3139</v>
      </c>
      <c r="E44" s="9" t="s">
        <v>1950</v>
      </c>
      <c r="F44" s="9" t="s">
        <v>1140</v>
      </c>
      <c r="G44" s="1">
        <v>1586.7687000000001</v>
      </c>
      <c r="H44" s="2">
        <v>952</v>
      </c>
      <c r="I44" s="2">
        <v>3</v>
      </c>
      <c r="J44" s="1">
        <v>1586.7946999999999</v>
      </c>
      <c r="K44" s="1">
        <v>529.93020000000001</v>
      </c>
      <c r="L44" s="9" t="s">
        <v>745</v>
      </c>
      <c r="M44" s="2">
        <v>5.3</v>
      </c>
      <c r="N44" s="4">
        <v>3660.83</v>
      </c>
      <c r="O44" s="1">
        <v>16.354355095570448</v>
      </c>
      <c r="P44" s="6">
        <v>45.7</v>
      </c>
      <c r="Q44" s="6">
        <v>30</v>
      </c>
      <c r="R44" s="6">
        <v>12.6</v>
      </c>
      <c r="S44" s="6">
        <v>13.9</v>
      </c>
      <c r="T44" s="5">
        <v>1.8000000000000001E-4</v>
      </c>
      <c r="U44" s="1">
        <v>2.5999999999999999E-2</v>
      </c>
      <c r="V44" s="1">
        <v>6.8886000000000003</v>
      </c>
    </row>
    <row r="45" spans="1:22" x14ac:dyDescent="0.25">
      <c r="A45" s="1">
        <v>0.999</v>
      </c>
      <c r="B45" s="9" t="s">
        <v>4495</v>
      </c>
      <c r="C45" s="2">
        <v>2940</v>
      </c>
      <c r="D45" s="3" t="s">
        <v>321</v>
      </c>
      <c r="E45" s="9" t="s">
        <v>1956</v>
      </c>
      <c r="F45" s="9" t="s">
        <v>1957</v>
      </c>
      <c r="G45" s="1">
        <v>1570.7737</v>
      </c>
      <c r="H45" s="2">
        <v>756</v>
      </c>
      <c r="I45" s="2">
        <v>3</v>
      </c>
      <c r="J45" s="1">
        <v>1570.7902999999999</v>
      </c>
      <c r="K45" s="1">
        <v>524.59849999999994</v>
      </c>
      <c r="L45" s="9" t="s">
        <v>1958</v>
      </c>
      <c r="M45" s="2">
        <v>5.3</v>
      </c>
      <c r="N45" s="4">
        <v>3760.18</v>
      </c>
      <c r="O45" s="1">
        <v>10.54774905634182</v>
      </c>
      <c r="P45" s="6">
        <v>44.3</v>
      </c>
      <c r="Q45" s="6">
        <v>29.7</v>
      </c>
      <c r="R45" s="6">
        <v>12.4</v>
      </c>
      <c r="S45" s="6">
        <v>13.8</v>
      </c>
      <c r="T45" s="5">
        <v>2.5999999999999998E-4</v>
      </c>
      <c r="U45" s="1">
        <v>1.66E-2</v>
      </c>
      <c r="V45" s="1">
        <v>6.6071</v>
      </c>
    </row>
    <row r="46" spans="1:22" x14ac:dyDescent="0.25">
      <c r="A46" s="1">
        <v>0.96660000000000001</v>
      </c>
      <c r="B46" s="9" t="s">
        <v>4496</v>
      </c>
      <c r="C46" s="2">
        <v>3004</v>
      </c>
      <c r="D46" s="3" t="s">
        <v>2069</v>
      </c>
      <c r="E46" s="9" t="s">
        <v>4497</v>
      </c>
      <c r="F46" s="9" t="s">
        <v>3078</v>
      </c>
      <c r="G46" s="1">
        <v>1627.9367</v>
      </c>
      <c r="H46" s="2">
        <v>759</v>
      </c>
      <c r="I46" s="2">
        <v>3</v>
      </c>
      <c r="J46" s="1">
        <v>1627.9523999999999</v>
      </c>
      <c r="K46" s="1">
        <v>543.65279999999996</v>
      </c>
      <c r="L46" s="9" t="s">
        <v>3079</v>
      </c>
      <c r="M46" s="2">
        <v>9.6999999999999993</v>
      </c>
      <c r="N46" s="4">
        <v>3876.48</v>
      </c>
      <c r="O46" s="1">
        <v>9.6262418465118422</v>
      </c>
      <c r="P46" s="6">
        <v>41.2</v>
      </c>
      <c r="Q46" s="6">
        <v>41.2</v>
      </c>
      <c r="R46" s="6">
        <v>13.3</v>
      </c>
      <c r="S46" s="6">
        <v>13.6</v>
      </c>
      <c r="T46" s="5">
        <v>9.8999999999999999E-4</v>
      </c>
      <c r="U46" s="1">
        <v>1.5699999999999999E-2</v>
      </c>
      <c r="V46" s="1">
        <v>3.8976999999999999</v>
      </c>
    </row>
    <row r="47" spans="1:22" x14ac:dyDescent="0.25">
      <c r="A47" s="1">
        <v>0.99750000000000005</v>
      </c>
      <c r="B47" s="9" t="s">
        <v>4498</v>
      </c>
      <c r="C47" s="2">
        <v>3052</v>
      </c>
      <c r="D47" s="3" t="s">
        <v>740</v>
      </c>
      <c r="E47" s="9" t="s">
        <v>3143</v>
      </c>
      <c r="F47" s="9" t="s">
        <v>3144</v>
      </c>
      <c r="G47" s="1">
        <v>1376.6577</v>
      </c>
      <c r="H47" s="2">
        <v>354</v>
      </c>
      <c r="I47" s="2">
        <v>3</v>
      </c>
      <c r="J47" s="1">
        <v>1376.6791000000001</v>
      </c>
      <c r="K47" s="1">
        <v>459.89319999999998</v>
      </c>
      <c r="L47" s="9" t="s">
        <v>3145</v>
      </c>
      <c r="M47" s="2">
        <v>6.04</v>
      </c>
      <c r="N47" s="4">
        <v>3965.28</v>
      </c>
      <c r="O47" s="1">
        <v>15.510847590991414</v>
      </c>
      <c r="P47" s="6">
        <v>35.6</v>
      </c>
      <c r="Q47" s="6">
        <v>26.4</v>
      </c>
      <c r="R47" s="6">
        <v>12.9</v>
      </c>
      <c r="S47" s="6">
        <v>11.2</v>
      </c>
      <c r="T47" s="5">
        <v>1.6E-2</v>
      </c>
      <c r="U47" s="1">
        <v>2.1399999999999999E-2</v>
      </c>
      <c r="V47" s="1">
        <v>4.4497</v>
      </c>
    </row>
    <row r="48" spans="1:22" x14ac:dyDescent="0.25">
      <c r="A48" s="1">
        <v>0.99860000000000004</v>
      </c>
      <c r="B48" s="9" t="s">
        <v>4499</v>
      </c>
      <c r="C48" s="2">
        <v>3073</v>
      </c>
      <c r="D48" s="3" t="s">
        <v>1544</v>
      </c>
      <c r="E48" s="9" t="s">
        <v>4500</v>
      </c>
      <c r="F48" s="9" t="s">
        <v>4501</v>
      </c>
      <c r="G48" s="1">
        <v>1450.6337000000001</v>
      </c>
      <c r="H48" s="2">
        <v>760</v>
      </c>
      <c r="I48" s="2">
        <v>2</v>
      </c>
      <c r="J48" s="1">
        <v>1450.6581000000001</v>
      </c>
      <c r="K48" s="1">
        <v>726.32410000000004</v>
      </c>
      <c r="L48" s="9" t="s">
        <v>2599</v>
      </c>
      <c r="M48" s="2">
        <v>5.95</v>
      </c>
      <c r="N48" s="4">
        <v>4002.28</v>
      </c>
      <c r="O48" s="1">
        <v>16.796909258552759</v>
      </c>
      <c r="P48" s="6">
        <v>53.4</v>
      </c>
      <c r="Q48" s="6">
        <v>28.6</v>
      </c>
      <c r="R48" s="6">
        <v>10.8</v>
      </c>
      <c r="S48" s="6">
        <v>12.1</v>
      </c>
      <c r="T48" s="5">
        <v>3.5999999999999998E-6</v>
      </c>
      <c r="U48" s="1">
        <v>2.4400000000000002E-2</v>
      </c>
      <c r="V48" s="1">
        <v>8.0233000000000008</v>
      </c>
    </row>
    <row r="49" spans="1:22" x14ac:dyDescent="0.25">
      <c r="A49" s="1">
        <v>0.99880000000000002</v>
      </c>
      <c r="B49" s="9" t="s">
        <v>4502</v>
      </c>
      <c r="C49" s="2">
        <v>3088</v>
      </c>
      <c r="D49" s="3" t="s">
        <v>1000</v>
      </c>
      <c r="E49" s="9" t="s">
        <v>4503</v>
      </c>
      <c r="F49" s="9" t="s">
        <v>2488</v>
      </c>
      <c r="G49" s="1">
        <v>1508.6927000000001</v>
      </c>
      <c r="H49" s="2">
        <v>903</v>
      </c>
      <c r="I49" s="2">
        <v>2</v>
      </c>
      <c r="J49" s="1">
        <v>1508.7072000000001</v>
      </c>
      <c r="K49" s="1">
        <v>755.35360000000003</v>
      </c>
      <c r="L49" s="9" t="s">
        <v>2489</v>
      </c>
      <c r="M49" s="2">
        <v>9.98</v>
      </c>
      <c r="N49" s="4">
        <v>4036.13</v>
      </c>
      <c r="O49" s="1">
        <v>9.598153765335864</v>
      </c>
      <c r="P49" s="6">
        <v>42.2</v>
      </c>
      <c r="Q49" s="6">
        <v>24.6</v>
      </c>
      <c r="R49" s="6">
        <v>10.4</v>
      </c>
      <c r="S49" s="6">
        <v>10.5</v>
      </c>
      <c r="T49" s="5">
        <v>2.1999999999999999E-5</v>
      </c>
      <c r="U49" s="1">
        <v>1.4500000000000001E-2</v>
      </c>
      <c r="V49" s="1">
        <v>7.2797000000000001</v>
      </c>
    </row>
    <row r="50" spans="1:22" x14ac:dyDescent="0.25">
      <c r="A50" s="1">
        <v>0.99670000000000003</v>
      </c>
      <c r="B50" s="9" t="s">
        <v>4504</v>
      </c>
      <c r="C50" s="2">
        <v>3144</v>
      </c>
      <c r="D50" s="3" t="s">
        <v>206</v>
      </c>
      <c r="E50" s="9" t="s">
        <v>3151</v>
      </c>
      <c r="F50" s="9" t="s">
        <v>3116</v>
      </c>
      <c r="G50" s="1">
        <v>1918.9647</v>
      </c>
      <c r="H50" s="2">
        <v>358</v>
      </c>
      <c r="I50" s="2">
        <v>3</v>
      </c>
      <c r="J50" s="1">
        <v>1918.9945</v>
      </c>
      <c r="K50" s="1">
        <v>640.66219999999998</v>
      </c>
      <c r="L50" s="9" t="s">
        <v>3117</v>
      </c>
      <c r="M50" s="2">
        <v>8.18</v>
      </c>
      <c r="N50" s="4">
        <v>4135.49</v>
      </c>
      <c r="O50" s="1">
        <v>15.504790720185044</v>
      </c>
      <c r="P50" s="6">
        <v>28.4</v>
      </c>
      <c r="Q50" s="6">
        <v>19.5</v>
      </c>
      <c r="R50" s="6">
        <v>9.6999999999999993</v>
      </c>
      <c r="S50" s="6">
        <v>9</v>
      </c>
      <c r="T50" s="5">
        <v>6.6E-3</v>
      </c>
      <c r="U50" s="1">
        <v>2.98E-2</v>
      </c>
      <c r="V50" s="1">
        <v>4.4109999999999996</v>
      </c>
    </row>
    <row r="51" spans="1:22" x14ac:dyDescent="0.25">
      <c r="A51" s="1">
        <v>0.97909999999999997</v>
      </c>
      <c r="B51" s="9" t="s">
        <v>4505</v>
      </c>
      <c r="C51" s="2">
        <v>3187</v>
      </c>
      <c r="D51" s="3" t="s">
        <v>702</v>
      </c>
      <c r="E51" s="9" t="s">
        <v>761</v>
      </c>
      <c r="F51" s="9" t="s">
        <v>762</v>
      </c>
      <c r="G51" s="1">
        <v>1235.6948</v>
      </c>
      <c r="H51" s="2">
        <v>250</v>
      </c>
      <c r="I51" s="2">
        <v>2</v>
      </c>
      <c r="J51" s="1">
        <v>1235.6898000000001</v>
      </c>
      <c r="K51" s="1">
        <v>618.85469999999998</v>
      </c>
      <c r="L51" s="9" t="s">
        <v>763</v>
      </c>
      <c r="M51" s="2">
        <v>8.56</v>
      </c>
      <c r="N51" s="4">
        <v>4214.79</v>
      </c>
      <c r="O51" s="1">
        <v>-4.0397204707340837</v>
      </c>
      <c r="P51" s="6">
        <v>40</v>
      </c>
      <c r="Q51" s="6">
        <v>30.1</v>
      </c>
      <c r="R51" s="6">
        <v>11.9</v>
      </c>
      <c r="S51" s="6">
        <v>10.6</v>
      </c>
      <c r="T51" s="5">
        <v>4.7E-2</v>
      </c>
      <c r="U51" s="1">
        <v>-5.0000000000000001E-3</v>
      </c>
      <c r="V51" s="1">
        <v>3.069</v>
      </c>
    </row>
    <row r="52" spans="1:22" x14ac:dyDescent="0.25">
      <c r="A52" s="1">
        <v>0.99990000000000001</v>
      </c>
      <c r="B52" s="9" t="s">
        <v>4506</v>
      </c>
      <c r="C52" s="2">
        <v>3212</v>
      </c>
      <c r="D52" s="3" t="s">
        <v>1419</v>
      </c>
      <c r="E52" s="9" t="s">
        <v>1208</v>
      </c>
      <c r="F52" s="9" t="s">
        <v>176</v>
      </c>
      <c r="G52" s="1">
        <v>1756.8236999999999</v>
      </c>
      <c r="H52" s="2">
        <v>363</v>
      </c>
      <c r="I52" s="2">
        <v>2</v>
      </c>
      <c r="J52" s="1">
        <v>1756.8354999999999</v>
      </c>
      <c r="K52" s="1">
        <v>879.41909999999996</v>
      </c>
      <c r="L52" s="9" t="s">
        <v>118</v>
      </c>
      <c r="M52" s="2">
        <v>6.73</v>
      </c>
      <c r="N52" s="4">
        <v>4259.1899999999996</v>
      </c>
      <c r="O52" s="1">
        <v>6.708974139861188</v>
      </c>
      <c r="P52" s="6">
        <v>52.9</v>
      </c>
      <c r="Q52" s="6">
        <v>25.1</v>
      </c>
      <c r="R52" s="6">
        <v>11.6</v>
      </c>
      <c r="S52" s="6">
        <v>10.1</v>
      </c>
      <c r="T52" s="5">
        <v>1.3999999999999999E-6</v>
      </c>
      <c r="U52" s="1">
        <v>1.18E-2</v>
      </c>
      <c r="V52" s="1">
        <v>7.8936999999999999</v>
      </c>
    </row>
    <row r="53" spans="1:22" x14ac:dyDescent="0.25">
      <c r="A53" s="1">
        <v>0.98409999999999997</v>
      </c>
      <c r="B53" s="9" t="s">
        <v>4507</v>
      </c>
      <c r="C53" s="2">
        <v>3230</v>
      </c>
      <c r="D53" s="3" t="s">
        <v>15</v>
      </c>
      <c r="E53" s="9" t="s">
        <v>4508</v>
      </c>
      <c r="F53" s="9" t="s">
        <v>2383</v>
      </c>
      <c r="G53" s="1">
        <v>1665.8877</v>
      </c>
      <c r="H53" s="2">
        <v>366</v>
      </c>
      <c r="I53" s="2">
        <v>3</v>
      </c>
      <c r="J53" s="1">
        <v>1665.9006999999999</v>
      </c>
      <c r="K53" s="1">
        <v>556.30319999999995</v>
      </c>
      <c r="L53" s="9" t="s">
        <v>673</v>
      </c>
      <c r="M53" s="2">
        <v>6.76</v>
      </c>
      <c r="N53" s="4">
        <v>4296.1899999999996</v>
      </c>
      <c r="O53" s="1">
        <v>7.7895171793607041</v>
      </c>
      <c r="P53" s="6">
        <v>27.8</v>
      </c>
      <c r="Q53" s="6">
        <v>23.3</v>
      </c>
      <c r="R53" s="6">
        <v>11.3</v>
      </c>
      <c r="S53" s="6">
        <v>11.2</v>
      </c>
      <c r="T53" s="5">
        <v>2.1000000000000001E-2</v>
      </c>
      <c r="U53" s="1">
        <v>1.2999999999999999E-2</v>
      </c>
      <c r="V53" s="1">
        <v>3.2408000000000001</v>
      </c>
    </row>
    <row r="54" spans="1:22" x14ac:dyDescent="0.25">
      <c r="A54" s="1">
        <v>0.99960000000000004</v>
      </c>
      <c r="B54" s="9" t="s">
        <v>4509</v>
      </c>
      <c r="C54" s="2">
        <v>3254</v>
      </c>
      <c r="D54" s="3" t="s">
        <v>2652</v>
      </c>
      <c r="E54" s="9" t="s">
        <v>1217</v>
      </c>
      <c r="F54" s="9" t="s">
        <v>508</v>
      </c>
      <c r="G54" s="1">
        <v>2142.1397000000002</v>
      </c>
      <c r="H54" s="2">
        <v>370</v>
      </c>
      <c r="I54" s="2">
        <v>4</v>
      </c>
      <c r="J54" s="1">
        <v>2142.1658000000002</v>
      </c>
      <c r="K54" s="1">
        <v>536.54219999999998</v>
      </c>
      <c r="L54" s="9" t="s">
        <v>509</v>
      </c>
      <c r="M54" s="2">
        <v>8.43</v>
      </c>
      <c r="N54" s="4">
        <v>4340.59</v>
      </c>
      <c r="O54" s="1">
        <v>12.161205586438495</v>
      </c>
      <c r="P54" s="6">
        <v>37.1</v>
      </c>
      <c r="Q54" s="6">
        <v>22.8</v>
      </c>
      <c r="R54" s="6">
        <v>12.1</v>
      </c>
      <c r="S54" s="6">
        <v>11.5</v>
      </c>
      <c r="T54" s="5">
        <v>1.3999999999999999E-4</v>
      </c>
      <c r="U54" s="1">
        <v>2.6100000000000002E-2</v>
      </c>
      <c r="V54" s="1">
        <v>6.3741000000000003</v>
      </c>
    </row>
    <row r="55" spans="1:22" x14ac:dyDescent="0.25">
      <c r="A55" s="1">
        <v>0.96360000000000001</v>
      </c>
      <c r="B55" s="9" t="s">
        <v>4510</v>
      </c>
      <c r="C55" s="2">
        <v>3274</v>
      </c>
      <c r="D55" s="3" t="s">
        <v>1608</v>
      </c>
      <c r="E55" s="9" t="s">
        <v>1217</v>
      </c>
      <c r="F55" s="9" t="s">
        <v>508</v>
      </c>
      <c r="G55" s="1">
        <v>2142.1397000000002</v>
      </c>
      <c r="H55" s="2">
        <v>371</v>
      </c>
      <c r="I55" s="2">
        <v>4</v>
      </c>
      <c r="J55" s="1">
        <v>2142.1635000000001</v>
      </c>
      <c r="K55" s="1">
        <v>536.54219999999998</v>
      </c>
      <c r="L55" s="9" t="s">
        <v>509</v>
      </c>
      <c r="M55" s="2">
        <v>8.43</v>
      </c>
      <c r="N55" s="4">
        <v>4377.59</v>
      </c>
      <c r="O55" s="1">
        <v>11.089528465794491</v>
      </c>
      <c r="P55" s="6">
        <v>30.7</v>
      </c>
      <c r="Q55" s="6">
        <v>21.5</v>
      </c>
      <c r="R55" s="6">
        <v>11.1</v>
      </c>
      <c r="S55" s="6">
        <v>11.6</v>
      </c>
      <c r="T55" s="5">
        <v>3.2000000000000001E-2</v>
      </c>
      <c r="U55" s="1">
        <v>2.3800000000000002E-2</v>
      </c>
      <c r="V55" s="1">
        <v>3.3233000000000001</v>
      </c>
    </row>
    <row r="56" spans="1:22" x14ac:dyDescent="0.25">
      <c r="A56" s="1">
        <v>0.98119999999999996</v>
      </c>
      <c r="B56" s="9" t="s">
        <v>4511</v>
      </c>
      <c r="C56" s="2">
        <v>3287</v>
      </c>
      <c r="D56" s="3" t="s">
        <v>20</v>
      </c>
      <c r="E56" s="9" t="s">
        <v>3157</v>
      </c>
      <c r="F56" s="9" t="s">
        <v>1585</v>
      </c>
      <c r="G56" s="1">
        <v>1644.9174</v>
      </c>
      <c r="H56" s="2">
        <v>710</v>
      </c>
      <c r="I56" s="2">
        <v>3</v>
      </c>
      <c r="J56" s="1">
        <v>1644.9159</v>
      </c>
      <c r="K56" s="1">
        <v>549.31309999999996</v>
      </c>
      <c r="L56" s="9" t="s">
        <v>1586</v>
      </c>
      <c r="M56" s="2">
        <v>10.3</v>
      </c>
      <c r="N56" s="4">
        <v>4404.04</v>
      </c>
      <c r="O56" s="1">
        <v>-0.9102277007411621</v>
      </c>
      <c r="P56" s="6">
        <v>31.4</v>
      </c>
      <c r="Q56" s="6">
        <v>22.6</v>
      </c>
      <c r="R56" s="6">
        <v>9.9</v>
      </c>
      <c r="S56" s="6">
        <v>10.3</v>
      </c>
      <c r="T56" s="5">
        <v>5.5E-2</v>
      </c>
      <c r="U56" s="1">
        <v>-1.5E-3</v>
      </c>
      <c r="V56" s="1">
        <v>3.3633999999999999</v>
      </c>
    </row>
    <row r="57" spans="1:22" x14ac:dyDescent="0.25">
      <c r="A57" s="1">
        <v>0.995</v>
      </c>
      <c r="B57" s="9" t="s">
        <v>4512</v>
      </c>
      <c r="C57" s="2">
        <v>3342</v>
      </c>
      <c r="D57" s="3" t="s">
        <v>697</v>
      </c>
      <c r="E57" s="9" t="s">
        <v>1993</v>
      </c>
      <c r="F57" s="9" t="s">
        <v>781</v>
      </c>
      <c r="G57" s="1">
        <v>1474.8297</v>
      </c>
      <c r="H57" s="2">
        <v>374</v>
      </c>
      <c r="I57" s="2">
        <v>3</v>
      </c>
      <c r="J57" s="1">
        <v>1474.8459</v>
      </c>
      <c r="K57" s="1">
        <v>492.61720000000003</v>
      </c>
      <c r="L57" s="9" t="s">
        <v>782</v>
      </c>
      <c r="M57" s="2">
        <v>6.96</v>
      </c>
      <c r="N57" s="4">
        <v>4498.2</v>
      </c>
      <c r="O57" s="1">
        <v>10.961858416636689</v>
      </c>
      <c r="P57" s="6">
        <v>29.5</v>
      </c>
      <c r="Q57" s="6">
        <v>20.5</v>
      </c>
      <c r="R57" s="6">
        <v>13.9</v>
      </c>
      <c r="S57" s="6">
        <v>9.8000000000000007</v>
      </c>
      <c r="T57" s="5">
        <v>0.08</v>
      </c>
      <c r="U57" s="1">
        <v>1.6199999999999999E-2</v>
      </c>
      <c r="V57" s="1">
        <v>3.4196</v>
      </c>
    </row>
    <row r="58" spans="1:22" x14ac:dyDescent="0.25">
      <c r="A58" s="1">
        <v>0.98199999999999998</v>
      </c>
      <c r="B58" s="9" t="s">
        <v>4513</v>
      </c>
      <c r="C58" s="2">
        <v>3404</v>
      </c>
      <c r="D58" s="3" t="s">
        <v>1002</v>
      </c>
      <c r="E58" s="9" t="s">
        <v>2545</v>
      </c>
      <c r="F58" s="9" t="s">
        <v>2546</v>
      </c>
      <c r="G58" s="1">
        <v>1217.6688999999999</v>
      </c>
      <c r="H58" s="2">
        <v>721</v>
      </c>
      <c r="I58" s="2">
        <v>2</v>
      </c>
      <c r="J58" s="1">
        <v>1217.6778999999999</v>
      </c>
      <c r="K58" s="1">
        <v>609.84169999999995</v>
      </c>
      <c r="L58" s="9" t="s">
        <v>2547</v>
      </c>
      <c r="M58" s="2">
        <v>8.59</v>
      </c>
      <c r="N58" s="4">
        <v>4618.75</v>
      </c>
      <c r="O58" s="1">
        <v>7.3789640819904569</v>
      </c>
      <c r="P58" s="6">
        <v>52.1</v>
      </c>
      <c r="Q58" s="6">
        <v>42.7</v>
      </c>
      <c r="R58" s="6">
        <v>10.1</v>
      </c>
      <c r="S58" s="6">
        <v>11.1</v>
      </c>
      <c r="T58" s="5">
        <v>5.5E-2</v>
      </c>
      <c r="U58" s="1">
        <v>8.9999999999999993E-3</v>
      </c>
      <c r="V58" s="1">
        <v>2.7804000000000002</v>
      </c>
    </row>
    <row r="59" spans="1:22" x14ac:dyDescent="0.25">
      <c r="A59" s="1">
        <v>1</v>
      </c>
      <c r="B59" s="9" t="s">
        <v>4514</v>
      </c>
      <c r="C59" s="2">
        <v>3439</v>
      </c>
      <c r="D59" s="3" t="s">
        <v>1768</v>
      </c>
      <c r="E59" s="9" t="s">
        <v>3167</v>
      </c>
      <c r="F59" s="9" t="s">
        <v>3168</v>
      </c>
      <c r="G59" s="1">
        <v>1909.9025999999999</v>
      </c>
      <c r="H59" s="2">
        <v>683</v>
      </c>
      <c r="I59" s="2">
        <v>2</v>
      </c>
      <c r="J59" s="1">
        <v>1909.9088999999999</v>
      </c>
      <c r="K59" s="1">
        <v>955.95860000000005</v>
      </c>
      <c r="L59" s="9" t="s">
        <v>3169</v>
      </c>
      <c r="M59" s="2">
        <v>8.18</v>
      </c>
      <c r="N59" s="4">
        <v>4683.25</v>
      </c>
      <c r="O59" s="1">
        <v>3.2951217761940739</v>
      </c>
      <c r="P59" s="6">
        <v>49.3</v>
      </c>
      <c r="Q59" s="6">
        <v>25.6</v>
      </c>
      <c r="R59" s="6">
        <v>11.6</v>
      </c>
      <c r="S59" s="6">
        <v>10.7</v>
      </c>
      <c r="T59" s="5">
        <v>1.4999999999999999E-8</v>
      </c>
      <c r="U59" s="1">
        <v>6.3E-3</v>
      </c>
      <c r="V59" s="1">
        <v>9.5289999999999999</v>
      </c>
    </row>
    <row r="60" spans="1:22" x14ac:dyDescent="0.25">
      <c r="A60" s="1">
        <v>0.95960000000000001</v>
      </c>
      <c r="B60" s="9" t="s">
        <v>4515</v>
      </c>
      <c r="C60" s="2">
        <v>3440</v>
      </c>
      <c r="D60" s="3" t="s">
        <v>78</v>
      </c>
      <c r="E60" s="9" t="s">
        <v>4516</v>
      </c>
      <c r="F60" s="9" t="s">
        <v>3803</v>
      </c>
      <c r="G60" s="1">
        <v>1284.5997</v>
      </c>
      <c r="H60" s="2">
        <v>770</v>
      </c>
      <c r="I60" s="2">
        <v>2</v>
      </c>
      <c r="J60" s="1">
        <v>1284.6219000000001</v>
      </c>
      <c r="K60" s="1">
        <v>643.30709999999999</v>
      </c>
      <c r="L60" s="9" t="s">
        <v>3804</v>
      </c>
      <c r="M60" s="2">
        <v>9.1999999999999993</v>
      </c>
      <c r="N60" s="4">
        <v>4679</v>
      </c>
      <c r="O60" s="1">
        <v>17.254589604249666</v>
      </c>
      <c r="P60" s="6">
        <v>38.4</v>
      </c>
      <c r="Q60" s="6">
        <v>29.7</v>
      </c>
      <c r="R60" s="6">
        <v>8.6999999999999993</v>
      </c>
      <c r="S60" s="6">
        <v>9.9</v>
      </c>
      <c r="T60" s="5">
        <v>7.4000000000000003E-3</v>
      </c>
      <c r="U60" s="1">
        <v>2.2200000000000001E-2</v>
      </c>
      <c r="V60" s="1">
        <v>4.0286999999999997</v>
      </c>
    </row>
    <row r="61" spans="1:22" x14ac:dyDescent="0.25">
      <c r="A61" s="1">
        <v>0.95830000000000004</v>
      </c>
      <c r="B61" s="9" t="s">
        <v>4517</v>
      </c>
      <c r="C61" s="2">
        <v>3497</v>
      </c>
      <c r="D61" s="3" t="s">
        <v>3503</v>
      </c>
      <c r="E61" s="9" t="s">
        <v>169</v>
      </c>
      <c r="F61" s="9" t="s">
        <v>170</v>
      </c>
      <c r="G61" s="1">
        <v>1967.8857</v>
      </c>
      <c r="H61" s="2">
        <v>571</v>
      </c>
      <c r="I61" s="2">
        <v>3</v>
      </c>
      <c r="J61" s="1">
        <v>1967.9381000000001</v>
      </c>
      <c r="K61" s="1">
        <v>656.9692</v>
      </c>
      <c r="L61" s="9" t="s">
        <v>64</v>
      </c>
      <c r="M61" s="2">
        <v>4.3099999999999996</v>
      </c>
      <c r="N61" s="4">
        <v>4790.05</v>
      </c>
      <c r="O61" s="1">
        <v>26.586735978896225</v>
      </c>
      <c r="P61" s="6">
        <v>29.9</v>
      </c>
      <c r="Q61" s="6">
        <v>21.8</v>
      </c>
      <c r="R61" s="6">
        <v>12.6</v>
      </c>
      <c r="S61" s="6">
        <v>10.1</v>
      </c>
      <c r="T61" s="5">
        <v>0.01</v>
      </c>
      <c r="U61" s="1">
        <v>5.2400000000000002E-2</v>
      </c>
      <c r="V61" s="1">
        <v>3.6478999999999999</v>
      </c>
    </row>
    <row r="62" spans="1:22" x14ac:dyDescent="0.25">
      <c r="A62" s="1">
        <v>0.99960000000000004</v>
      </c>
      <c r="B62" s="9" t="s">
        <v>4518</v>
      </c>
      <c r="C62" s="2">
        <v>3500</v>
      </c>
      <c r="D62" s="3" t="s">
        <v>802</v>
      </c>
      <c r="E62" s="9" t="s">
        <v>2013</v>
      </c>
      <c r="F62" s="9" t="s">
        <v>860</v>
      </c>
      <c r="G62" s="1">
        <v>2047.0657000000001</v>
      </c>
      <c r="H62" s="2">
        <v>379</v>
      </c>
      <c r="I62" s="2">
        <v>3</v>
      </c>
      <c r="J62" s="1">
        <v>2047.0864999999999</v>
      </c>
      <c r="K62" s="1">
        <v>683.36249999999995</v>
      </c>
      <c r="L62" s="9" t="s">
        <v>673</v>
      </c>
      <c r="M62" s="2">
        <v>6.24</v>
      </c>
      <c r="N62" s="4">
        <v>4793.21</v>
      </c>
      <c r="O62" s="1">
        <v>10.145908406348509</v>
      </c>
      <c r="P62" s="6">
        <v>35.1</v>
      </c>
      <c r="Q62" s="6">
        <v>22.2</v>
      </c>
      <c r="R62" s="6">
        <v>10.1</v>
      </c>
      <c r="S62" s="6">
        <v>11.8</v>
      </c>
      <c r="T62" s="5">
        <v>4.2000000000000002E-4</v>
      </c>
      <c r="U62" s="1">
        <v>2.0799999999999999E-2</v>
      </c>
      <c r="V62" s="1">
        <v>5.7542999999999997</v>
      </c>
    </row>
    <row r="63" spans="1:22" x14ac:dyDescent="0.25">
      <c r="A63" s="1">
        <v>0.99770000000000003</v>
      </c>
      <c r="B63" s="9" t="s">
        <v>4519</v>
      </c>
      <c r="C63" s="2">
        <v>3505</v>
      </c>
      <c r="D63" s="3" t="s">
        <v>2045</v>
      </c>
      <c r="E63" s="9" t="s">
        <v>3181</v>
      </c>
      <c r="F63" s="9" t="s">
        <v>1713</v>
      </c>
      <c r="G63" s="1">
        <v>1428.7397000000001</v>
      </c>
      <c r="H63" s="2">
        <v>381</v>
      </c>
      <c r="I63" s="2">
        <v>2</v>
      </c>
      <c r="J63" s="1">
        <v>1428.7584999999999</v>
      </c>
      <c r="K63" s="1">
        <v>715.37710000000004</v>
      </c>
      <c r="L63" s="9" t="s">
        <v>1298</v>
      </c>
      <c r="M63" s="2">
        <v>8.7200000000000006</v>
      </c>
      <c r="N63" s="4">
        <v>4800.6000000000004</v>
      </c>
      <c r="O63" s="1">
        <v>13.13992298607266</v>
      </c>
      <c r="P63" s="6">
        <v>49</v>
      </c>
      <c r="Q63" s="6">
        <v>35.200000000000003</v>
      </c>
      <c r="R63" s="6">
        <v>10.8</v>
      </c>
      <c r="S63" s="6">
        <v>10.6</v>
      </c>
      <c r="T63" s="5">
        <v>3.3E-3</v>
      </c>
      <c r="U63" s="1">
        <v>1.8800000000000001E-2</v>
      </c>
      <c r="V63" s="1">
        <v>4.3399000000000001</v>
      </c>
    </row>
    <row r="64" spans="1:22" x14ac:dyDescent="0.25">
      <c r="A64" s="1">
        <v>0.99950000000000006</v>
      </c>
      <c r="B64" s="9" t="s">
        <v>4520</v>
      </c>
      <c r="C64" s="2">
        <v>3520</v>
      </c>
      <c r="D64" s="3" t="s">
        <v>802</v>
      </c>
      <c r="E64" s="9" t="s">
        <v>2013</v>
      </c>
      <c r="F64" s="9" t="s">
        <v>860</v>
      </c>
      <c r="G64" s="1">
        <v>2047.0657000000001</v>
      </c>
      <c r="H64" s="2">
        <v>382</v>
      </c>
      <c r="I64" s="2">
        <v>3</v>
      </c>
      <c r="J64" s="1">
        <v>2047.0818999999999</v>
      </c>
      <c r="K64" s="1">
        <v>683.36249999999995</v>
      </c>
      <c r="L64" s="9" t="s">
        <v>673</v>
      </c>
      <c r="M64" s="2">
        <v>6.24</v>
      </c>
      <c r="N64" s="4">
        <v>4829.21</v>
      </c>
      <c r="O64" s="1">
        <v>7.9021017395598969</v>
      </c>
      <c r="P64" s="6">
        <v>33.6</v>
      </c>
      <c r="Q64" s="6">
        <v>19.5</v>
      </c>
      <c r="R64" s="6">
        <v>9.3000000000000007</v>
      </c>
      <c r="S64" s="6">
        <v>9.8000000000000007</v>
      </c>
      <c r="T64" s="5">
        <v>1.1000000000000001E-3</v>
      </c>
      <c r="U64" s="1">
        <v>1.6199999999999999E-2</v>
      </c>
      <c r="V64" s="1">
        <v>5.5400999999999998</v>
      </c>
    </row>
    <row r="65" spans="1:22" x14ac:dyDescent="0.25">
      <c r="A65" s="1">
        <v>0.99860000000000004</v>
      </c>
      <c r="B65" s="9" t="s">
        <v>4521</v>
      </c>
      <c r="C65" s="2">
        <v>3521</v>
      </c>
      <c r="D65" s="3" t="s">
        <v>154</v>
      </c>
      <c r="E65" s="9" t="s">
        <v>155</v>
      </c>
      <c r="F65" s="9" t="s">
        <v>156</v>
      </c>
      <c r="G65" s="1">
        <v>1064.5291</v>
      </c>
      <c r="H65" s="2">
        <v>383</v>
      </c>
      <c r="I65" s="2">
        <v>2</v>
      </c>
      <c r="J65" s="1">
        <v>1064.5334</v>
      </c>
      <c r="K65" s="1">
        <v>533.27179999999998</v>
      </c>
      <c r="L65" s="9" t="s">
        <v>157</v>
      </c>
      <c r="M65" s="2">
        <v>6.46</v>
      </c>
      <c r="N65" s="4">
        <v>4829.21</v>
      </c>
      <c r="O65" s="1">
        <v>4.0317151591364855</v>
      </c>
      <c r="P65" s="6">
        <v>35.6</v>
      </c>
      <c r="Q65" s="6">
        <v>23.6</v>
      </c>
      <c r="R65" s="6">
        <v>11.9</v>
      </c>
      <c r="S65" s="6">
        <v>10.199999999999999</v>
      </c>
      <c r="T65" s="5">
        <v>8.6999999999999994E-3</v>
      </c>
      <c r="U65" s="1">
        <v>4.3E-3</v>
      </c>
      <c r="V65" s="1">
        <v>4.7281000000000004</v>
      </c>
    </row>
    <row r="66" spans="1:22" x14ac:dyDescent="0.25">
      <c r="A66" s="1">
        <v>0.99380000000000002</v>
      </c>
      <c r="B66" s="9" t="s">
        <v>4522</v>
      </c>
      <c r="C66" s="2">
        <v>3564</v>
      </c>
      <c r="D66" s="3" t="s">
        <v>154</v>
      </c>
      <c r="E66" s="9" t="s">
        <v>4523</v>
      </c>
      <c r="F66" s="9" t="s">
        <v>1749</v>
      </c>
      <c r="G66" s="1">
        <v>1198.6202000000001</v>
      </c>
      <c r="H66" s="2">
        <v>256</v>
      </c>
      <c r="I66" s="2">
        <v>2</v>
      </c>
      <c r="J66" s="1">
        <v>1198.6225999999999</v>
      </c>
      <c r="K66" s="1">
        <v>600.31740000000002</v>
      </c>
      <c r="L66" s="9" t="s">
        <v>1069</v>
      </c>
      <c r="M66" s="2">
        <v>8.2200000000000006</v>
      </c>
      <c r="N66" s="4">
        <v>4910.6099999999997</v>
      </c>
      <c r="O66" s="1">
        <v>1.9989425593860843</v>
      </c>
      <c r="P66" s="6">
        <v>36</v>
      </c>
      <c r="Q66" s="6">
        <v>26.3</v>
      </c>
      <c r="R66" s="6">
        <v>10.3</v>
      </c>
      <c r="S66" s="6">
        <v>12.4</v>
      </c>
      <c r="T66" s="5">
        <v>0.05</v>
      </c>
      <c r="U66" s="1">
        <v>2.3999999999999998E-3</v>
      </c>
      <c r="V66" s="1">
        <v>3.4348000000000001</v>
      </c>
    </row>
    <row r="67" spans="1:22" x14ac:dyDescent="0.25">
      <c r="A67" s="1">
        <v>0.99929999999999997</v>
      </c>
      <c r="B67" s="9" t="s">
        <v>4524</v>
      </c>
      <c r="C67" s="2">
        <v>3568</v>
      </c>
      <c r="D67" s="3" t="s">
        <v>777</v>
      </c>
      <c r="E67" s="9" t="s">
        <v>803</v>
      </c>
      <c r="F67" s="9" t="s">
        <v>804</v>
      </c>
      <c r="G67" s="1">
        <v>2087.0246999999999</v>
      </c>
      <c r="H67" s="2">
        <v>777</v>
      </c>
      <c r="I67" s="2">
        <v>3</v>
      </c>
      <c r="J67" s="1">
        <v>2087.0390000000002</v>
      </c>
      <c r="K67" s="1">
        <v>696.68219999999997</v>
      </c>
      <c r="L67" s="9" t="s">
        <v>805</v>
      </c>
      <c r="M67" s="2">
        <v>4.93</v>
      </c>
      <c r="N67" s="4">
        <v>4918.01</v>
      </c>
      <c r="O67" s="1">
        <v>6.8419527105280808</v>
      </c>
      <c r="P67" s="6">
        <v>49.5</v>
      </c>
      <c r="Q67" s="6">
        <v>30.3</v>
      </c>
      <c r="R67" s="6">
        <v>12.7</v>
      </c>
      <c r="S67" s="6">
        <v>12.3</v>
      </c>
      <c r="T67" s="5">
        <v>4.1E-5</v>
      </c>
      <c r="U67" s="1">
        <v>1.43E-2</v>
      </c>
      <c r="V67" s="1">
        <v>6.9816000000000003</v>
      </c>
    </row>
    <row r="68" spans="1:22" x14ac:dyDescent="0.25">
      <c r="A68" s="1">
        <v>0.99760000000000004</v>
      </c>
      <c r="B68" s="9" t="s">
        <v>4525</v>
      </c>
      <c r="C68" s="2">
        <v>3586</v>
      </c>
      <c r="D68" s="3" t="s">
        <v>4526</v>
      </c>
      <c r="E68" s="9" t="s">
        <v>3199</v>
      </c>
      <c r="F68" s="9" t="s">
        <v>3200</v>
      </c>
      <c r="G68" s="1">
        <v>3067.6876999999999</v>
      </c>
      <c r="H68" s="2">
        <v>778</v>
      </c>
      <c r="I68" s="2">
        <v>4</v>
      </c>
      <c r="J68" s="1">
        <v>3067.7195999999999</v>
      </c>
      <c r="K68" s="1">
        <v>767.92920000000004</v>
      </c>
      <c r="L68" s="9" t="s">
        <v>3195</v>
      </c>
      <c r="M68" s="2">
        <v>6.39</v>
      </c>
      <c r="N68" s="4">
        <v>4947.6099999999997</v>
      </c>
      <c r="O68" s="1">
        <v>10.385071957154382</v>
      </c>
      <c r="P68" s="6">
        <v>49.6</v>
      </c>
      <c r="Q68" s="6">
        <v>28.5</v>
      </c>
      <c r="R68" s="6">
        <v>11.1</v>
      </c>
      <c r="S68" s="6">
        <v>12</v>
      </c>
      <c r="T68" s="5">
        <v>6.2999999999999998E-6</v>
      </c>
      <c r="U68" s="1">
        <v>3.1899999999999998E-2</v>
      </c>
      <c r="V68" s="1">
        <v>6.5655000000000001</v>
      </c>
    </row>
    <row r="69" spans="1:22" x14ac:dyDescent="0.25">
      <c r="A69" s="1">
        <v>0.99990000000000001</v>
      </c>
      <c r="B69" s="9" t="s">
        <v>4527</v>
      </c>
      <c r="C69" s="2">
        <v>3619</v>
      </c>
      <c r="D69" s="3" t="s">
        <v>1768</v>
      </c>
      <c r="E69" s="9" t="s">
        <v>175</v>
      </c>
      <c r="F69" s="9" t="s">
        <v>176</v>
      </c>
      <c r="G69" s="1">
        <v>1740.8287</v>
      </c>
      <c r="H69" s="2">
        <v>708</v>
      </c>
      <c r="I69" s="2">
        <v>2</v>
      </c>
      <c r="J69" s="1">
        <v>1740.8508999999999</v>
      </c>
      <c r="K69" s="1">
        <v>871.42160000000001</v>
      </c>
      <c r="L69" s="9" t="s">
        <v>118</v>
      </c>
      <c r="M69" s="2">
        <v>6.73</v>
      </c>
      <c r="N69" s="4">
        <v>5014.26</v>
      </c>
      <c r="O69" s="1">
        <v>12.737806820487352</v>
      </c>
      <c r="P69" s="6">
        <v>51.3</v>
      </c>
      <c r="Q69" s="6">
        <v>30.9</v>
      </c>
      <c r="R69" s="6">
        <v>12</v>
      </c>
      <c r="S69" s="6">
        <v>10.4</v>
      </c>
      <c r="T69" s="5">
        <v>9.2999999999999999E-7</v>
      </c>
      <c r="U69" s="1">
        <v>2.2200000000000001E-2</v>
      </c>
      <c r="V69" s="1">
        <v>7.5458999999999996</v>
      </c>
    </row>
    <row r="70" spans="1:22" x14ac:dyDescent="0.25">
      <c r="A70" s="1">
        <v>0.99519999999999997</v>
      </c>
      <c r="B70" s="9" t="s">
        <v>4528</v>
      </c>
      <c r="C70" s="2">
        <v>3625</v>
      </c>
      <c r="D70" s="3" t="s">
        <v>797</v>
      </c>
      <c r="E70" s="9" t="s">
        <v>815</v>
      </c>
      <c r="F70" s="9" t="s">
        <v>484</v>
      </c>
      <c r="G70" s="1">
        <v>1482.7936999999999</v>
      </c>
      <c r="H70" s="2">
        <v>258</v>
      </c>
      <c r="I70" s="2">
        <v>3</v>
      </c>
      <c r="J70" s="1">
        <v>1482.8072</v>
      </c>
      <c r="K70" s="1">
        <v>495.27179999999998</v>
      </c>
      <c r="L70" s="9" t="s">
        <v>485</v>
      </c>
      <c r="M70" s="2">
        <v>6.77</v>
      </c>
      <c r="N70" s="4">
        <v>5019.5200000000004</v>
      </c>
      <c r="O70" s="1">
        <v>9.0859200947843188</v>
      </c>
      <c r="P70" s="6">
        <v>27.4</v>
      </c>
      <c r="Q70" s="6">
        <v>19.600000000000001</v>
      </c>
      <c r="R70" s="6">
        <v>10.1</v>
      </c>
      <c r="S70" s="6">
        <v>11.8</v>
      </c>
      <c r="T70" s="5">
        <v>4.5999999999999999E-2</v>
      </c>
      <c r="U70" s="1">
        <v>1.35E-2</v>
      </c>
      <c r="V70" s="1">
        <v>3.6213000000000002</v>
      </c>
    </row>
    <row r="71" spans="1:22" x14ac:dyDescent="0.25">
      <c r="A71" s="1">
        <v>0.99909999999999999</v>
      </c>
      <c r="B71" s="9" t="s">
        <v>4529</v>
      </c>
      <c r="C71" s="2">
        <v>3641</v>
      </c>
      <c r="D71" s="3" t="s">
        <v>326</v>
      </c>
      <c r="E71" s="9" t="s">
        <v>3212</v>
      </c>
      <c r="F71" s="9" t="s">
        <v>3213</v>
      </c>
      <c r="G71" s="1">
        <v>1240.6116999999999</v>
      </c>
      <c r="H71" s="2">
        <v>635</v>
      </c>
      <c r="I71" s="2">
        <v>2</v>
      </c>
      <c r="J71" s="1">
        <v>1240.6224</v>
      </c>
      <c r="K71" s="1">
        <v>621.31309999999996</v>
      </c>
      <c r="L71" s="9" t="s">
        <v>3214</v>
      </c>
      <c r="M71" s="2">
        <v>5.51</v>
      </c>
      <c r="N71" s="4">
        <v>5055.47</v>
      </c>
      <c r="O71" s="1">
        <v>8.6107954266536471</v>
      </c>
      <c r="P71" s="6">
        <v>44</v>
      </c>
      <c r="Q71" s="6">
        <v>29.1</v>
      </c>
      <c r="R71" s="6">
        <v>10.4</v>
      </c>
      <c r="S71" s="6">
        <v>11.6</v>
      </c>
      <c r="T71" s="5">
        <v>2.8999999999999998E-3</v>
      </c>
      <c r="U71" s="1">
        <v>1.0699999999999999E-2</v>
      </c>
      <c r="V71" s="1">
        <v>5.0697999999999999</v>
      </c>
    </row>
    <row r="72" spans="1:22" x14ac:dyDescent="0.25">
      <c r="A72" s="1">
        <v>0.99760000000000004</v>
      </c>
      <c r="B72" s="9" t="s">
        <v>4530</v>
      </c>
      <c r="C72" s="2">
        <v>3725</v>
      </c>
      <c r="D72" s="3" t="s">
        <v>2220</v>
      </c>
      <c r="E72" s="9" t="s">
        <v>194</v>
      </c>
      <c r="F72" s="9" t="s">
        <v>1262</v>
      </c>
      <c r="G72" s="1">
        <v>1531.8643</v>
      </c>
      <c r="H72" s="2">
        <v>782</v>
      </c>
      <c r="I72" s="2">
        <v>2</v>
      </c>
      <c r="J72" s="1">
        <v>1531.8724</v>
      </c>
      <c r="K72" s="1">
        <v>766.93939999999998</v>
      </c>
      <c r="L72" s="9" t="s">
        <v>1263</v>
      </c>
      <c r="M72" s="2">
        <v>10</v>
      </c>
      <c r="N72" s="4">
        <v>5201.72</v>
      </c>
      <c r="O72" s="1">
        <v>5.2807301333064904</v>
      </c>
      <c r="P72" s="6">
        <v>59.1</v>
      </c>
      <c r="Q72" s="6">
        <v>35.799999999999997</v>
      </c>
      <c r="R72" s="6">
        <v>9.1999999999999993</v>
      </c>
      <c r="S72" s="6">
        <v>8.8000000000000007</v>
      </c>
      <c r="T72" s="5">
        <v>1.0000000000000001E-5</v>
      </c>
      <c r="U72" s="1">
        <v>8.0999999999999996E-3</v>
      </c>
      <c r="V72" s="1">
        <v>7.0090000000000003</v>
      </c>
    </row>
    <row r="73" spans="1:22" x14ac:dyDescent="0.25">
      <c r="A73" s="1">
        <v>0.98009999999999997</v>
      </c>
      <c r="B73" s="9" t="s">
        <v>4531</v>
      </c>
      <c r="C73" s="2">
        <v>3746</v>
      </c>
      <c r="D73" s="3" t="s">
        <v>270</v>
      </c>
      <c r="E73" s="9" t="s">
        <v>194</v>
      </c>
      <c r="F73" s="9" t="s">
        <v>1262</v>
      </c>
      <c r="G73" s="1">
        <v>1531.8647000000001</v>
      </c>
      <c r="H73" s="2">
        <v>783</v>
      </c>
      <c r="I73" s="2">
        <v>2</v>
      </c>
      <c r="J73" s="1">
        <v>1531.8788</v>
      </c>
      <c r="K73" s="1">
        <v>766.93960000000004</v>
      </c>
      <c r="L73" s="9" t="s">
        <v>1263</v>
      </c>
      <c r="M73" s="2">
        <v>10</v>
      </c>
      <c r="N73" s="4">
        <v>5238.72</v>
      </c>
      <c r="O73" s="1">
        <v>9.1923796867445624</v>
      </c>
      <c r="P73" s="6">
        <v>40</v>
      </c>
      <c r="Q73" s="6">
        <v>28.6</v>
      </c>
      <c r="R73" s="6">
        <v>9.5</v>
      </c>
      <c r="S73" s="6">
        <v>8.1999999999999993</v>
      </c>
      <c r="T73" s="5">
        <v>8.8999999999999995E-4</v>
      </c>
      <c r="U73" s="1">
        <v>1.41E-2</v>
      </c>
      <c r="V73" s="1">
        <v>4.6223999999999998</v>
      </c>
    </row>
    <row r="74" spans="1:22" x14ac:dyDescent="0.25">
      <c r="A74" s="1">
        <v>0.9577</v>
      </c>
      <c r="B74" s="9" t="s">
        <v>4532</v>
      </c>
      <c r="C74" s="2">
        <v>3749</v>
      </c>
      <c r="D74" s="3" t="s">
        <v>4533</v>
      </c>
      <c r="E74" s="9" t="s">
        <v>4534</v>
      </c>
      <c r="F74" s="9" t="s">
        <v>4535</v>
      </c>
      <c r="G74" s="1">
        <v>2204.1736999999998</v>
      </c>
      <c r="H74" s="2">
        <v>98</v>
      </c>
      <c r="I74" s="2">
        <v>4</v>
      </c>
      <c r="J74" s="1">
        <v>2204.2822000000001</v>
      </c>
      <c r="K74" s="1">
        <v>552.05070000000001</v>
      </c>
      <c r="L74" s="9" t="s">
        <v>4536</v>
      </c>
      <c r="M74" s="2">
        <v>9.6</v>
      </c>
      <c r="N74" s="4">
        <v>5246.12</v>
      </c>
      <c r="O74" s="1">
        <v>49.134979812542575</v>
      </c>
      <c r="P74" s="6">
        <v>33.4</v>
      </c>
      <c r="Q74" s="6">
        <v>26.2</v>
      </c>
      <c r="R74" s="6">
        <v>6.2</v>
      </c>
      <c r="S74" s="6">
        <v>10.1</v>
      </c>
      <c r="T74" s="5">
        <v>2.7E-2</v>
      </c>
      <c r="U74" s="1">
        <v>0.1085</v>
      </c>
      <c r="V74" s="1">
        <v>2.7793999999999999</v>
      </c>
    </row>
    <row r="75" spans="1:22" x14ac:dyDescent="0.25">
      <c r="A75" s="1">
        <v>0.99980000000000002</v>
      </c>
      <c r="B75" s="9" t="s">
        <v>4537</v>
      </c>
      <c r="C75" s="2">
        <v>3765</v>
      </c>
      <c r="D75" s="3" t="s">
        <v>333</v>
      </c>
      <c r="E75" s="9" t="s">
        <v>4538</v>
      </c>
      <c r="F75" s="9" t="s">
        <v>2595</v>
      </c>
      <c r="G75" s="1">
        <v>1726.0217</v>
      </c>
      <c r="H75" s="2">
        <v>601</v>
      </c>
      <c r="I75" s="2">
        <v>3</v>
      </c>
      <c r="J75" s="1">
        <v>1726.0527</v>
      </c>
      <c r="K75" s="1">
        <v>576.34780000000001</v>
      </c>
      <c r="L75" s="9" t="s">
        <v>2596</v>
      </c>
      <c r="M75" s="2">
        <v>9.6999999999999993</v>
      </c>
      <c r="N75" s="4">
        <v>5277.87</v>
      </c>
      <c r="O75" s="1">
        <v>17.928988942671999</v>
      </c>
      <c r="P75" s="6">
        <v>37</v>
      </c>
      <c r="Q75" s="6">
        <v>20.7</v>
      </c>
      <c r="R75" s="6">
        <v>10.4</v>
      </c>
      <c r="S75" s="6">
        <v>9.4</v>
      </c>
      <c r="T75" s="5">
        <v>2.0000000000000001E-4</v>
      </c>
      <c r="U75" s="1">
        <v>3.1E-2</v>
      </c>
      <c r="V75" s="1">
        <v>7.1074000000000002</v>
      </c>
    </row>
    <row r="76" spans="1:22" x14ac:dyDescent="0.25">
      <c r="A76" s="1">
        <v>0.99470000000000003</v>
      </c>
      <c r="B76" s="9" t="s">
        <v>4539</v>
      </c>
      <c r="C76" s="2">
        <v>3774</v>
      </c>
      <c r="D76" s="3" t="s">
        <v>146</v>
      </c>
      <c r="E76" s="9" t="s">
        <v>823</v>
      </c>
      <c r="F76" s="9" t="s">
        <v>508</v>
      </c>
      <c r="G76" s="1">
        <v>1386.6853000000001</v>
      </c>
      <c r="H76" s="2">
        <v>561</v>
      </c>
      <c r="I76" s="2">
        <v>2</v>
      </c>
      <c r="J76" s="1">
        <v>1386.6935000000001</v>
      </c>
      <c r="K76" s="1">
        <v>694.34990000000005</v>
      </c>
      <c r="L76" s="9" t="s">
        <v>509</v>
      </c>
      <c r="M76" s="2">
        <v>6.14</v>
      </c>
      <c r="N76" s="4">
        <v>5294.77</v>
      </c>
      <c r="O76" s="1">
        <v>5.9048039036226552</v>
      </c>
      <c r="P76" s="6">
        <v>39.5</v>
      </c>
      <c r="Q76" s="6">
        <v>29.8</v>
      </c>
      <c r="R76" s="6">
        <v>12.5</v>
      </c>
      <c r="S76" s="6">
        <v>11.5</v>
      </c>
      <c r="T76" s="5">
        <v>8.3000000000000001E-3</v>
      </c>
      <c r="U76" s="1">
        <v>8.2000000000000007E-3</v>
      </c>
      <c r="V76" s="1">
        <v>3.8961999999999999</v>
      </c>
    </row>
    <row r="77" spans="1:22" x14ac:dyDescent="0.25">
      <c r="A77" s="1">
        <v>0.98699999999999999</v>
      </c>
      <c r="B77" s="9" t="s">
        <v>4540</v>
      </c>
      <c r="C77" s="2">
        <v>3785</v>
      </c>
      <c r="D77" s="3" t="s">
        <v>807</v>
      </c>
      <c r="E77" s="9" t="s">
        <v>4538</v>
      </c>
      <c r="F77" s="9" t="s">
        <v>2595</v>
      </c>
      <c r="G77" s="1">
        <v>1726.0215000000001</v>
      </c>
      <c r="H77" s="2">
        <v>388</v>
      </c>
      <c r="I77" s="2">
        <v>3</v>
      </c>
      <c r="J77" s="1">
        <v>1726.0168000000001</v>
      </c>
      <c r="K77" s="1">
        <v>576.34780000000001</v>
      </c>
      <c r="L77" s="9" t="s">
        <v>2596</v>
      </c>
      <c r="M77" s="2">
        <v>9.6999999999999993</v>
      </c>
      <c r="N77" s="4">
        <v>5312.72</v>
      </c>
      <c r="O77" s="1">
        <v>-2.7182660655018838</v>
      </c>
      <c r="P77" s="6">
        <v>26</v>
      </c>
      <c r="Q77" s="6">
        <v>19.100000000000001</v>
      </c>
      <c r="R77" s="6">
        <v>9.9</v>
      </c>
      <c r="S77" s="6">
        <v>9.6</v>
      </c>
      <c r="T77" s="5">
        <v>6.5000000000000002E-2</v>
      </c>
      <c r="U77" s="1">
        <v>-4.7000000000000002E-3</v>
      </c>
      <c r="V77" s="1">
        <v>3.0796000000000001</v>
      </c>
    </row>
    <row r="78" spans="1:22" x14ac:dyDescent="0.25">
      <c r="A78" s="1">
        <v>0.99990000000000001</v>
      </c>
      <c r="B78" s="9" t="s">
        <v>4541</v>
      </c>
      <c r="C78" s="2">
        <v>3801</v>
      </c>
      <c r="D78" s="3" t="s">
        <v>831</v>
      </c>
      <c r="E78" s="9" t="s">
        <v>832</v>
      </c>
      <c r="F78" s="9" t="s">
        <v>455</v>
      </c>
      <c r="G78" s="1">
        <v>1699.0032000000001</v>
      </c>
      <c r="H78" s="2">
        <v>389</v>
      </c>
      <c r="I78" s="2">
        <v>3</v>
      </c>
      <c r="J78" s="1">
        <v>1699.0057999999999</v>
      </c>
      <c r="K78" s="1">
        <v>567.34169999999995</v>
      </c>
      <c r="L78" s="9" t="s">
        <v>456</v>
      </c>
      <c r="M78" s="2">
        <v>8.56</v>
      </c>
      <c r="N78" s="4">
        <v>5342.33</v>
      </c>
      <c r="O78" s="1">
        <v>1.5275920431490699</v>
      </c>
      <c r="P78" s="6">
        <v>43.3</v>
      </c>
      <c r="Q78" s="6">
        <v>29.4</v>
      </c>
      <c r="R78" s="6">
        <v>8.1</v>
      </c>
      <c r="S78" s="6">
        <v>14</v>
      </c>
      <c r="T78" s="5">
        <v>9.5E-4</v>
      </c>
      <c r="U78" s="1">
        <v>2.5999999999999999E-3</v>
      </c>
      <c r="V78" s="1">
        <v>5.2846000000000002</v>
      </c>
    </row>
    <row r="79" spans="1:22" x14ac:dyDescent="0.25">
      <c r="A79" s="1">
        <v>0.99619999999999997</v>
      </c>
      <c r="B79" s="9" t="s">
        <v>4542</v>
      </c>
      <c r="C79" s="2">
        <v>3806</v>
      </c>
      <c r="D79" s="3" t="s">
        <v>3628</v>
      </c>
      <c r="E79" s="9" t="s">
        <v>210</v>
      </c>
      <c r="F79" s="9" t="s">
        <v>211</v>
      </c>
      <c r="G79" s="1">
        <v>2500.3685</v>
      </c>
      <c r="H79" s="2">
        <v>265</v>
      </c>
      <c r="I79" s="2">
        <v>4</v>
      </c>
      <c r="J79" s="1">
        <v>2500.3613</v>
      </c>
      <c r="K79" s="1">
        <v>626.09939999999995</v>
      </c>
      <c r="L79" s="9" t="s">
        <v>212</v>
      </c>
      <c r="M79" s="2">
        <v>8.19</v>
      </c>
      <c r="N79" s="4">
        <v>5349.73</v>
      </c>
      <c r="O79" s="1">
        <v>-2.8749428605106475</v>
      </c>
      <c r="P79" s="6">
        <v>32.5</v>
      </c>
      <c r="Q79" s="6">
        <v>22.5</v>
      </c>
      <c r="R79" s="6">
        <v>9.1</v>
      </c>
      <c r="S79" s="6">
        <v>11</v>
      </c>
      <c r="T79" s="5">
        <v>6.4999999999999997E-3</v>
      </c>
      <c r="U79" s="1">
        <v>-7.1999999999999998E-3</v>
      </c>
      <c r="V79" s="1">
        <v>3.7406999999999999</v>
      </c>
    </row>
    <row r="80" spans="1:22" x14ac:dyDescent="0.25">
      <c r="A80" s="1">
        <v>0.97699999999999998</v>
      </c>
      <c r="B80" s="9" t="s">
        <v>4543</v>
      </c>
      <c r="C80" s="2">
        <v>3829</v>
      </c>
      <c r="D80" s="3" t="s">
        <v>326</v>
      </c>
      <c r="E80" s="9" t="s">
        <v>846</v>
      </c>
      <c r="F80" s="9" t="s">
        <v>117</v>
      </c>
      <c r="G80" s="1">
        <v>1273.7317</v>
      </c>
      <c r="H80" s="2">
        <v>390</v>
      </c>
      <c r="I80" s="2">
        <v>2</v>
      </c>
      <c r="J80" s="1">
        <v>1273.7426</v>
      </c>
      <c r="K80" s="1">
        <v>637.87310000000002</v>
      </c>
      <c r="L80" s="9" t="s">
        <v>118</v>
      </c>
      <c r="M80" s="2">
        <v>8.59</v>
      </c>
      <c r="N80" s="4">
        <v>5394.13</v>
      </c>
      <c r="O80" s="1">
        <v>8.5440191787363347</v>
      </c>
      <c r="P80" s="6">
        <v>40.9</v>
      </c>
      <c r="Q80" s="6">
        <v>30.9</v>
      </c>
      <c r="R80" s="6">
        <v>9.1999999999999993</v>
      </c>
      <c r="S80" s="6">
        <v>10.3</v>
      </c>
      <c r="T80" s="5">
        <v>0.19</v>
      </c>
      <c r="U80" s="1">
        <v>1.09E-2</v>
      </c>
      <c r="V80" s="1">
        <v>2.4773000000000001</v>
      </c>
    </row>
    <row r="81" spans="1:22" x14ac:dyDescent="0.25">
      <c r="A81" s="1">
        <v>0.97430000000000005</v>
      </c>
      <c r="B81" s="9" t="s">
        <v>4544</v>
      </c>
      <c r="C81" s="2">
        <v>3849</v>
      </c>
      <c r="D81" s="3" t="s">
        <v>326</v>
      </c>
      <c r="E81" s="9" t="s">
        <v>846</v>
      </c>
      <c r="F81" s="9" t="s">
        <v>117</v>
      </c>
      <c r="G81" s="1">
        <v>1273.7315000000001</v>
      </c>
      <c r="H81" s="2">
        <v>391</v>
      </c>
      <c r="I81" s="2">
        <v>2</v>
      </c>
      <c r="J81" s="1">
        <v>1273.7280000000001</v>
      </c>
      <c r="K81" s="1">
        <v>637.87300000000005</v>
      </c>
      <c r="L81" s="9" t="s">
        <v>118</v>
      </c>
      <c r="M81" s="2">
        <v>8.59</v>
      </c>
      <c r="N81" s="4">
        <v>5431.13</v>
      </c>
      <c r="O81" s="1">
        <v>-2.74349282694204</v>
      </c>
      <c r="P81" s="6">
        <v>40.4</v>
      </c>
      <c r="Q81" s="6">
        <v>29</v>
      </c>
      <c r="R81" s="6">
        <v>8.9</v>
      </c>
      <c r="S81" s="6">
        <v>10</v>
      </c>
      <c r="T81" s="5">
        <v>0.15</v>
      </c>
      <c r="U81" s="1">
        <v>-3.5000000000000001E-3</v>
      </c>
      <c r="V81" s="1">
        <v>2.7875999999999999</v>
      </c>
    </row>
    <row r="82" spans="1:22" x14ac:dyDescent="0.25">
      <c r="A82" s="1">
        <v>0.99870000000000003</v>
      </c>
      <c r="B82" s="9" t="s">
        <v>4545</v>
      </c>
      <c r="C82" s="2">
        <v>3853</v>
      </c>
      <c r="D82" s="3" t="s">
        <v>93</v>
      </c>
      <c r="E82" s="9" t="s">
        <v>825</v>
      </c>
      <c r="F82" s="9" t="s">
        <v>829</v>
      </c>
      <c r="G82" s="1">
        <v>1243.6117999999999</v>
      </c>
      <c r="H82" s="2">
        <v>393</v>
      </c>
      <c r="I82" s="2">
        <v>2</v>
      </c>
      <c r="J82" s="1">
        <v>1243.6048000000001</v>
      </c>
      <c r="K82" s="1">
        <v>622.81320000000005</v>
      </c>
      <c r="L82" s="9" t="s">
        <v>827</v>
      </c>
      <c r="M82" s="2">
        <v>4.75</v>
      </c>
      <c r="N82" s="4">
        <v>5438.53</v>
      </c>
      <c r="O82" s="1">
        <v>-5.6196625248148235</v>
      </c>
      <c r="P82" s="6">
        <v>50.2</v>
      </c>
      <c r="Q82" s="6">
        <v>32.4</v>
      </c>
      <c r="R82" s="6">
        <v>11.9</v>
      </c>
      <c r="S82" s="6">
        <v>11.9</v>
      </c>
      <c r="T82" s="5">
        <v>7.8999999999999996E-5</v>
      </c>
      <c r="U82" s="1">
        <v>-7.0000000000000001E-3</v>
      </c>
      <c r="V82" s="1">
        <v>6.6675000000000004</v>
      </c>
    </row>
    <row r="83" spans="1:22" x14ac:dyDescent="0.25">
      <c r="A83" s="1">
        <v>0.99929999999999997</v>
      </c>
      <c r="B83" s="9" t="s">
        <v>4546</v>
      </c>
      <c r="C83" s="2">
        <v>3857</v>
      </c>
      <c r="D83" s="3" t="s">
        <v>141</v>
      </c>
      <c r="E83" s="9" t="s">
        <v>215</v>
      </c>
      <c r="F83" s="9" t="s">
        <v>841</v>
      </c>
      <c r="G83" s="1">
        <v>1374.6427000000001</v>
      </c>
      <c r="H83" s="2">
        <v>659</v>
      </c>
      <c r="I83" s="2">
        <v>2</v>
      </c>
      <c r="J83" s="1">
        <v>1374.6682000000001</v>
      </c>
      <c r="K83" s="1">
        <v>688.32860000000005</v>
      </c>
      <c r="L83" s="9" t="s">
        <v>673</v>
      </c>
      <c r="M83" s="2">
        <v>6.75</v>
      </c>
      <c r="N83" s="4">
        <v>5448.08</v>
      </c>
      <c r="O83" s="1">
        <v>18.523129795856221</v>
      </c>
      <c r="P83" s="6">
        <v>48.4</v>
      </c>
      <c r="Q83" s="6">
        <v>32.4</v>
      </c>
      <c r="R83" s="6">
        <v>11.4</v>
      </c>
      <c r="S83" s="6">
        <v>11.1</v>
      </c>
      <c r="T83" s="5">
        <v>4.6999999999999999E-4</v>
      </c>
      <c r="U83" s="1">
        <v>2.5499999999999998E-2</v>
      </c>
      <c r="V83" s="1">
        <v>5.6913999999999998</v>
      </c>
    </row>
    <row r="84" spans="1:22" x14ac:dyDescent="0.25">
      <c r="A84" s="1">
        <v>0.99909999999999999</v>
      </c>
      <c r="B84" s="9" t="s">
        <v>4547</v>
      </c>
      <c r="C84" s="2">
        <v>3858</v>
      </c>
      <c r="D84" s="3" t="s">
        <v>69</v>
      </c>
      <c r="E84" s="9" t="s">
        <v>4548</v>
      </c>
      <c r="F84" s="9" t="s">
        <v>391</v>
      </c>
      <c r="G84" s="1">
        <v>1132.5079000000001</v>
      </c>
      <c r="H84" s="2">
        <v>698</v>
      </c>
      <c r="I84" s="2">
        <v>2</v>
      </c>
      <c r="J84" s="1">
        <v>1132.5029999999999</v>
      </c>
      <c r="K84" s="1">
        <v>567.26120000000003</v>
      </c>
      <c r="L84" s="9" t="s">
        <v>364</v>
      </c>
      <c r="M84" s="2">
        <v>6.76</v>
      </c>
      <c r="N84" s="4">
        <v>5450.18</v>
      </c>
      <c r="O84" s="1">
        <v>-4.3189980206649068</v>
      </c>
      <c r="P84" s="6">
        <v>39</v>
      </c>
      <c r="Q84" s="6">
        <v>26.5</v>
      </c>
      <c r="R84" s="6">
        <v>10</v>
      </c>
      <c r="S84" s="6">
        <v>10.1</v>
      </c>
      <c r="T84" s="5">
        <v>2.3E-3</v>
      </c>
      <c r="U84" s="1">
        <v>-4.8999999999999998E-3</v>
      </c>
      <c r="V84" s="1">
        <v>5.3493000000000004</v>
      </c>
    </row>
    <row r="85" spans="1:22" x14ac:dyDescent="0.25">
      <c r="A85" s="1">
        <v>0.997</v>
      </c>
      <c r="B85" s="9" t="s">
        <v>4549</v>
      </c>
      <c r="C85" s="2">
        <v>3869</v>
      </c>
      <c r="D85" s="3" t="s">
        <v>51</v>
      </c>
      <c r="E85" s="9" t="s">
        <v>846</v>
      </c>
      <c r="F85" s="9" t="s">
        <v>117</v>
      </c>
      <c r="G85" s="1">
        <v>1273.7317</v>
      </c>
      <c r="H85" s="2">
        <v>396</v>
      </c>
      <c r="I85" s="2">
        <v>2</v>
      </c>
      <c r="J85" s="1">
        <v>1273.7452000000001</v>
      </c>
      <c r="K85" s="1">
        <v>637.87310000000002</v>
      </c>
      <c r="L85" s="9" t="s">
        <v>118</v>
      </c>
      <c r="M85" s="2">
        <v>8.59</v>
      </c>
      <c r="N85" s="4">
        <v>5468.13</v>
      </c>
      <c r="O85" s="1">
        <v>10.582042102104634</v>
      </c>
      <c r="P85" s="6">
        <v>51</v>
      </c>
      <c r="Q85" s="6">
        <v>33.299999999999997</v>
      </c>
      <c r="R85" s="6">
        <v>8.1999999999999993</v>
      </c>
      <c r="S85" s="6">
        <v>9.1</v>
      </c>
      <c r="T85" s="5">
        <v>2.5999999999999999E-2</v>
      </c>
      <c r="U85" s="1">
        <v>1.35E-2</v>
      </c>
      <c r="V85" s="1">
        <v>4.0026000000000002</v>
      </c>
    </row>
    <row r="86" spans="1:22" x14ac:dyDescent="0.25">
      <c r="A86" s="1">
        <v>0.99950000000000006</v>
      </c>
      <c r="B86" s="9" t="s">
        <v>4550</v>
      </c>
      <c r="C86" s="2">
        <v>3873</v>
      </c>
      <c r="D86" s="3" t="s">
        <v>141</v>
      </c>
      <c r="E86" s="9" t="s">
        <v>825</v>
      </c>
      <c r="F86" s="9" t="s">
        <v>829</v>
      </c>
      <c r="G86" s="1">
        <v>1243.6117999999999</v>
      </c>
      <c r="H86" s="2">
        <v>397</v>
      </c>
      <c r="I86" s="2">
        <v>2</v>
      </c>
      <c r="J86" s="1">
        <v>1243.6195</v>
      </c>
      <c r="K86" s="1">
        <v>622.81320000000005</v>
      </c>
      <c r="L86" s="9" t="s">
        <v>827</v>
      </c>
      <c r="M86" s="2">
        <v>4.75</v>
      </c>
      <c r="N86" s="4">
        <v>5475.53</v>
      </c>
      <c r="O86" s="1">
        <v>6.1816287772963063</v>
      </c>
      <c r="P86" s="6">
        <v>46.8</v>
      </c>
      <c r="Q86" s="6">
        <v>31.3</v>
      </c>
      <c r="R86" s="6">
        <v>11.9</v>
      </c>
      <c r="S86" s="6">
        <v>11.9</v>
      </c>
      <c r="T86" s="5">
        <v>7.8999999999999996E-5</v>
      </c>
      <c r="U86" s="1">
        <v>7.7000000000000002E-3</v>
      </c>
      <c r="V86" s="1">
        <v>6.5547000000000004</v>
      </c>
    </row>
    <row r="87" spans="1:22" x14ac:dyDescent="0.25">
      <c r="A87" s="1">
        <v>0.99609999999999999</v>
      </c>
      <c r="B87" s="9" t="s">
        <v>4551</v>
      </c>
      <c r="C87" s="2">
        <v>3874</v>
      </c>
      <c r="D87" s="3" t="s">
        <v>178</v>
      </c>
      <c r="E87" s="9" t="s">
        <v>2611</v>
      </c>
      <c r="F87" s="9" t="s">
        <v>2612</v>
      </c>
      <c r="G87" s="1">
        <v>1575.7466999999999</v>
      </c>
      <c r="H87" s="2">
        <v>398</v>
      </c>
      <c r="I87" s="2">
        <v>2</v>
      </c>
      <c r="J87" s="1">
        <v>1575.7693999999999</v>
      </c>
      <c r="K87" s="1">
        <v>788.88059999999996</v>
      </c>
      <c r="L87" s="9" t="s">
        <v>2613</v>
      </c>
      <c r="M87" s="2">
        <v>6.25</v>
      </c>
      <c r="N87" s="4">
        <v>5475.53</v>
      </c>
      <c r="O87" s="1">
        <v>14.387475113470913</v>
      </c>
      <c r="P87" s="6">
        <v>37.9</v>
      </c>
      <c r="Q87" s="6">
        <v>24.6</v>
      </c>
      <c r="R87" s="6">
        <v>10.3</v>
      </c>
      <c r="S87" s="6">
        <v>10.5</v>
      </c>
      <c r="T87" s="5">
        <v>1.6999999999999999E-3</v>
      </c>
      <c r="U87" s="1">
        <v>2.2700000000000001E-2</v>
      </c>
      <c r="V87" s="1">
        <v>4.7872000000000003</v>
      </c>
    </row>
    <row r="88" spans="1:22" x14ac:dyDescent="0.25">
      <c r="A88" s="1">
        <v>0.99950000000000006</v>
      </c>
      <c r="B88" s="9" t="s">
        <v>4552</v>
      </c>
      <c r="C88" s="2">
        <v>3875</v>
      </c>
      <c r="D88" s="3" t="s">
        <v>770</v>
      </c>
      <c r="E88" s="9" t="s">
        <v>4553</v>
      </c>
      <c r="F88" s="9" t="s">
        <v>354</v>
      </c>
      <c r="G88" s="1">
        <v>1740.0367000000001</v>
      </c>
      <c r="H88" s="2">
        <v>399</v>
      </c>
      <c r="I88" s="2">
        <v>3</v>
      </c>
      <c r="J88" s="1">
        <v>1740.0543</v>
      </c>
      <c r="K88" s="1">
        <v>581.01949999999999</v>
      </c>
      <c r="L88" s="9" t="s">
        <v>355</v>
      </c>
      <c r="M88" s="2">
        <v>9.6999999999999993</v>
      </c>
      <c r="N88" s="4">
        <v>5475.53</v>
      </c>
      <c r="O88" s="1">
        <v>10.097194098763755</v>
      </c>
      <c r="P88" s="6">
        <v>31.6</v>
      </c>
      <c r="Q88" s="6">
        <v>22.9</v>
      </c>
      <c r="R88" s="6">
        <v>9.8000000000000007</v>
      </c>
      <c r="S88" s="6">
        <v>9.9</v>
      </c>
      <c r="T88" s="5">
        <v>2E-3</v>
      </c>
      <c r="U88" s="1">
        <v>1.7600000000000001E-2</v>
      </c>
      <c r="V88" s="1">
        <v>4.9935</v>
      </c>
    </row>
    <row r="89" spans="1:22" x14ac:dyDescent="0.25">
      <c r="A89" s="1">
        <v>0.99950000000000006</v>
      </c>
      <c r="B89" s="9" t="s">
        <v>4554</v>
      </c>
      <c r="C89" s="2">
        <v>3877</v>
      </c>
      <c r="D89" s="3" t="s">
        <v>214</v>
      </c>
      <c r="E89" s="9" t="s">
        <v>215</v>
      </c>
      <c r="F89" s="9" t="s">
        <v>841</v>
      </c>
      <c r="G89" s="1">
        <v>1374.6424</v>
      </c>
      <c r="H89" s="2">
        <v>694</v>
      </c>
      <c r="I89" s="2">
        <v>2</v>
      </c>
      <c r="J89" s="1">
        <v>1374.6523</v>
      </c>
      <c r="K89" s="1">
        <v>688.32849999999996</v>
      </c>
      <c r="L89" s="9" t="s">
        <v>673</v>
      </c>
      <c r="M89" s="2">
        <v>6.75</v>
      </c>
      <c r="N89" s="4">
        <v>5485.08</v>
      </c>
      <c r="O89" s="1">
        <v>7.1913337890266069</v>
      </c>
      <c r="P89" s="6">
        <v>56.9</v>
      </c>
      <c r="Q89" s="6">
        <v>37.1</v>
      </c>
      <c r="R89" s="6">
        <v>11.2</v>
      </c>
      <c r="S89" s="6">
        <v>10.7</v>
      </c>
      <c r="T89" s="5">
        <v>5.9999999999999995E-4</v>
      </c>
      <c r="U89" s="1">
        <v>9.9000000000000008E-3</v>
      </c>
      <c r="V89" s="1">
        <v>5.6576000000000004</v>
      </c>
    </row>
    <row r="90" spans="1:22" x14ac:dyDescent="0.25">
      <c r="A90" s="1">
        <v>0.97760000000000002</v>
      </c>
      <c r="B90" s="9" t="s">
        <v>4555</v>
      </c>
      <c r="C90" s="2">
        <v>3878</v>
      </c>
      <c r="D90" s="3" t="s">
        <v>316</v>
      </c>
      <c r="E90" s="9" t="s">
        <v>2667</v>
      </c>
      <c r="F90" s="9" t="s">
        <v>102</v>
      </c>
      <c r="G90" s="1">
        <v>1787.7927</v>
      </c>
      <c r="H90" s="2">
        <v>913</v>
      </c>
      <c r="I90" s="2">
        <v>2</v>
      </c>
      <c r="J90" s="1">
        <v>1787.8030000000001</v>
      </c>
      <c r="K90" s="1">
        <v>894.90359999999998</v>
      </c>
      <c r="L90" s="9" t="s">
        <v>103</v>
      </c>
      <c r="M90" s="2">
        <v>4.12</v>
      </c>
      <c r="N90" s="4">
        <v>5487.18</v>
      </c>
      <c r="O90" s="1">
        <v>5.7548097918032735</v>
      </c>
      <c r="P90" s="6">
        <v>40.200000000000003</v>
      </c>
      <c r="Q90" s="6">
        <v>30</v>
      </c>
      <c r="R90" s="6">
        <v>13.8</v>
      </c>
      <c r="S90" s="6">
        <v>10.3</v>
      </c>
      <c r="T90" s="5">
        <v>1.1000000000000001E-3</v>
      </c>
      <c r="U90" s="1">
        <v>1.03E-2</v>
      </c>
      <c r="V90" s="1">
        <v>4.3981000000000003</v>
      </c>
    </row>
    <row r="91" spans="1:22" x14ac:dyDescent="0.25">
      <c r="A91" s="1">
        <v>0.9798</v>
      </c>
      <c r="B91" s="9" t="s">
        <v>4556</v>
      </c>
      <c r="C91" s="2">
        <v>3888</v>
      </c>
      <c r="D91" s="3" t="s">
        <v>78</v>
      </c>
      <c r="E91" s="9" t="s">
        <v>846</v>
      </c>
      <c r="F91" s="9" t="s">
        <v>117</v>
      </c>
      <c r="G91" s="1">
        <v>1273.7315000000001</v>
      </c>
      <c r="H91" s="2">
        <v>400</v>
      </c>
      <c r="I91" s="2">
        <v>2</v>
      </c>
      <c r="J91" s="1">
        <v>1273.7345</v>
      </c>
      <c r="K91" s="1">
        <v>637.87300000000005</v>
      </c>
      <c r="L91" s="9" t="s">
        <v>118</v>
      </c>
      <c r="M91" s="2">
        <v>8.59</v>
      </c>
      <c r="N91" s="4">
        <v>5503.03</v>
      </c>
      <c r="O91" s="1">
        <v>2.3515652802360347</v>
      </c>
      <c r="P91" s="6">
        <v>35.4</v>
      </c>
      <c r="Q91" s="6">
        <v>25.6</v>
      </c>
      <c r="R91" s="6">
        <v>8.1</v>
      </c>
      <c r="S91" s="6">
        <v>7.8</v>
      </c>
      <c r="T91" s="5">
        <v>0.22</v>
      </c>
      <c r="U91" s="1">
        <v>3.0000000000000001E-3</v>
      </c>
      <c r="V91" s="1">
        <v>2.5668000000000002</v>
      </c>
    </row>
    <row r="92" spans="1:22" x14ac:dyDescent="0.25">
      <c r="A92" s="1">
        <v>0.98609999999999998</v>
      </c>
      <c r="B92" s="9" t="s">
        <v>4557</v>
      </c>
      <c r="C92" s="2">
        <v>3902</v>
      </c>
      <c r="D92" s="3" t="s">
        <v>520</v>
      </c>
      <c r="E92" s="9" t="s">
        <v>2076</v>
      </c>
      <c r="F92" s="9" t="s">
        <v>897</v>
      </c>
      <c r="G92" s="1">
        <v>1431.7387000000001</v>
      </c>
      <c r="H92" s="2">
        <v>692</v>
      </c>
      <c r="I92" s="2">
        <v>2</v>
      </c>
      <c r="J92" s="1">
        <v>1431.7574999999999</v>
      </c>
      <c r="K92" s="1">
        <v>716.87660000000005</v>
      </c>
      <c r="L92" s="9" t="s">
        <v>898</v>
      </c>
      <c r="M92" s="2">
        <v>6.25</v>
      </c>
      <c r="N92" s="4">
        <v>5530.58</v>
      </c>
      <c r="O92" s="1">
        <v>13.112438040242909</v>
      </c>
      <c r="P92" s="6">
        <v>32.6</v>
      </c>
      <c r="Q92" s="6">
        <v>25</v>
      </c>
      <c r="R92" s="6">
        <v>9</v>
      </c>
      <c r="S92" s="6">
        <v>10.5</v>
      </c>
      <c r="T92" s="5">
        <v>3.3000000000000002E-2</v>
      </c>
      <c r="U92" s="1">
        <v>1.8800000000000001E-2</v>
      </c>
      <c r="V92" s="1">
        <v>2.9483000000000001</v>
      </c>
    </row>
    <row r="93" spans="1:22" x14ac:dyDescent="0.25">
      <c r="A93" s="1">
        <v>0.99739999999999995</v>
      </c>
      <c r="B93" s="9" t="s">
        <v>4558</v>
      </c>
      <c r="C93" s="2">
        <v>3918</v>
      </c>
      <c r="D93" s="3" t="s">
        <v>78</v>
      </c>
      <c r="E93" s="9" t="s">
        <v>848</v>
      </c>
      <c r="F93" s="9" t="s">
        <v>112</v>
      </c>
      <c r="G93" s="1">
        <v>1253.7417</v>
      </c>
      <c r="H93" s="2">
        <v>403</v>
      </c>
      <c r="I93" s="2">
        <v>2</v>
      </c>
      <c r="J93" s="1">
        <v>1253.7393</v>
      </c>
      <c r="K93" s="1">
        <v>627.87810000000002</v>
      </c>
      <c r="L93" s="9" t="s">
        <v>113</v>
      </c>
      <c r="M93" s="2">
        <v>8.59</v>
      </c>
      <c r="N93" s="4">
        <v>5558.03</v>
      </c>
      <c r="O93" s="1">
        <v>-1.9111990050297978</v>
      </c>
      <c r="P93" s="6">
        <v>36.200000000000003</v>
      </c>
      <c r="Q93" s="6">
        <v>25.2</v>
      </c>
      <c r="R93" s="6">
        <v>8.9</v>
      </c>
      <c r="S93" s="6">
        <v>8.6</v>
      </c>
      <c r="T93" s="5">
        <v>7.4000000000000003E-3</v>
      </c>
      <c r="U93" s="1">
        <v>-2.3999999999999998E-3</v>
      </c>
      <c r="V93" s="1">
        <v>4.4199000000000002</v>
      </c>
    </row>
    <row r="94" spans="1:22" x14ac:dyDescent="0.25">
      <c r="A94" s="1">
        <v>0.97270000000000001</v>
      </c>
      <c r="B94" s="9" t="s">
        <v>4559</v>
      </c>
      <c r="C94" s="2">
        <v>3947</v>
      </c>
      <c r="D94" s="3" t="s">
        <v>2273</v>
      </c>
      <c r="E94" s="9" t="s">
        <v>4560</v>
      </c>
      <c r="F94" s="9" t="s">
        <v>165</v>
      </c>
      <c r="G94" s="1">
        <v>1032.5161000000001</v>
      </c>
      <c r="H94" s="2">
        <v>268</v>
      </c>
      <c r="I94" s="2">
        <v>2</v>
      </c>
      <c r="J94" s="1">
        <v>1032.5253</v>
      </c>
      <c r="K94" s="1">
        <v>517.26530000000002</v>
      </c>
      <c r="L94" s="9" t="s">
        <v>166</v>
      </c>
      <c r="M94" s="2">
        <v>4.75</v>
      </c>
      <c r="N94" s="4">
        <v>5609.83</v>
      </c>
      <c r="O94" s="1">
        <v>8.8929220653308843</v>
      </c>
      <c r="P94" s="6">
        <v>21.3</v>
      </c>
      <c r="Q94" s="6">
        <v>18.3</v>
      </c>
      <c r="R94" s="6">
        <v>8.3000000000000007</v>
      </c>
      <c r="S94" s="6">
        <v>5.5</v>
      </c>
      <c r="T94" s="5">
        <v>7.2999999999999995E-2</v>
      </c>
      <c r="U94" s="1">
        <v>9.1999999999999998E-3</v>
      </c>
      <c r="V94" s="1">
        <v>2.5470999999999999</v>
      </c>
    </row>
    <row r="95" spans="1:22" x14ac:dyDescent="0.25">
      <c r="A95" s="1">
        <v>0.99980000000000002</v>
      </c>
      <c r="B95" s="9" t="s">
        <v>4561</v>
      </c>
      <c r="C95" s="2">
        <v>3962</v>
      </c>
      <c r="D95" s="3" t="s">
        <v>1349</v>
      </c>
      <c r="E95" s="9" t="s">
        <v>4562</v>
      </c>
      <c r="F95" s="9" t="s">
        <v>97</v>
      </c>
      <c r="G95" s="1">
        <v>2361.2366999999999</v>
      </c>
      <c r="H95" s="2">
        <v>406</v>
      </c>
      <c r="I95" s="2">
        <v>3</v>
      </c>
      <c r="J95" s="1">
        <v>2361.2548999999999</v>
      </c>
      <c r="K95" s="1">
        <v>788.08619999999996</v>
      </c>
      <c r="L95" s="9" t="s">
        <v>98</v>
      </c>
      <c r="M95" s="2">
        <v>6.01</v>
      </c>
      <c r="N95" s="4">
        <v>5639.43</v>
      </c>
      <c r="O95" s="1">
        <v>7.6979734788740979</v>
      </c>
      <c r="P95" s="6">
        <v>37.5</v>
      </c>
      <c r="Q95" s="6">
        <v>22.2</v>
      </c>
      <c r="R95" s="6">
        <v>10.6</v>
      </c>
      <c r="S95" s="6">
        <v>10.3</v>
      </c>
      <c r="T95" s="5">
        <v>8.1000000000000004E-5</v>
      </c>
      <c r="U95" s="1">
        <v>1.8200000000000001E-2</v>
      </c>
      <c r="V95" s="1">
        <v>6.0922999999999998</v>
      </c>
    </row>
    <row r="96" spans="1:22" x14ac:dyDescent="0.25">
      <c r="A96" s="1">
        <v>0.99990000000000001</v>
      </c>
      <c r="B96" s="9" t="s">
        <v>4563</v>
      </c>
      <c r="C96" s="2">
        <v>3971</v>
      </c>
      <c r="D96" s="3" t="s">
        <v>2069</v>
      </c>
      <c r="E96" s="9" t="s">
        <v>863</v>
      </c>
      <c r="F96" s="9" t="s">
        <v>864</v>
      </c>
      <c r="G96" s="1">
        <v>1779.9186999999999</v>
      </c>
      <c r="H96" s="2">
        <v>407</v>
      </c>
      <c r="I96" s="2">
        <v>3</v>
      </c>
      <c r="J96" s="1">
        <v>1779.9358</v>
      </c>
      <c r="K96" s="1">
        <v>594.31349999999998</v>
      </c>
      <c r="L96" s="9" t="s">
        <v>865</v>
      </c>
      <c r="M96" s="2">
        <v>8.59</v>
      </c>
      <c r="N96" s="4">
        <v>5654.24</v>
      </c>
      <c r="O96" s="1">
        <v>9.5908977332670382</v>
      </c>
      <c r="P96" s="6">
        <v>37</v>
      </c>
      <c r="Q96" s="6">
        <v>22.4</v>
      </c>
      <c r="R96" s="6">
        <v>7.5</v>
      </c>
      <c r="S96" s="6">
        <v>9</v>
      </c>
      <c r="T96" s="5">
        <v>2.7999999999999998E-4</v>
      </c>
      <c r="U96" s="1">
        <v>1.7100000000000001E-2</v>
      </c>
      <c r="V96" s="1">
        <v>6.6820000000000004</v>
      </c>
    </row>
    <row r="97" spans="1:22" x14ac:dyDescent="0.25">
      <c r="A97" s="1">
        <v>0.98519999999999996</v>
      </c>
      <c r="B97" s="9" t="s">
        <v>4564</v>
      </c>
      <c r="C97" s="2">
        <v>4036</v>
      </c>
      <c r="D97" s="3" t="s">
        <v>4565</v>
      </c>
      <c r="E97" s="9" t="s">
        <v>4566</v>
      </c>
      <c r="F97" s="9" t="s">
        <v>2525</v>
      </c>
      <c r="G97" s="1">
        <v>2658.4056999999998</v>
      </c>
      <c r="H97" s="2">
        <v>270</v>
      </c>
      <c r="I97" s="2">
        <v>4</v>
      </c>
      <c r="J97" s="1">
        <v>2658.4409999999998</v>
      </c>
      <c r="K97" s="1">
        <v>665.6087</v>
      </c>
      <c r="L97" s="9" t="s">
        <v>2526</v>
      </c>
      <c r="M97" s="2">
        <v>10.76</v>
      </c>
      <c r="N97" s="4">
        <v>5772.64</v>
      </c>
      <c r="O97" s="1">
        <v>13.258540641070347</v>
      </c>
      <c r="P97" s="6">
        <v>28.8</v>
      </c>
      <c r="Q97" s="6">
        <v>21.7</v>
      </c>
      <c r="R97" s="6">
        <v>9.6999999999999993</v>
      </c>
      <c r="S97" s="6">
        <v>10.9</v>
      </c>
      <c r="T97" s="5">
        <v>5.8999999999999999E-3</v>
      </c>
      <c r="U97" s="1">
        <v>3.5299999999999998E-2</v>
      </c>
      <c r="V97" s="1">
        <v>3.3685999999999998</v>
      </c>
    </row>
    <row r="98" spans="1:22" x14ac:dyDescent="0.25">
      <c r="A98" s="1">
        <v>0.98109999999999997</v>
      </c>
      <c r="B98" s="9" t="s">
        <v>4567</v>
      </c>
      <c r="C98" s="2">
        <v>4078</v>
      </c>
      <c r="D98" s="3" t="s">
        <v>4568</v>
      </c>
      <c r="E98" s="9" t="s">
        <v>4569</v>
      </c>
      <c r="F98" s="9" t="s">
        <v>1122</v>
      </c>
      <c r="G98" s="1">
        <v>2113.2116999999998</v>
      </c>
      <c r="H98" s="2">
        <v>272</v>
      </c>
      <c r="I98" s="2">
        <v>4</v>
      </c>
      <c r="J98" s="1">
        <v>2113.2393000000002</v>
      </c>
      <c r="K98" s="1">
        <v>529.31020000000001</v>
      </c>
      <c r="L98" s="9" t="s">
        <v>456</v>
      </c>
      <c r="M98" s="2">
        <v>10.29</v>
      </c>
      <c r="N98" s="4">
        <v>5850.94</v>
      </c>
      <c r="O98" s="1">
        <v>13.035834185700558</v>
      </c>
      <c r="P98" s="6">
        <v>31.6</v>
      </c>
      <c r="Q98" s="6">
        <v>26.2</v>
      </c>
      <c r="R98" s="6">
        <v>9.4</v>
      </c>
      <c r="S98" s="6">
        <v>12.2</v>
      </c>
      <c r="T98" s="5">
        <v>1.4E-2</v>
      </c>
      <c r="U98" s="1">
        <v>2.76E-2</v>
      </c>
      <c r="V98" s="1">
        <v>2.9426999999999999</v>
      </c>
    </row>
    <row r="99" spans="1:22" x14ac:dyDescent="0.25">
      <c r="A99" s="1">
        <v>0.98939999999999995</v>
      </c>
      <c r="B99" s="9" t="s">
        <v>4570</v>
      </c>
      <c r="C99" s="2">
        <v>4080</v>
      </c>
      <c r="D99" s="3" t="s">
        <v>30</v>
      </c>
      <c r="E99" s="9" t="s">
        <v>2105</v>
      </c>
      <c r="F99" s="9" t="s">
        <v>2106</v>
      </c>
      <c r="G99" s="1">
        <v>1295.7997</v>
      </c>
      <c r="H99" s="2">
        <v>717</v>
      </c>
      <c r="I99" s="2">
        <v>3</v>
      </c>
      <c r="J99" s="1">
        <v>1295.8397</v>
      </c>
      <c r="K99" s="1">
        <v>432.94049999999999</v>
      </c>
      <c r="L99" s="9" t="s">
        <v>2107</v>
      </c>
      <c r="M99" s="2">
        <v>9.99</v>
      </c>
      <c r="N99" s="4">
        <v>5858.39</v>
      </c>
      <c r="O99" s="1">
        <v>30.797149569821567</v>
      </c>
      <c r="P99" s="6">
        <v>28.9</v>
      </c>
      <c r="Q99" s="6">
        <v>23.6</v>
      </c>
      <c r="R99" s="6">
        <v>12.1</v>
      </c>
      <c r="S99" s="6">
        <v>11.8</v>
      </c>
      <c r="T99" s="5">
        <v>1.7000000000000001E-2</v>
      </c>
      <c r="U99" s="1">
        <v>0.04</v>
      </c>
      <c r="V99" s="1">
        <v>3.9367999999999999</v>
      </c>
    </row>
    <row r="100" spans="1:22" x14ac:dyDescent="0.25">
      <c r="A100" s="1">
        <v>0.99829999999999997</v>
      </c>
      <c r="B100" s="9" t="s">
        <v>4571</v>
      </c>
      <c r="C100" s="2">
        <v>4088</v>
      </c>
      <c r="D100" s="3" t="s">
        <v>78</v>
      </c>
      <c r="E100" s="9" t="s">
        <v>4572</v>
      </c>
      <c r="F100" s="9" t="s">
        <v>647</v>
      </c>
      <c r="G100" s="1">
        <v>1132.5619999999999</v>
      </c>
      <c r="H100" s="2">
        <v>411</v>
      </c>
      <c r="I100" s="2">
        <v>2</v>
      </c>
      <c r="J100" s="1">
        <v>1132.5668000000001</v>
      </c>
      <c r="K100" s="1">
        <v>567.28830000000005</v>
      </c>
      <c r="L100" s="9" t="s">
        <v>118</v>
      </c>
      <c r="M100" s="2">
        <v>6.21</v>
      </c>
      <c r="N100" s="4">
        <v>5867.94</v>
      </c>
      <c r="O100" s="1">
        <v>4.2306530912060056</v>
      </c>
      <c r="P100" s="6">
        <v>37.5</v>
      </c>
      <c r="Q100" s="6">
        <v>25.4</v>
      </c>
      <c r="R100" s="6">
        <v>9.8000000000000007</v>
      </c>
      <c r="S100" s="6">
        <v>10.3</v>
      </c>
      <c r="T100" s="5">
        <v>7.7999999999999996E-3</v>
      </c>
      <c r="U100" s="1">
        <v>4.7999999999999996E-3</v>
      </c>
      <c r="V100" s="1">
        <v>4.4882999999999997</v>
      </c>
    </row>
    <row r="101" spans="1:22" x14ac:dyDescent="0.25">
      <c r="A101" s="1">
        <v>0.95209999999999995</v>
      </c>
      <c r="B101" s="9" t="s">
        <v>4573</v>
      </c>
      <c r="C101" s="2">
        <v>4091</v>
      </c>
      <c r="D101" s="3" t="s">
        <v>260</v>
      </c>
      <c r="E101" s="9" t="s">
        <v>873</v>
      </c>
      <c r="F101" s="9" t="s">
        <v>112</v>
      </c>
      <c r="G101" s="1">
        <v>1125.6827000000001</v>
      </c>
      <c r="H101" s="2">
        <v>412</v>
      </c>
      <c r="I101" s="2">
        <v>2</v>
      </c>
      <c r="J101" s="1">
        <v>1125.6954000000001</v>
      </c>
      <c r="K101" s="1">
        <v>563.84860000000003</v>
      </c>
      <c r="L101" s="9" t="s">
        <v>113</v>
      </c>
      <c r="M101" s="2">
        <v>8.56</v>
      </c>
      <c r="N101" s="4">
        <v>5875.34</v>
      </c>
      <c r="O101" s="1">
        <v>11.26188838635052</v>
      </c>
      <c r="P101" s="6">
        <v>32.4</v>
      </c>
      <c r="Q101" s="6">
        <v>30.6</v>
      </c>
      <c r="R101" s="6">
        <v>11.1</v>
      </c>
      <c r="S101" s="6">
        <v>10.5</v>
      </c>
      <c r="T101" s="5">
        <v>0.09</v>
      </c>
      <c r="U101" s="1">
        <v>1.2699999999999999E-2</v>
      </c>
      <c r="V101" s="1">
        <v>1.9804999999999999</v>
      </c>
    </row>
    <row r="102" spans="1:22" x14ac:dyDescent="0.25">
      <c r="A102" s="1">
        <v>0.97670000000000001</v>
      </c>
      <c r="B102" s="9" t="s">
        <v>4574</v>
      </c>
      <c r="C102" s="2">
        <v>4098</v>
      </c>
      <c r="D102" s="3" t="s">
        <v>83</v>
      </c>
      <c r="E102" s="9" t="s">
        <v>2109</v>
      </c>
      <c r="F102" s="9" t="s">
        <v>647</v>
      </c>
      <c r="G102" s="1">
        <v>960.52170000000001</v>
      </c>
      <c r="H102" s="2">
        <v>672</v>
      </c>
      <c r="I102" s="2">
        <v>2</v>
      </c>
      <c r="J102" s="1">
        <v>960.53489999999999</v>
      </c>
      <c r="K102" s="1">
        <v>481.2681</v>
      </c>
      <c r="L102" s="9" t="s">
        <v>118</v>
      </c>
      <c r="M102" s="2">
        <v>11</v>
      </c>
      <c r="N102" s="4">
        <v>5890.19</v>
      </c>
      <c r="O102" s="1">
        <v>13.713769934055467</v>
      </c>
      <c r="P102" s="6">
        <v>28.7</v>
      </c>
      <c r="Q102" s="6">
        <v>23.3</v>
      </c>
      <c r="R102" s="6">
        <v>10.1</v>
      </c>
      <c r="S102" s="6">
        <v>11.3</v>
      </c>
      <c r="T102" s="5">
        <v>0.17</v>
      </c>
      <c r="U102" s="1">
        <v>1.32E-2</v>
      </c>
      <c r="V102" s="1">
        <v>2.6093999999999999</v>
      </c>
    </row>
    <row r="103" spans="1:22" x14ac:dyDescent="0.25">
      <c r="A103" s="1">
        <v>0.996</v>
      </c>
      <c r="B103" s="9" t="s">
        <v>4575</v>
      </c>
      <c r="C103" s="2">
        <v>4117</v>
      </c>
      <c r="D103" s="3" t="s">
        <v>3250</v>
      </c>
      <c r="E103" s="9" t="s">
        <v>2109</v>
      </c>
      <c r="F103" s="9" t="s">
        <v>647</v>
      </c>
      <c r="G103" s="1">
        <v>960.52149999999995</v>
      </c>
      <c r="H103" s="2">
        <v>274</v>
      </c>
      <c r="I103" s="2">
        <v>2</v>
      </c>
      <c r="J103" s="1">
        <v>960.52970000000005</v>
      </c>
      <c r="K103" s="1">
        <v>481.26799999999997</v>
      </c>
      <c r="L103" s="9" t="s">
        <v>118</v>
      </c>
      <c r="M103" s="2">
        <v>11</v>
      </c>
      <c r="N103" s="4">
        <v>5922.99</v>
      </c>
      <c r="O103" s="1">
        <v>8.5191618806984906</v>
      </c>
      <c r="P103" s="6">
        <v>22</v>
      </c>
      <c r="Q103" s="6">
        <v>17.2</v>
      </c>
      <c r="R103" s="6">
        <v>9.4</v>
      </c>
      <c r="S103" s="6">
        <v>10.1</v>
      </c>
      <c r="T103" s="5">
        <v>3.5999999999999997E-2</v>
      </c>
      <c r="U103" s="1">
        <v>8.2000000000000007E-3</v>
      </c>
      <c r="V103" s="1">
        <v>3.7296999999999998</v>
      </c>
    </row>
    <row r="104" spans="1:22" x14ac:dyDescent="0.25">
      <c r="A104" s="1">
        <v>0.9677</v>
      </c>
      <c r="B104" s="9" t="s">
        <v>4576</v>
      </c>
      <c r="C104" s="2">
        <v>4137</v>
      </c>
      <c r="D104" s="3" t="s">
        <v>141</v>
      </c>
      <c r="E104" s="9" t="s">
        <v>241</v>
      </c>
      <c r="F104" s="9" t="s">
        <v>242</v>
      </c>
      <c r="G104" s="1">
        <v>1362.6999000000001</v>
      </c>
      <c r="H104" s="2">
        <v>793</v>
      </c>
      <c r="I104" s="2">
        <v>2</v>
      </c>
      <c r="J104" s="1">
        <v>1362.7098000000001</v>
      </c>
      <c r="K104" s="1">
        <v>682.35720000000003</v>
      </c>
      <c r="L104" s="9" t="s">
        <v>243</v>
      </c>
      <c r="M104" s="2">
        <v>8.2200000000000006</v>
      </c>
      <c r="N104" s="4">
        <v>5960</v>
      </c>
      <c r="O104" s="1">
        <v>7.2542650682076779</v>
      </c>
      <c r="P104" s="6">
        <v>42.1</v>
      </c>
      <c r="Q104" s="6">
        <v>34.799999999999997</v>
      </c>
      <c r="R104" s="6">
        <v>7.5</v>
      </c>
      <c r="S104" s="6">
        <v>6.9</v>
      </c>
      <c r="T104" s="5">
        <v>2.0999999999999999E-3</v>
      </c>
      <c r="U104" s="1">
        <v>9.9000000000000008E-3</v>
      </c>
      <c r="V104" s="1">
        <v>4.2110000000000003</v>
      </c>
    </row>
    <row r="105" spans="1:22" x14ac:dyDescent="0.25">
      <c r="A105" s="1">
        <v>0.99939999999999996</v>
      </c>
      <c r="B105" s="9" t="s">
        <v>4577</v>
      </c>
      <c r="C105" s="2">
        <v>4143</v>
      </c>
      <c r="D105" s="3" t="s">
        <v>1405</v>
      </c>
      <c r="E105" s="9" t="s">
        <v>3255</v>
      </c>
      <c r="F105" s="9" t="s">
        <v>672</v>
      </c>
      <c r="G105" s="1">
        <v>2489.3407000000002</v>
      </c>
      <c r="H105" s="2">
        <v>622</v>
      </c>
      <c r="I105" s="2">
        <v>3</v>
      </c>
      <c r="J105" s="1">
        <v>2489.3672999999999</v>
      </c>
      <c r="K105" s="1">
        <v>830.78750000000002</v>
      </c>
      <c r="L105" s="9" t="s">
        <v>673</v>
      </c>
      <c r="M105" s="2">
        <v>8.5</v>
      </c>
      <c r="N105" s="4">
        <v>5973.8</v>
      </c>
      <c r="O105" s="1">
        <v>10.672604807687485</v>
      </c>
      <c r="P105" s="6">
        <v>42.4</v>
      </c>
      <c r="Q105" s="6">
        <v>23.9</v>
      </c>
      <c r="R105" s="6">
        <v>12.5</v>
      </c>
      <c r="S105" s="6">
        <v>9.8000000000000007</v>
      </c>
      <c r="T105" s="5">
        <v>6.7999999999999999E-5</v>
      </c>
      <c r="U105" s="1">
        <v>2.6599999999999999E-2</v>
      </c>
      <c r="V105" s="1">
        <v>6.1521999999999997</v>
      </c>
    </row>
    <row r="106" spans="1:22" x14ac:dyDescent="0.25">
      <c r="A106" s="1">
        <v>0.97570000000000001</v>
      </c>
      <c r="B106" s="9" t="s">
        <v>4578</v>
      </c>
      <c r="C106" s="2">
        <v>4151</v>
      </c>
      <c r="D106" s="3" t="s">
        <v>146</v>
      </c>
      <c r="E106" s="9" t="s">
        <v>4579</v>
      </c>
      <c r="F106" s="9" t="s">
        <v>555</v>
      </c>
      <c r="G106" s="1">
        <v>1178.5853</v>
      </c>
      <c r="H106" s="2">
        <v>414</v>
      </c>
      <c r="I106" s="2">
        <v>2</v>
      </c>
      <c r="J106" s="1">
        <v>1178.5799</v>
      </c>
      <c r="K106" s="1">
        <v>590.29989999999998</v>
      </c>
      <c r="L106" s="9" t="s">
        <v>556</v>
      </c>
      <c r="M106" s="2">
        <v>6.22</v>
      </c>
      <c r="N106" s="4">
        <v>5982.25</v>
      </c>
      <c r="O106" s="1">
        <v>-4.5739462263164885</v>
      </c>
      <c r="P106" s="6">
        <v>38</v>
      </c>
      <c r="Q106" s="6">
        <v>26.5</v>
      </c>
      <c r="R106" s="6">
        <v>10.1</v>
      </c>
      <c r="S106" s="6">
        <v>10.8</v>
      </c>
      <c r="T106" s="5">
        <v>0.11</v>
      </c>
      <c r="U106" s="1">
        <v>-5.4000000000000003E-3</v>
      </c>
      <c r="V106" s="1">
        <v>2.9247999999999998</v>
      </c>
    </row>
    <row r="107" spans="1:22" x14ac:dyDescent="0.25">
      <c r="A107" s="1">
        <v>0.99960000000000004</v>
      </c>
      <c r="B107" s="9" t="s">
        <v>4580</v>
      </c>
      <c r="C107" s="2">
        <v>4157</v>
      </c>
      <c r="D107" s="3" t="s">
        <v>168</v>
      </c>
      <c r="E107" s="9" t="s">
        <v>3528</v>
      </c>
      <c r="F107" s="9" t="s">
        <v>3529</v>
      </c>
      <c r="G107" s="1">
        <v>2128.1826999999998</v>
      </c>
      <c r="H107" s="2">
        <v>416</v>
      </c>
      <c r="I107" s="2">
        <v>3</v>
      </c>
      <c r="J107" s="1">
        <v>2128.2040000000002</v>
      </c>
      <c r="K107" s="1">
        <v>710.40150000000006</v>
      </c>
      <c r="L107" s="9" t="s">
        <v>3530</v>
      </c>
      <c r="M107" s="2">
        <v>9.99</v>
      </c>
      <c r="N107" s="4">
        <v>5997.05</v>
      </c>
      <c r="O107" s="1">
        <v>9.9943482664380614</v>
      </c>
      <c r="P107" s="6">
        <v>34.200000000000003</v>
      </c>
      <c r="Q107" s="6">
        <v>21.8</v>
      </c>
      <c r="R107" s="6">
        <v>10.6</v>
      </c>
      <c r="S107" s="6">
        <v>10.5</v>
      </c>
      <c r="T107" s="5">
        <v>2.7999999999999998E-4</v>
      </c>
      <c r="U107" s="1">
        <v>2.1299999999999999E-2</v>
      </c>
      <c r="V107" s="1">
        <v>5.7656000000000001</v>
      </c>
    </row>
    <row r="108" spans="1:22" x14ac:dyDescent="0.25">
      <c r="A108" s="1">
        <v>0.99960000000000004</v>
      </c>
      <c r="B108" s="9" t="s">
        <v>4581</v>
      </c>
      <c r="C108" s="2">
        <v>4159</v>
      </c>
      <c r="D108" s="3" t="s">
        <v>680</v>
      </c>
      <c r="E108" s="9" t="s">
        <v>887</v>
      </c>
      <c r="F108" s="9" t="s">
        <v>97</v>
      </c>
      <c r="G108" s="1">
        <v>1880.0436999999999</v>
      </c>
      <c r="H108" s="2">
        <v>565</v>
      </c>
      <c r="I108" s="2">
        <v>3</v>
      </c>
      <c r="J108" s="1">
        <v>1880.0579</v>
      </c>
      <c r="K108" s="1">
        <v>627.68849999999998</v>
      </c>
      <c r="L108" s="9" t="s">
        <v>98</v>
      </c>
      <c r="M108" s="2">
        <v>6.73</v>
      </c>
      <c r="N108" s="4">
        <v>6003.4</v>
      </c>
      <c r="O108" s="1">
        <v>7.5408954176049647</v>
      </c>
      <c r="P108" s="6">
        <v>35</v>
      </c>
      <c r="Q108" s="6">
        <v>22.1</v>
      </c>
      <c r="R108" s="6">
        <v>11.8</v>
      </c>
      <c r="S108" s="6">
        <v>10.7</v>
      </c>
      <c r="T108" s="5">
        <v>2.3000000000000001E-4</v>
      </c>
      <c r="U108" s="1">
        <v>1.4200000000000001E-2</v>
      </c>
      <c r="V108" s="1">
        <v>6.2316000000000003</v>
      </c>
    </row>
    <row r="109" spans="1:22" x14ac:dyDescent="0.25">
      <c r="A109" s="1">
        <v>0.99850000000000005</v>
      </c>
      <c r="B109" s="9" t="s">
        <v>4582</v>
      </c>
      <c r="C109" s="2">
        <v>4161</v>
      </c>
      <c r="D109" s="3" t="s">
        <v>146</v>
      </c>
      <c r="E109" s="9" t="s">
        <v>869</v>
      </c>
      <c r="F109" s="9" t="s">
        <v>870</v>
      </c>
      <c r="G109" s="1">
        <v>1146.5703000000001</v>
      </c>
      <c r="H109" s="2">
        <v>589</v>
      </c>
      <c r="I109" s="2">
        <v>2</v>
      </c>
      <c r="J109" s="1">
        <v>1146.5802000000001</v>
      </c>
      <c r="K109" s="1">
        <v>574.29240000000004</v>
      </c>
      <c r="L109" s="9" t="s">
        <v>871</v>
      </c>
      <c r="M109" s="2">
        <v>5.94</v>
      </c>
      <c r="N109" s="4">
        <v>6006.6</v>
      </c>
      <c r="O109" s="1">
        <v>8.6193026409543307</v>
      </c>
      <c r="P109" s="6">
        <v>39.4</v>
      </c>
      <c r="Q109" s="6">
        <v>29.1</v>
      </c>
      <c r="R109" s="6">
        <v>10.6</v>
      </c>
      <c r="S109" s="6">
        <v>10.3</v>
      </c>
      <c r="T109" s="5">
        <v>2.3999999999999998E-3</v>
      </c>
      <c r="U109" s="1">
        <v>9.9000000000000008E-3</v>
      </c>
      <c r="V109" s="1">
        <v>4.5712000000000002</v>
      </c>
    </row>
    <row r="110" spans="1:22" x14ac:dyDescent="0.25">
      <c r="A110" s="1">
        <v>0.99919999999999998</v>
      </c>
      <c r="B110" s="9" t="s">
        <v>4583</v>
      </c>
      <c r="C110" s="2">
        <v>4225</v>
      </c>
      <c r="D110" s="3" t="s">
        <v>316</v>
      </c>
      <c r="E110" s="9" t="s">
        <v>1355</v>
      </c>
      <c r="F110" s="9" t="s">
        <v>1083</v>
      </c>
      <c r="G110" s="1">
        <v>1670.8086000000001</v>
      </c>
      <c r="H110" s="2">
        <v>709</v>
      </c>
      <c r="I110" s="2">
        <v>2</v>
      </c>
      <c r="J110" s="1">
        <v>1670.8152</v>
      </c>
      <c r="K110" s="1">
        <v>836.41160000000002</v>
      </c>
      <c r="L110" s="9" t="s">
        <v>1084</v>
      </c>
      <c r="M110" s="2">
        <v>5.51</v>
      </c>
      <c r="N110" s="4">
        <v>6125.3</v>
      </c>
      <c r="O110" s="1">
        <v>3.9454259123139854</v>
      </c>
      <c r="P110" s="6">
        <v>39</v>
      </c>
      <c r="Q110" s="6">
        <v>26.9</v>
      </c>
      <c r="R110" s="6">
        <v>10.6</v>
      </c>
      <c r="S110" s="6">
        <v>9</v>
      </c>
      <c r="T110" s="5">
        <v>1.7000000000000001E-4</v>
      </c>
      <c r="U110" s="1">
        <v>6.6E-3</v>
      </c>
      <c r="V110" s="1">
        <v>5.4382999999999999</v>
      </c>
    </row>
    <row r="111" spans="1:22" x14ac:dyDescent="0.25">
      <c r="A111" s="1">
        <v>0.99</v>
      </c>
      <c r="B111" s="9" t="s">
        <v>4584</v>
      </c>
      <c r="C111" s="2">
        <v>4230</v>
      </c>
      <c r="D111" s="3" t="s">
        <v>270</v>
      </c>
      <c r="E111" s="9" t="s">
        <v>271</v>
      </c>
      <c r="F111" s="9" t="s">
        <v>272</v>
      </c>
      <c r="G111" s="1">
        <v>1682.8077000000001</v>
      </c>
      <c r="H111" s="2">
        <v>797</v>
      </c>
      <c r="I111" s="2">
        <v>2</v>
      </c>
      <c r="J111" s="1">
        <v>1682.8224</v>
      </c>
      <c r="K111" s="1">
        <v>842.41110000000003</v>
      </c>
      <c r="L111" s="9" t="s">
        <v>273</v>
      </c>
      <c r="M111" s="2">
        <v>4.46</v>
      </c>
      <c r="N111" s="4">
        <v>6128.45</v>
      </c>
      <c r="O111" s="1">
        <v>8.7249562594794874</v>
      </c>
      <c r="P111" s="6">
        <v>43.7</v>
      </c>
      <c r="Q111" s="6">
        <v>29.6</v>
      </c>
      <c r="R111" s="6">
        <v>9</v>
      </c>
      <c r="S111" s="6">
        <v>11.6</v>
      </c>
      <c r="T111" s="5">
        <v>2.9E-4</v>
      </c>
      <c r="U111" s="1">
        <v>1.47E-2</v>
      </c>
      <c r="V111" s="1">
        <v>5.2629000000000001</v>
      </c>
    </row>
    <row r="112" spans="1:22" x14ac:dyDescent="0.25">
      <c r="A112" s="1">
        <v>0.99980000000000002</v>
      </c>
      <c r="B112" s="9" t="s">
        <v>4585</v>
      </c>
      <c r="C112" s="2">
        <v>4245</v>
      </c>
      <c r="D112" s="3" t="s">
        <v>1768</v>
      </c>
      <c r="E112" s="9" t="s">
        <v>4586</v>
      </c>
      <c r="F112" s="9" t="s">
        <v>156</v>
      </c>
      <c r="G112" s="1">
        <v>1739.9491</v>
      </c>
      <c r="H112" s="2">
        <v>420</v>
      </c>
      <c r="I112" s="2">
        <v>2</v>
      </c>
      <c r="J112" s="1">
        <v>1739.9576999999999</v>
      </c>
      <c r="K112" s="1">
        <v>870.98180000000002</v>
      </c>
      <c r="L112" s="9" t="s">
        <v>157</v>
      </c>
      <c r="M112" s="2">
        <v>6.25</v>
      </c>
      <c r="N112" s="4">
        <v>6158.05</v>
      </c>
      <c r="O112" s="1">
        <v>4.9369573508883882</v>
      </c>
      <c r="P112" s="6">
        <v>50.4</v>
      </c>
      <c r="Q112" s="6">
        <v>24.4</v>
      </c>
      <c r="R112" s="6">
        <v>13.1</v>
      </c>
      <c r="S112" s="6">
        <v>10.3</v>
      </c>
      <c r="T112" s="5">
        <v>6.4000000000000001E-7</v>
      </c>
      <c r="U112" s="1">
        <v>8.6E-3</v>
      </c>
      <c r="V112" s="1">
        <v>8.1682000000000006</v>
      </c>
    </row>
    <row r="113" spans="1:22" x14ac:dyDescent="0.25">
      <c r="A113" s="1">
        <v>0.99329999999999996</v>
      </c>
      <c r="B113" s="9" t="s">
        <v>4587</v>
      </c>
      <c r="C113" s="2">
        <v>4249</v>
      </c>
      <c r="D113" s="3" t="s">
        <v>270</v>
      </c>
      <c r="E113" s="9" t="s">
        <v>271</v>
      </c>
      <c r="F113" s="9" t="s">
        <v>272</v>
      </c>
      <c r="G113" s="1">
        <v>1682.8077000000001</v>
      </c>
      <c r="H113" s="2">
        <v>919</v>
      </c>
      <c r="I113" s="2">
        <v>2</v>
      </c>
      <c r="J113" s="1">
        <v>1682.8252</v>
      </c>
      <c r="K113" s="1">
        <v>842.41110000000003</v>
      </c>
      <c r="L113" s="9" t="s">
        <v>273</v>
      </c>
      <c r="M113" s="2">
        <v>4.46</v>
      </c>
      <c r="N113" s="4">
        <v>6169.8</v>
      </c>
      <c r="O113" s="1">
        <v>10.386852689856532</v>
      </c>
      <c r="P113" s="6">
        <v>42.9</v>
      </c>
      <c r="Q113" s="6">
        <v>26.6</v>
      </c>
      <c r="R113" s="6">
        <v>10</v>
      </c>
      <c r="S113" s="6">
        <v>11.8</v>
      </c>
      <c r="T113" s="5">
        <v>4.0000000000000002E-4</v>
      </c>
      <c r="U113" s="1">
        <v>1.7500000000000002E-2</v>
      </c>
      <c r="V113" s="1">
        <v>5.3704999999999998</v>
      </c>
    </row>
    <row r="114" spans="1:22" x14ac:dyDescent="0.25">
      <c r="A114" s="1">
        <v>0.98299999999999998</v>
      </c>
      <c r="B114" s="9" t="s">
        <v>4588</v>
      </c>
      <c r="C114" s="2">
        <v>4258</v>
      </c>
      <c r="D114" s="3" t="s">
        <v>740</v>
      </c>
      <c r="E114" s="9" t="s">
        <v>2677</v>
      </c>
      <c r="F114" s="9" t="s">
        <v>1262</v>
      </c>
      <c r="G114" s="1">
        <v>1981.0554</v>
      </c>
      <c r="H114" s="2">
        <v>1013</v>
      </c>
      <c r="I114" s="2">
        <v>2</v>
      </c>
      <c r="J114" s="1">
        <v>1981.0569</v>
      </c>
      <c r="K114" s="1">
        <v>991.53499999999997</v>
      </c>
      <c r="L114" s="9" t="s">
        <v>1263</v>
      </c>
      <c r="M114" s="2">
        <v>10</v>
      </c>
      <c r="N114" s="4">
        <v>6180.35</v>
      </c>
      <c r="O114" s="1">
        <v>0.75640295098004606</v>
      </c>
      <c r="P114" s="6">
        <v>46.5</v>
      </c>
      <c r="Q114" s="6">
        <v>31.7</v>
      </c>
      <c r="R114" s="6">
        <v>12.5</v>
      </c>
      <c r="S114" s="6">
        <v>9.9</v>
      </c>
      <c r="T114" s="5">
        <v>4.8000000000000001E-5</v>
      </c>
      <c r="U114" s="1">
        <v>1.5E-3</v>
      </c>
      <c r="V114" s="1">
        <v>5.2184999999999997</v>
      </c>
    </row>
    <row r="115" spans="1:22" x14ac:dyDescent="0.25">
      <c r="A115" s="1">
        <v>0.97399999999999998</v>
      </c>
      <c r="B115" s="9" t="s">
        <v>4589</v>
      </c>
      <c r="C115" s="2">
        <v>4280</v>
      </c>
      <c r="D115" s="3" t="s">
        <v>568</v>
      </c>
      <c r="E115" s="9" t="s">
        <v>4590</v>
      </c>
      <c r="F115" s="9" t="s">
        <v>4591</v>
      </c>
      <c r="G115" s="1">
        <v>1619.9067</v>
      </c>
      <c r="H115" s="2">
        <v>423</v>
      </c>
      <c r="I115" s="2">
        <v>2</v>
      </c>
      <c r="J115" s="1">
        <v>1619.9192</v>
      </c>
      <c r="K115" s="1">
        <v>810.9606</v>
      </c>
      <c r="L115" s="9" t="s">
        <v>4592</v>
      </c>
      <c r="M115" s="2">
        <v>8.75</v>
      </c>
      <c r="N115" s="4">
        <v>6224.75</v>
      </c>
      <c r="O115" s="1">
        <v>7.7069095588614287</v>
      </c>
      <c r="P115" s="6">
        <v>32.6</v>
      </c>
      <c r="Q115" s="6">
        <v>24.6</v>
      </c>
      <c r="R115" s="6">
        <v>11.1</v>
      </c>
      <c r="S115" s="6">
        <v>12.1</v>
      </c>
      <c r="T115" s="5">
        <v>0.11</v>
      </c>
      <c r="U115" s="1">
        <v>1.2500000000000001E-2</v>
      </c>
      <c r="V115" s="1">
        <v>2.3932000000000002</v>
      </c>
    </row>
    <row r="116" spans="1:22" x14ac:dyDescent="0.25">
      <c r="A116" s="1">
        <v>0.96799999999999997</v>
      </c>
      <c r="B116" s="9" t="s">
        <v>4593</v>
      </c>
      <c r="C116" s="2">
        <v>4291</v>
      </c>
      <c r="D116" s="3" t="s">
        <v>4594</v>
      </c>
      <c r="E116" s="9" t="s">
        <v>2130</v>
      </c>
      <c r="F116" s="9" t="s">
        <v>97</v>
      </c>
      <c r="G116" s="1">
        <v>3173.6066999999998</v>
      </c>
      <c r="H116" s="2">
        <v>800</v>
      </c>
      <c r="I116" s="2">
        <v>4</v>
      </c>
      <c r="J116" s="1">
        <v>3173.6408000000001</v>
      </c>
      <c r="K116" s="1">
        <v>794.40899999999999</v>
      </c>
      <c r="L116" s="9" t="s">
        <v>98</v>
      </c>
      <c r="M116" s="2">
        <v>5.63</v>
      </c>
      <c r="N116" s="4">
        <v>6244.85</v>
      </c>
      <c r="O116" s="1">
        <v>10.731248009526579</v>
      </c>
      <c r="P116" s="6">
        <v>41.3</v>
      </c>
      <c r="Q116" s="6">
        <v>29.5</v>
      </c>
      <c r="R116" s="6">
        <v>11.4</v>
      </c>
      <c r="S116" s="6">
        <v>9.6</v>
      </c>
      <c r="T116" s="5">
        <v>3.5000000000000001E-3</v>
      </c>
      <c r="U116" s="1">
        <v>3.4099999999999998E-2</v>
      </c>
      <c r="V116" s="1">
        <v>3.4763000000000002</v>
      </c>
    </row>
    <row r="117" spans="1:22" x14ac:dyDescent="0.25">
      <c r="A117" s="1">
        <v>0.97070000000000001</v>
      </c>
      <c r="B117" s="9" t="s">
        <v>4595</v>
      </c>
      <c r="C117" s="2">
        <v>4307</v>
      </c>
      <c r="D117" s="3" t="s">
        <v>511</v>
      </c>
      <c r="E117" s="9" t="s">
        <v>4596</v>
      </c>
      <c r="F117" s="9" t="s">
        <v>4597</v>
      </c>
      <c r="G117" s="1">
        <v>1311.7333000000001</v>
      </c>
      <c r="H117" s="2">
        <v>424</v>
      </c>
      <c r="I117" s="2">
        <v>2</v>
      </c>
      <c r="J117" s="1">
        <v>1311.7419</v>
      </c>
      <c r="K117" s="1">
        <v>656.87390000000005</v>
      </c>
      <c r="L117" s="9" t="s">
        <v>4598</v>
      </c>
      <c r="M117" s="2">
        <v>9.6</v>
      </c>
      <c r="N117" s="4">
        <v>6274.5</v>
      </c>
      <c r="O117" s="1">
        <v>6.5461574892837113</v>
      </c>
      <c r="P117" s="6">
        <v>28.6</v>
      </c>
      <c r="Q117" s="6">
        <v>22.4</v>
      </c>
      <c r="R117" s="6">
        <v>10.1</v>
      </c>
      <c r="S117" s="6">
        <v>8.4</v>
      </c>
      <c r="T117" s="5">
        <v>0.2</v>
      </c>
      <c r="U117" s="1">
        <v>8.6E-3</v>
      </c>
      <c r="V117" s="1">
        <v>2.3111999999999999</v>
      </c>
    </row>
    <row r="118" spans="1:22" x14ac:dyDescent="0.25">
      <c r="A118" s="1">
        <v>0.99960000000000004</v>
      </c>
      <c r="B118" s="9" t="s">
        <v>4599</v>
      </c>
      <c r="C118" s="2">
        <v>4323</v>
      </c>
      <c r="D118" s="3" t="s">
        <v>163</v>
      </c>
      <c r="E118" s="9" t="s">
        <v>289</v>
      </c>
      <c r="F118" s="9" t="s">
        <v>290</v>
      </c>
      <c r="G118" s="1">
        <v>1831.9757</v>
      </c>
      <c r="H118" s="2">
        <v>277</v>
      </c>
      <c r="I118" s="2">
        <v>3</v>
      </c>
      <c r="J118" s="1">
        <v>1831.9906000000001</v>
      </c>
      <c r="K118" s="1">
        <v>611.66579999999999</v>
      </c>
      <c r="L118" s="9" t="s">
        <v>291</v>
      </c>
      <c r="M118" s="2">
        <v>6.17</v>
      </c>
      <c r="N118" s="4">
        <v>6304.25</v>
      </c>
      <c r="O118" s="1">
        <v>8.1199025132133702</v>
      </c>
      <c r="P118" s="6">
        <v>33.4</v>
      </c>
      <c r="Q118" s="6">
        <v>22.2</v>
      </c>
      <c r="R118" s="6">
        <v>11.5</v>
      </c>
      <c r="S118" s="6">
        <v>10.8</v>
      </c>
      <c r="T118" s="5">
        <v>1.4E-3</v>
      </c>
      <c r="U118" s="1">
        <v>1.49E-2</v>
      </c>
      <c r="V118" s="1">
        <v>5.5049000000000001</v>
      </c>
    </row>
    <row r="119" spans="1:22" x14ac:dyDescent="0.25">
      <c r="A119" s="1">
        <v>1</v>
      </c>
      <c r="B119" s="9" t="s">
        <v>4600</v>
      </c>
      <c r="C119" s="2">
        <v>4324</v>
      </c>
      <c r="D119" s="3" t="s">
        <v>4601</v>
      </c>
      <c r="E119" s="9" t="s">
        <v>3537</v>
      </c>
      <c r="F119" s="9" t="s">
        <v>222</v>
      </c>
      <c r="G119" s="1">
        <v>3152.6677</v>
      </c>
      <c r="H119" s="2">
        <v>278</v>
      </c>
      <c r="I119" s="2">
        <v>3</v>
      </c>
      <c r="J119" s="1">
        <v>3152.6851999999999</v>
      </c>
      <c r="K119" s="1">
        <v>1051.8965000000001</v>
      </c>
      <c r="L119" s="9" t="s">
        <v>223</v>
      </c>
      <c r="M119" s="2">
        <v>8.1</v>
      </c>
      <c r="N119" s="4">
        <v>6304.25</v>
      </c>
      <c r="O119" s="1">
        <v>5.5455392553671716</v>
      </c>
      <c r="P119" s="6">
        <v>44.8</v>
      </c>
      <c r="Q119" s="6">
        <v>22.5</v>
      </c>
      <c r="R119" s="6">
        <v>12.8</v>
      </c>
      <c r="S119" s="6">
        <v>12.7</v>
      </c>
      <c r="T119" s="5">
        <v>1.3E-6</v>
      </c>
      <c r="U119" s="1">
        <v>1.7500000000000002E-2</v>
      </c>
      <c r="V119" s="1">
        <v>7.3324999999999996</v>
      </c>
    </row>
    <row r="120" spans="1:22" x14ac:dyDescent="0.25">
      <c r="A120" s="1">
        <v>0.99990000000000001</v>
      </c>
      <c r="B120" s="9" t="s">
        <v>4602</v>
      </c>
      <c r="C120" s="2">
        <v>4342</v>
      </c>
      <c r="D120" s="3" t="s">
        <v>558</v>
      </c>
      <c r="E120" s="9" t="s">
        <v>289</v>
      </c>
      <c r="F120" s="9" t="s">
        <v>290</v>
      </c>
      <c r="G120" s="1">
        <v>1831.9753000000001</v>
      </c>
      <c r="H120" s="2">
        <v>279</v>
      </c>
      <c r="I120" s="2">
        <v>3</v>
      </c>
      <c r="J120" s="1">
        <v>1831.9849999999999</v>
      </c>
      <c r="K120" s="1">
        <v>611.66570000000002</v>
      </c>
      <c r="L120" s="9" t="s">
        <v>291</v>
      </c>
      <c r="M120" s="2">
        <v>6.17</v>
      </c>
      <c r="N120" s="4">
        <v>6339.26</v>
      </c>
      <c r="O120" s="1">
        <v>5.286111896307629</v>
      </c>
      <c r="P120" s="6">
        <v>33.299999999999997</v>
      </c>
      <c r="Q120" s="6">
        <v>20.7</v>
      </c>
      <c r="R120" s="6">
        <v>11.6</v>
      </c>
      <c r="S120" s="6">
        <v>10.7</v>
      </c>
      <c r="T120" s="5">
        <v>2.1000000000000001E-4</v>
      </c>
      <c r="U120" s="1">
        <v>9.7000000000000003E-3</v>
      </c>
      <c r="V120" s="1">
        <v>6.7491000000000003</v>
      </c>
    </row>
    <row r="121" spans="1:22" x14ac:dyDescent="0.25">
      <c r="A121" s="1">
        <v>0.98529999999999995</v>
      </c>
      <c r="B121" s="9" t="s">
        <v>4603</v>
      </c>
      <c r="C121" s="2">
        <v>4351</v>
      </c>
      <c r="D121" s="3" t="s">
        <v>4604</v>
      </c>
      <c r="E121" s="9" t="s">
        <v>4605</v>
      </c>
      <c r="F121" s="9" t="s">
        <v>3529</v>
      </c>
      <c r="G121" s="1">
        <v>2565.4829</v>
      </c>
      <c r="H121" s="2">
        <v>804</v>
      </c>
      <c r="I121" s="2">
        <v>4</v>
      </c>
      <c r="J121" s="1">
        <v>2565.4802</v>
      </c>
      <c r="K121" s="1">
        <v>642.37800000000004</v>
      </c>
      <c r="L121" s="9" t="s">
        <v>3530</v>
      </c>
      <c r="M121" s="2">
        <v>10.28</v>
      </c>
      <c r="N121" s="4">
        <v>6354.11</v>
      </c>
      <c r="O121" s="1">
        <v>-1.0507831837329422</v>
      </c>
      <c r="P121" s="6">
        <v>41.4</v>
      </c>
      <c r="Q121" s="6">
        <v>29.4</v>
      </c>
      <c r="R121" s="6">
        <v>10.7</v>
      </c>
      <c r="S121" s="6">
        <v>13</v>
      </c>
      <c r="T121" s="5">
        <v>2.2000000000000001E-3</v>
      </c>
      <c r="U121" s="1">
        <v>-2.7000000000000001E-3</v>
      </c>
      <c r="V121" s="1">
        <v>4.0452000000000004</v>
      </c>
    </row>
    <row r="122" spans="1:22" x14ac:dyDescent="0.25">
      <c r="A122" s="1">
        <v>0.99429999999999996</v>
      </c>
      <c r="B122" s="9" t="s">
        <v>4606</v>
      </c>
      <c r="C122" s="2">
        <v>4397</v>
      </c>
      <c r="D122" s="3" t="s">
        <v>33</v>
      </c>
      <c r="E122" s="9" t="s">
        <v>299</v>
      </c>
      <c r="F122" s="9" t="s">
        <v>2163</v>
      </c>
      <c r="G122" s="1">
        <v>1122.5851</v>
      </c>
      <c r="H122" s="2">
        <v>428</v>
      </c>
      <c r="I122" s="2">
        <v>2</v>
      </c>
      <c r="J122" s="1">
        <v>1122.5912000000001</v>
      </c>
      <c r="K122" s="1">
        <v>562.2998</v>
      </c>
      <c r="L122" s="9" t="s">
        <v>673</v>
      </c>
      <c r="M122" s="2">
        <v>8.35</v>
      </c>
      <c r="N122" s="4">
        <v>6441.26</v>
      </c>
      <c r="O122" s="1">
        <v>5.4241527384502009</v>
      </c>
      <c r="P122" s="6">
        <v>45.9</v>
      </c>
      <c r="Q122" s="6">
        <v>33.9</v>
      </c>
      <c r="R122" s="6">
        <v>11.6</v>
      </c>
      <c r="S122" s="6">
        <v>10.7</v>
      </c>
      <c r="T122" s="5">
        <v>5.8999999999999997E-2</v>
      </c>
      <c r="U122" s="1">
        <v>6.1000000000000004E-3</v>
      </c>
      <c r="V122" s="1">
        <v>3.4799000000000002</v>
      </c>
    </row>
    <row r="123" spans="1:22" x14ac:dyDescent="0.25">
      <c r="A123" s="1">
        <v>0.99170000000000003</v>
      </c>
      <c r="B123" s="9" t="s">
        <v>4607</v>
      </c>
      <c r="C123" s="2">
        <v>4403</v>
      </c>
      <c r="D123" s="3" t="s">
        <v>2708</v>
      </c>
      <c r="E123" s="9" t="s">
        <v>307</v>
      </c>
      <c r="F123" s="9" t="s">
        <v>308</v>
      </c>
      <c r="G123" s="1">
        <v>1068.4917</v>
      </c>
      <c r="H123" s="2">
        <v>429</v>
      </c>
      <c r="I123" s="2">
        <v>2</v>
      </c>
      <c r="J123" s="1">
        <v>1068.511</v>
      </c>
      <c r="K123" s="1">
        <v>535.25310000000002</v>
      </c>
      <c r="L123" s="9" t="s">
        <v>309</v>
      </c>
      <c r="M123" s="2">
        <v>4.71</v>
      </c>
      <c r="N123" s="4">
        <v>6448.71</v>
      </c>
      <c r="O123" s="1">
        <v>18.028854013176197</v>
      </c>
      <c r="P123" s="6">
        <v>22.9</v>
      </c>
      <c r="Q123" s="6">
        <v>17.2</v>
      </c>
      <c r="R123" s="6">
        <v>6.6</v>
      </c>
      <c r="S123" s="6">
        <v>7.5</v>
      </c>
      <c r="T123" s="5">
        <v>6.4000000000000001E-2</v>
      </c>
      <c r="U123" s="1">
        <v>1.9300000000000001E-2</v>
      </c>
      <c r="V123" s="1">
        <v>3.363</v>
      </c>
    </row>
    <row r="124" spans="1:22" x14ac:dyDescent="0.25">
      <c r="A124" s="1">
        <v>1</v>
      </c>
      <c r="B124" s="9" t="s">
        <v>4608</v>
      </c>
      <c r="C124" s="2">
        <v>4407</v>
      </c>
      <c r="D124" s="3" t="s">
        <v>3296</v>
      </c>
      <c r="E124" s="9" t="s">
        <v>3297</v>
      </c>
      <c r="F124" s="9" t="s">
        <v>1957</v>
      </c>
      <c r="G124" s="1">
        <v>2347.1808000000001</v>
      </c>
      <c r="H124" s="2">
        <v>807</v>
      </c>
      <c r="I124" s="2">
        <v>3</v>
      </c>
      <c r="J124" s="1">
        <v>2347.1905999999999</v>
      </c>
      <c r="K124" s="1">
        <v>783.40089999999998</v>
      </c>
      <c r="L124" s="9" t="s">
        <v>1958</v>
      </c>
      <c r="M124" s="2">
        <v>5.29</v>
      </c>
      <c r="N124" s="4">
        <v>6456.11</v>
      </c>
      <c r="O124" s="1">
        <v>4.1698530939480243</v>
      </c>
      <c r="P124" s="6">
        <v>63</v>
      </c>
      <c r="Q124" s="6">
        <v>27.5</v>
      </c>
      <c r="R124" s="6">
        <v>10.8</v>
      </c>
      <c r="S124" s="6">
        <v>14.5</v>
      </c>
      <c r="T124" s="5">
        <v>6E-10</v>
      </c>
      <c r="U124" s="1">
        <v>9.7999999999999997E-3</v>
      </c>
      <c r="V124" s="1">
        <v>11.926600000000001</v>
      </c>
    </row>
    <row r="125" spans="1:22" x14ac:dyDescent="0.25">
      <c r="A125" s="1">
        <v>0.99460000000000004</v>
      </c>
      <c r="B125" s="9" t="s">
        <v>4609</v>
      </c>
      <c r="C125" s="2">
        <v>4416</v>
      </c>
      <c r="D125" s="3" t="s">
        <v>4610</v>
      </c>
      <c r="E125" s="9" t="s">
        <v>299</v>
      </c>
      <c r="F125" s="9" t="s">
        <v>2163</v>
      </c>
      <c r="G125" s="1">
        <v>1122.5851</v>
      </c>
      <c r="H125" s="2">
        <v>663</v>
      </c>
      <c r="I125" s="2">
        <v>2</v>
      </c>
      <c r="J125" s="1">
        <v>1122.5859</v>
      </c>
      <c r="K125" s="1">
        <v>562.2998</v>
      </c>
      <c r="L125" s="9" t="s">
        <v>673</v>
      </c>
      <c r="M125" s="2">
        <v>8.35</v>
      </c>
      <c r="N125" s="4">
        <v>6477.61</v>
      </c>
      <c r="O125" s="1">
        <v>0.7113642935672394</v>
      </c>
      <c r="P125" s="6">
        <v>48.3</v>
      </c>
      <c r="Q125" s="6">
        <v>36.299999999999997</v>
      </c>
      <c r="R125" s="6">
        <v>11.6</v>
      </c>
      <c r="S125" s="6">
        <v>10.7</v>
      </c>
      <c r="T125" s="5">
        <v>4.2000000000000003E-2</v>
      </c>
      <c r="U125" s="1">
        <v>8.0000000000000004E-4</v>
      </c>
      <c r="V125" s="1">
        <v>3.5987</v>
      </c>
    </row>
    <row r="126" spans="1:22" x14ac:dyDescent="0.25">
      <c r="A126" s="1">
        <v>0.99939999999999996</v>
      </c>
      <c r="B126" s="9" t="s">
        <v>4611</v>
      </c>
      <c r="C126" s="2">
        <v>4499</v>
      </c>
      <c r="D126" s="3" t="s">
        <v>2194</v>
      </c>
      <c r="E126" s="9" t="s">
        <v>4612</v>
      </c>
      <c r="F126" s="9" t="s">
        <v>363</v>
      </c>
      <c r="G126" s="1">
        <v>1972.0485000000001</v>
      </c>
      <c r="H126" s="2">
        <v>970</v>
      </c>
      <c r="I126" s="2">
        <v>3</v>
      </c>
      <c r="J126" s="1">
        <v>1972.0455999999999</v>
      </c>
      <c r="K126" s="1">
        <v>658.35680000000002</v>
      </c>
      <c r="L126" s="9" t="s">
        <v>364</v>
      </c>
      <c r="M126" s="2">
        <v>8.1999999999999993</v>
      </c>
      <c r="N126" s="4">
        <v>6626.07</v>
      </c>
      <c r="O126" s="1">
        <v>-1.4683020919153058</v>
      </c>
      <c r="P126" s="6">
        <v>46.7</v>
      </c>
      <c r="Q126" s="6">
        <v>29.3</v>
      </c>
      <c r="R126" s="6">
        <v>12.1</v>
      </c>
      <c r="S126" s="6">
        <v>11.5</v>
      </c>
      <c r="T126" s="5">
        <v>7.6000000000000004E-5</v>
      </c>
      <c r="U126" s="1">
        <v>-2.8999999999999998E-3</v>
      </c>
      <c r="V126" s="1">
        <v>6.8052999999999999</v>
      </c>
    </row>
    <row r="127" spans="1:22" x14ac:dyDescent="0.25">
      <c r="A127" s="1">
        <v>0.95130000000000003</v>
      </c>
      <c r="B127" s="9" t="s">
        <v>4613</v>
      </c>
      <c r="C127" s="2">
        <v>4523</v>
      </c>
      <c r="D127" s="3" t="s">
        <v>522</v>
      </c>
      <c r="E127" s="9" t="s">
        <v>2176</v>
      </c>
      <c r="F127" s="9" t="s">
        <v>363</v>
      </c>
      <c r="G127" s="1">
        <v>1844.9707000000001</v>
      </c>
      <c r="H127" s="2">
        <v>927</v>
      </c>
      <c r="I127" s="2">
        <v>2</v>
      </c>
      <c r="J127" s="1">
        <v>1844.9422999999999</v>
      </c>
      <c r="K127" s="1">
        <v>923.49260000000004</v>
      </c>
      <c r="L127" s="9" t="s">
        <v>364</v>
      </c>
      <c r="M127" s="2">
        <v>8.59</v>
      </c>
      <c r="N127" s="4">
        <v>6668.72</v>
      </c>
      <c r="O127" s="1">
        <v>-15.376409080051101</v>
      </c>
      <c r="P127" s="6">
        <v>39.299999999999997</v>
      </c>
      <c r="Q127" s="6">
        <v>28.8</v>
      </c>
      <c r="R127" s="6">
        <v>11.6</v>
      </c>
      <c r="S127" s="6">
        <v>11</v>
      </c>
      <c r="T127" s="5">
        <v>2.7000000000000001E-3</v>
      </c>
      <c r="U127" s="1">
        <v>-2.8400000000000002E-2</v>
      </c>
      <c r="V127" s="1">
        <v>3.8344999999999998</v>
      </c>
    </row>
    <row r="128" spans="1:22" x14ac:dyDescent="0.25">
      <c r="A128" s="1">
        <v>0.95750000000000002</v>
      </c>
      <c r="B128" s="9" t="s">
        <v>4614</v>
      </c>
      <c r="C128" s="2">
        <v>4525</v>
      </c>
      <c r="D128" s="3" t="s">
        <v>46</v>
      </c>
      <c r="E128" s="9" t="s">
        <v>937</v>
      </c>
      <c r="F128" s="9" t="s">
        <v>1868</v>
      </c>
      <c r="G128" s="1">
        <v>1647.9376999999999</v>
      </c>
      <c r="H128" s="2">
        <v>436</v>
      </c>
      <c r="I128" s="2">
        <v>3</v>
      </c>
      <c r="J128" s="1">
        <v>1647.9649999999999</v>
      </c>
      <c r="K128" s="1">
        <v>550.31979999999999</v>
      </c>
      <c r="L128" s="9" t="s">
        <v>939</v>
      </c>
      <c r="M128" s="2">
        <v>6.74</v>
      </c>
      <c r="N128" s="4">
        <v>6669.77</v>
      </c>
      <c r="O128" s="1">
        <v>16.535839706294414</v>
      </c>
      <c r="P128" s="6">
        <v>29.9</v>
      </c>
      <c r="Q128" s="6">
        <v>24.5</v>
      </c>
      <c r="R128" s="6">
        <v>11.3</v>
      </c>
      <c r="S128" s="6">
        <v>9.3000000000000007</v>
      </c>
      <c r="T128" s="5">
        <v>3.5999999999999997E-2</v>
      </c>
      <c r="U128" s="1">
        <v>2.7300000000000001E-2</v>
      </c>
      <c r="V128" s="1">
        <v>3.0457999999999998</v>
      </c>
    </row>
    <row r="129" spans="1:22" x14ac:dyDescent="0.25">
      <c r="A129" s="1">
        <v>0.99970000000000003</v>
      </c>
      <c r="B129" s="9" t="s">
        <v>4615</v>
      </c>
      <c r="C129" s="2">
        <v>4538</v>
      </c>
      <c r="D129" s="3" t="s">
        <v>702</v>
      </c>
      <c r="E129" s="9" t="s">
        <v>3310</v>
      </c>
      <c r="F129" s="9" t="s">
        <v>2488</v>
      </c>
      <c r="G129" s="1">
        <v>1424.6242</v>
      </c>
      <c r="H129" s="2">
        <v>606</v>
      </c>
      <c r="I129" s="2">
        <v>2</v>
      </c>
      <c r="J129" s="1">
        <v>1424.6310000000001</v>
      </c>
      <c r="K129" s="1">
        <v>713.31939999999997</v>
      </c>
      <c r="L129" s="9" t="s">
        <v>2489</v>
      </c>
      <c r="M129" s="2">
        <v>4.32</v>
      </c>
      <c r="N129" s="4">
        <v>6696.42</v>
      </c>
      <c r="O129" s="1">
        <v>4.7664482418394902</v>
      </c>
      <c r="P129" s="6">
        <v>35.200000000000003</v>
      </c>
      <c r="Q129" s="6">
        <v>22.1</v>
      </c>
      <c r="R129" s="6">
        <v>10.1</v>
      </c>
      <c r="S129" s="6">
        <v>11.8</v>
      </c>
      <c r="T129" s="5">
        <v>1.6000000000000001E-4</v>
      </c>
      <c r="U129" s="1">
        <v>6.7999999999999996E-3</v>
      </c>
      <c r="V129" s="1">
        <v>6.4119000000000002</v>
      </c>
    </row>
    <row r="130" spans="1:22" x14ac:dyDescent="0.25">
      <c r="A130" s="1">
        <v>0.99960000000000004</v>
      </c>
      <c r="B130" s="9" t="s">
        <v>4616</v>
      </c>
      <c r="C130" s="2">
        <v>4548</v>
      </c>
      <c r="D130" s="3" t="s">
        <v>384</v>
      </c>
      <c r="E130" s="9" t="s">
        <v>353</v>
      </c>
      <c r="F130" s="9" t="s">
        <v>354</v>
      </c>
      <c r="G130" s="1">
        <v>1602.9782</v>
      </c>
      <c r="H130" s="2">
        <v>439</v>
      </c>
      <c r="I130" s="2">
        <v>3</v>
      </c>
      <c r="J130" s="1">
        <v>1602.9747</v>
      </c>
      <c r="K130" s="1">
        <v>535.33330000000001</v>
      </c>
      <c r="L130" s="9" t="s">
        <v>355</v>
      </c>
      <c r="M130" s="2">
        <v>9.6999999999999993</v>
      </c>
      <c r="N130" s="4">
        <v>6712.37</v>
      </c>
      <c r="O130" s="1">
        <v>-2.1793276574923821</v>
      </c>
      <c r="P130" s="6">
        <v>33.1</v>
      </c>
      <c r="Q130" s="6">
        <v>21.4</v>
      </c>
      <c r="R130" s="6">
        <v>7.9</v>
      </c>
      <c r="S130" s="6">
        <v>10.6</v>
      </c>
      <c r="T130" s="5">
        <v>4.0000000000000001E-3</v>
      </c>
      <c r="U130" s="1">
        <v>-3.5000000000000001E-3</v>
      </c>
      <c r="V130" s="1">
        <v>5.2234999999999996</v>
      </c>
    </row>
    <row r="131" spans="1:22" x14ac:dyDescent="0.25">
      <c r="A131" s="1">
        <v>0.97829999999999995</v>
      </c>
      <c r="B131" s="9" t="s">
        <v>4617</v>
      </c>
      <c r="C131" s="2">
        <v>4559</v>
      </c>
      <c r="D131" s="3" t="s">
        <v>752</v>
      </c>
      <c r="E131" s="9" t="s">
        <v>933</v>
      </c>
      <c r="F131" s="9" t="s">
        <v>934</v>
      </c>
      <c r="G131" s="1">
        <v>1195.6635000000001</v>
      </c>
      <c r="H131" s="2">
        <v>637</v>
      </c>
      <c r="I131" s="2">
        <v>2</v>
      </c>
      <c r="J131" s="1">
        <v>1195.6587</v>
      </c>
      <c r="K131" s="1">
        <v>598.83900000000006</v>
      </c>
      <c r="L131" s="9" t="s">
        <v>935</v>
      </c>
      <c r="M131" s="2">
        <v>6.76</v>
      </c>
      <c r="N131" s="4">
        <v>6734.82</v>
      </c>
      <c r="O131" s="1">
        <v>-4.0077550059364864</v>
      </c>
      <c r="P131" s="6">
        <v>46.3</v>
      </c>
      <c r="Q131" s="6">
        <v>32.4</v>
      </c>
      <c r="R131" s="6">
        <v>11.2</v>
      </c>
      <c r="S131" s="6">
        <v>11.6</v>
      </c>
      <c r="T131" s="5">
        <v>0.16</v>
      </c>
      <c r="U131" s="1">
        <v>-4.7999999999999996E-3</v>
      </c>
      <c r="V131" s="1">
        <v>2.9784999999999999</v>
      </c>
    </row>
    <row r="132" spans="1:22" x14ac:dyDescent="0.25">
      <c r="A132" s="1">
        <v>1</v>
      </c>
      <c r="B132" s="9" t="s">
        <v>4618</v>
      </c>
      <c r="C132" s="2">
        <v>4567</v>
      </c>
      <c r="D132" s="3" t="s">
        <v>4619</v>
      </c>
      <c r="E132" s="9" t="s">
        <v>1406</v>
      </c>
      <c r="F132" s="9" t="s">
        <v>2718</v>
      </c>
      <c r="G132" s="1">
        <v>2287.2833999999998</v>
      </c>
      <c r="H132" s="2">
        <v>440</v>
      </c>
      <c r="I132" s="2">
        <v>3</v>
      </c>
      <c r="J132" s="1">
        <v>2287.2845000000002</v>
      </c>
      <c r="K132" s="1">
        <v>763.43510000000003</v>
      </c>
      <c r="L132" s="9" t="s">
        <v>1408</v>
      </c>
      <c r="M132" s="2">
        <v>10.84</v>
      </c>
      <c r="N132" s="4">
        <v>6747.52</v>
      </c>
      <c r="O132" s="1">
        <v>0.48028531392736157</v>
      </c>
      <c r="P132" s="6">
        <v>47.8</v>
      </c>
      <c r="Q132" s="6">
        <v>28.4</v>
      </c>
      <c r="R132" s="6">
        <v>8</v>
      </c>
      <c r="S132" s="6">
        <v>7.5</v>
      </c>
      <c r="T132" s="5">
        <v>1.1999999999999999E-6</v>
      </c>
      <c r="U132" s="1">
        <v>1.1000000000000001E-3</v>
      </c>
      <c r="V132" s="1">
        <v>7.7438000000000002</v>
      </c>
    </row>
    <row r="133" spans="1:22" x14ac:dyDescent="0.25">
      <c r="A133" s="1">
        <v>0.9667</v>
      </c>
      <c r="B133" s="9" t="s">
        <v>4620</v>
      </c>
      <c r="C133" s="2">
        <v>4569</v>
      </c>
      <c r="D133" s="3" t="s">
        <v>302</v>
      </c>
      <c r="E133" s="9" t="s">
        <v>357</v>
      </c>
      <c r="F133" s="9" t="s">
        <v>358</v>
      </c>
      <c r="G133" s="1">
        <v>1465.7420999999999</v>
      </c>
      <c r="H133" s="2">
        <v>441</v>
      </c>
      <c r="I133" s="2">
        <v>2</v>
      </c>
      <c r="J133" s="1">
        <v>1465.7417</v>
      </c>
      <c r="K133" s="1">
        <v>733.87829999999997</v>
      </c>
      <c r="L133" s="9" t="s">
        <v>359</v>
      </c>
      <c r="M133" s="2">
        <v>8.75</v>
      </c>
      <c r="N133" s="4">
        <v>6747.52</v>
      </c>
      <c r="O133" s="1">
        <v>-0.27252474967579776</v>
      </c>
      <c r="P133" s="6">
        <v>32</v>
      </c>
      <c r="Q133" s="6">
        <v>25.5</v>
      </c>
      <c r="R133" s="6">
        <v>10.9</v>
      </c>
      <c r="S133" s="6">
        <v>10</v>
      </c>
      <c r="T133" s="5">
        <v>0.14000000000000001</v>
      </c>
      <c r="U133" s="1">
        <v>-4.0000000000000002E-4</v>
      </c>
      <c r="V133" s="1">
        <v>2.3283999999999998</v>
      </c>
    </row>
    <row r="134" spans="1:22" x14ac:dyDescent="0.25">
      <c r="A134" s="1">
        <v>1</v>
      </c>
      <c r="B134" s="9" t="s">
        <v>4621</v>
      </c>
      <c r="C134" s="2">
        <v>4584</v>
      </c>
      <c r="D134" s="3" t="s">
        <v>3458</v>
      </c>
      <c r="E134" s="9" t="s">
        <v>1406</v>
      </c>
      <c r="F134" s="9" t="s">
        <v>2718</v>
      </c>
      <c r="G134" s="1">
        <v>2287.2837</v>
      </c>
      <c r="H134" s="2">
        <v>647</v>
      </c>
      <c r="I134" s="2">
        <v>3</v>
      </c>
      <c r="J134" s="1">
        <v>2287.2937999999999</v>
      </c>
      <c r="K134" s="1">
        <v>763.43520000000001</v>
      </c>
      <c r="L134" s="9" t="s">
        <v>1408</v>
      </c>
      <c r="M134" s="2">
        <v>10.84</v>
      </c>
      <c r="N134" s="4">
        <v>6780.67</v>
      </c>
      <c r="O134" s="1">
        <v>4.4098918502404212</v>
      </c>
      <c r="P134" s="6">
        <v>45.2</v>
      </c>
      <c r="Q134" s="6">
        <v>23.9</v>
      </c>
      <c r="R134" s="6">
        <v>9.4</v>
      </c>
      <c r="S134" s="6">
        <v>9.9</v>
      </c>
      <c r="T134" s="5">
        <v>4.2E-7</v>
      </c>
      <c r="U134" s="1">
        <v>1.01E-2</v>
      </c>
      <c r="V134" s="1">
        <v>8.4702000000000002</v>
      </c>
    </row>
    <row r="135" spans="1:22" x14ac:dyDescent="0.25">
      <c r="A135" s="1">
        <v>0.99790000000000001</v>
      </c>
      <c r="B135" s="9" t="s">
        <v>4622</v>
      </c>
      <c r="C135" s="2">
        <v>4610</v>
      </c>
      <c r="D135" s="3" t="s">
        <v>621</v>
      </c>
      <c r="E135" s="9" t="s">
        <v>943</v>
      </c>
      <c r="F135" s="9" t="s">
        <v>944</v>
      </c>
      <c r="G135" s="1">
        <v>1223.6695999999999</v>
      </c>
      <c r="H135" s="2">
        <v>443</v>
      </c>
      <c r="I135" s="2">
        <v>2</v>
      </c>
      <c r="J135" s="1">
        <v>1223.6771000000001</v>
      </c>
      <c r="K135" s="1">
        <v>612.84209999999996</v>
      </c>
      <c r="L135" s="9" t="s">
        <v>945</v>
      </c>
      <c r="M135" s="2">
        <v>6.76</v>
      </c>
      <c r="N135" s="4">
        <v>6826.37</v>
      </c>
      <c r="O135" s="1">
        <v>6.1190313132860821</v>
      </c>
      <c r="P135" s="6">
        <v>33.799999999999997</v>
      </c>
      <c r="Q135" s="6">
        <v>24.5</v>
      </c>
      <c r="R135" s="6">
        <v>8.5</v>
      </c>
      <c r="S135" s="6">
        <v>10.1</v>
      </c>
      <c r="T135" s="5">
        <v>7.0000000000000001E-3</v>
      </c>
      <c r="U135" s="1">
        <v>7.4999999999999997E-3</v>
      </c>
      <c r="V135" s="1">
        <v>4.3026999999999997</v>
      </c>
    </row>
    <row r="136" spans="1:22" x14ac:dyDescent="0.25">
      <c r="A136" s="1">
        <v>1</v>
      </c>
      <c r="B136" s="9" t="s">
        <v>4623</v>
      </c>
      <c r="C136" s="2">
        <v>4611</v>
      </c>
      <c r="D136" s="3" t="s">
        <v>2601</v>
      </c>
      <c r="E136" s="9" t="s">
        <v>4624</v>
      </c>
      <c r="F136" s="9" t="s">
        <v>4625</v>
      </c>
      <c r="G136" s="1">
        <v>1974.1706999999999</v>
      </c>
      <c r="H136" s="2">
        <v>444</v>
      </c>
      <c r="I136" s="2">
        <v>3</v>
      </c>
      <c r="J136" s="1">
        <v>1974.1891000000001</v>
      </c>
      <c r="K136" s="1">
        <v>659.06420000000003</v>
      </c>
      <c r="L136" s="9" t="s">
        <v>1958</v>
      </c>
      <c r="M136" s="2">
        <v>9.6999999999999993</v>
      </c>
      <c r="N136" s="4">
        <v>6826.37</v>
      </c>
      <c r="O136" s="1">
        <v>9.3061242490994545</v>
      </c>
      <c r="P136" s="6">
        <v>36.5</v>
      </c>
      <c r="Q136" s="6">
        <v>23.2</v>
      </c>
      <c r="R136" s="6">
        <v>10.8</v>
      </c>
      <c r="S136" s="6">
        <v>9.1</v>
      </c>
      <c r="T136" s="5">
        <v>8.7000000000000001E-5</v>
      </c>
      <c r="U136" s="1">
        <v>1.84E-2</v>
      </c>
      <c r="V136" s="1">
        <v>6.6966999999999999</v>
      </c>
    </row>
    <row r="137" spans="1:22" x14ac:dyDescent="0.25">
      <c r="A137" s="1">
        <v>0.99970000000000003</v>
      </c>
      <c r="B137" s="9" t="s">
        <v>4626</v>
      </c>
      <c r="C137" s="2">
        <v>4627</v>
      </c>
      <c r="D137" s="3" t="s">
        <v>1399</v>
      </c>
      <c r="E137" s="9" t="s">
        <v>4627</v>
      </c>
      <c r="F137" s="9" t="s">
        <v>2859</v>
      </c>
      <c r="G137" s="1">
        <v>2110.1496999999999</v>
      </c>
      <c r="H137" s="2">
        <v>445</v>
      </c>
      <c r="I137" s="2">
        <v>3</v>
      </c>
      <c r="J137" s="1">
        <v>2110.1379999999999</v>
      </c>
      <c r="K137" s="1">
        <v>704.39049999999997</v>
      </c>
      <c r="L137" s="9" t="s">
        <v>2860</v>
      </c>
      <c r="M137" s="2">
        <v>6.77</v>
      </c>
      <c r="N137" s="4">
        <v>6854.07</v>
      </c>
      <c r="O137" s="1">
        <v>-5.5367015881105726</v>
      </c>
      <c r="P137" s="6">
        <v>41.8</v>
      </c>
      <c r="Q137" s="6">
        <v>23.6</v>
      </c>
      <c r="R137" s="6">
        <v>11.3</v>
      </c>
      <c r="S137" s="6">
        <v>11.7</v>
      </c>
      <c r="T137" s="5">
        <v>4.1E-5</v>
      </c>
      <c r="U137" s="1">
        <v>-1.17E-2</v>
      </c>
      <c r="V137" s="1">
        <v>7.0145999999999997</v>
      </c>
    </row>
    <row r="138" spans="1:22" x14ac:dyDescent="0.25">
      <c r="A138" s="1">
        <v>0.99080000000000001</v>
      </c>
      <c r="B138" s="9" t="s">
        <v>4628</v>
      </c>
      <c r="C138" s="2">
        <v>4642</v>
      </c>
      <c r="D138" s="3" t="s">
        <v>2991</v>
      </c>
      <c r="E138" s="9" t="s">
        <v>3318</v>
      </c>
      <c r="F138" s="9" t="s">
        <v>3319</v>
      </c>
      <c r="G138" s="1">
        <v>2377.2197000000001</v>
      </c>
      <c r="H138" s="2">
        <v>211</v>
      </c>
      <c r="I138" s="2">
        <v>3</v>
      </c>
      <c r="J138" s="1">
        <v>2377.2831999999999</v>
      </c>
      <c r="K138" s="1">
        <v>793.41380000000004</v>
      </c>
      <c r="L138" s="9" t="s">
        <v>3320</v>
      </c>
      <c r="M138" s="2">
        <v>3.56</v>
      </c>
      <c r="N138" s="4">
        <v>6888.17</v>
      </c>
      <c r="O138" s="1">
        <v>26.677966360890959</v>
      </c>
      <c r="P138" s="6">
        <v>39.6</v>
      </c>
      <c r="Q138" s="6">
        <v>23.8</v>
      </c>
      <c r="R138" s="6">
        <v>5.9</v>
      </c>
      <c r="S138" s="6">
        <v>9.8000000000000007</v>
      </c>
      <c r="T138" s="5">
        <v>3.8000000000000002E-4</v>
      </c>
      <c r="U138" s="1">
        <v>6.3500000000000001E-2</v>
      </c>
      <c r="V138" s="1">
        <v>5.0439999999999996</v>
      </c>
    </row>
    <row r="139" spans="1:22" x14ac:dyDescent="0.25">
      <c r="A139" s="1">
        <v>0.99750000000000005</v>
      </c>
      <c r="B139" s="9" t="s">
        <v>4629</v>
      </c>
      <c r="C139" s="2">
        <v>4722</v>
      </c>
      <c r="D139" s="3" t="s">
        <v>2559</v>
      </c>
      <c r="E139" s="9" t="s">
        <v>4630</v>
      </c>
      <c r="F139" s="9" t="s">
        <v>4631</v>
      </c>
      <c r="G139" s="1">
        <v>2122.3163</v>
      </c>
      <c r="H139" s="2">
        <v>447</v>
      </c>
      <c r="I139" s="2">
        <v>3</v>
      </c>
      <c r="J139" s="1">
        <v>2122.3112000000001</v>
      </c>
      <c r="K139" s="1">
        <v>708.44600000000003</v>
      </c>
      <c r="L139" s="9" t="s">
        <v>2782</v>
      </c>
      <c r="M139" s="2">
        <v>10</v>
      </c>
      <c r="N139" s="4">
        <v>7017.38</v>
      </c>
      <c r="O139" s="1">
        <v>-2.3996183195331753</v>
      </c>
      <c r="P139" s="6">
        <v>32.799999999999997</v>
      </c>
      <c r="Q139" s="6">
        <v>22.2</v>
      </c>
      <c r="R139" s="6">
        <v>10.6</v>
      </c>
      <c r="S139" s="6">
        <v>10.8</v>
      </c>
      <c r="T139" s="5">
        <v>8.0000000000000002E-3</v>
      </c>
      <c r="U139" s="1">
        <v>-5.1000000000000004E-3</v>
      </c>
      <c r="V139" s="1">
        <v>4.1097000000000001</v>
      </c>
    </row>
    <row r="140" spans="1:22" x14ac:dyDescent="0.25">
      <c r="A140" s="1">
        <v>0.99929999999999997</v>
      </c>
      <c r="B140" s="9" t="s">
        <v>4632</v>
      </c>
      <c r="C140" s="2">
        <v>4724</v>
      </c>
      <c r="D140" s="3" t="s">
        <v>278</v>
      </c>
      <c r="E140" s="9" t="s">
        <v>1422</v>
      </c>
      <c r="F140" s="9" t="s">
        <v>340</v>
      </c>
      <c r="G140" s="1">
        <v>1774.9539</v>
      </c>
      <c r="H140" s="2">
        <v>448</v>
      </c>
      <c r="I140" s="2">
        <v>2</v>
      </c>
      <c r="J140" s="1">
        <v>1774.9602</v>
      </c>
      <c r="K140" s="1">
        <v>888.48419999999999</v>
      </c>
      <c r="L140" s="9" t="s">
        <v>341</v>
      </c>
      <c r="M140" s="2">
        <v>6.24</v>
      </c>
      <c r="N140" s="4">
        <v>7022.73</v>
      </c>
      <c r="O140" s="1">
        <v>3.5453641156477516</v>
      </c>
      <c r="P140" s="6">
        <v>49.5</v>
      </c>
      <c r="Q140" s="6">
        <v>34.6</v>
      </c>
      <c r="R140" s="6">
        <v>11.9</v>
      </c>
      <c r="S140" s="6">
        <v>10.4</v>
      </c>
      <c r="T140" s="5">
        <v>2.3000000000000001E-4</v>
      </c>
      <c r="U140" s="1">
        <v>6.3E-3</v>
      </c>
      <c r="V140" s="1">
        <v>5.2694999999999999</v>
      </c>
    </row>
    <row r="141" spans="1:22" x14ac:dyDescent="0.25">
      <c r="A141" s="1">
        <v>0.98709999999999998</v>
      </c>
      <c r="B141" s="9" t="s">
        <v>4633</v>
      </c>
      <c r="C141" s="2">
        <v>4727</v>
      </c>
      <c r="D141" s="3" t="s">
        <v>331</v>
      </c>
      <c r="E141" s="9" t="s">
        <v>2212</v>
      </c>
      <c r="F141" s="9" t="s">
        <v>1900</v>
      </c>
      <c r="G141" s="1">
        <v>1563.8367000000001</v>
      </c>
      <c r="H141" s="2">
        <v>563</v>
      </c>
      <c r="I141" s="2">
        <v>2</v>
      </c>
      <c r="J141" s="1">
        <v>1563.8544999999999</v>
      </c>
      <c r="K141" s="1">
        <v>782.92560000000003</v>
      </c>
      <c r="L141" s="9" t="s">
        <v>1901</v>
      </c>
      <c r="M141" s="2">
        <v>8.5</v>
      </c>
      <c r="N141" s="4">
        <v>7030.23</v>
      </c>
      <c r="O141" s="1">
        <v>11.367619094330291</v>
      </c>
      <c r="P141" s="6">
        <v>37.4</v>
      </c>
      <c r="Q141" s="6">
        <v>29.1</v>
      </c>
      <c r="R141" s="6">
        <v>9.5</v>
      </c>
      <c r="S141" s="6">
        <v>10.3</v>
      </c>
      <c r="T141" s="5">
        <v>3.3000000000000002E-2</v>
      </c>
      <c r="U141" s="1">
        <v>1.78E-2</v>
      </c>
      <c r="V141" s="1">
        <v>3.0005999999999999</v>
      </c>
    </row>
    <row r="142" spans="1:22" x14ac:dyDescent="0.25">
      <c r="A142" s="1">
        <v>0.9466</v>
      </c>
      <c r="B142" s="9" t="s">
        <v>4634</v>
      </c>
      <c r="C142" s="2">
        <v>4732</v>
      </c>
      <c r="D142" s="3" t="s">
        <v>260</v>
      </c>
      <c r="E142" s="9" t="s">
        <v>4635</v>
      </c>
      <c r="F142" s="9" t="s">
        <v>2488</v>
      </c>
      <c r="G142" s="1">
        <v>1166.5387000000001</v>
      </c>
      <c r="H142" s="2">
        <v>450</v>
      </c>
      <c r="I142" s="2">
        <v>2</v>
      </c>
      <c r="J142" s="1">
        <v>1166.5633</v>
      </c>
      <c r="K142" s="1">
        <v>584.27660000000003</v>
      </c>
      <c r="L142" s="9" t="s">
        <v>2489</v>
      </c>
      <c r="M142" s="2">
        <v>6.22</v>
      </c>
      <c r="N142" s="4">
        <v>7036.58</v>
      </c>
      <c r="O142" s="1">
        <v>21.051673128788661</v>
      </c>
      <c r="P142" s="6">
        <v>31.6</v>
      </c>
      <c r="Q142" s="6">
        <v>26.6</v>
      </c>
      <c r="R142" s="6">
        <v>7.7</v>
      </c>
      <c r="S142" s="6">
        <v>9.5</v>
      </c>
      <c r="T142" s="5">
        <v>0.12</v>
      </c>
      <c r="U142" s="1">
        <v>2.46E-2</v>
      </c>
      <c r="V142" s="1">
        <v>2.3746999999999998</v>
      </c>
    </row>
    <row r="143" spans="1:22" x14ac:dyDescent="0.25">
      <c r="A143" s="1">
        <v>0.99729999999999996</v>
      </c>
      <c r="B143" s="9" t="s">
        <v>4636</v>
      </c>
      <c r="C143" s="2">
        <v>4740</v>
      </c>
      <c r="D143" s="3" t="s">
        <v>1608</v>
      </c>
      <c r="E143" s="9" t="s">
        <v>4630</v>
      </c>
      <c r="F143" s="9" t="s">
        <v>4631</v>
      </c>
      <c r="G143" s="1">
        <v>2122.3166999999999</v>
      </c>
      <c r="H143" s="2">
        <v>452</v>
      </c>
      <c r="I143" s="2">
        <v>4</v>
      </c>
      <c r="J143" s="1">
        <v>2122.3548999999998</v>
      </c>
      <c r="K143" s="1">
        <v>531.5865</v>
      </c>
      <c r="L143" s="9" t="s">
        <v>2782</v>
      </c>
      <c r="M143" s="2">
        <v>10</v>
      </c>
      <c r="N143" s="4">
        <v>7048.48</v>
      </c>
      <c r="O143" s="1">
        <v>17.965091288059423</v>
      </c>
      <c r="P143" s="6">
        <v>35.700000000000003</v>
      </c>
      <c r="Q143" s="6">
        <v>23.3</v>
      </c>
      <c r="R143" s="6">
        <v>9.6</v>
      </c>
      <c r="S143" s="6">
        <v>12.6</v>
      </c>
      <c r="T143" s="5">
        <v>7.7999999999999999E-4</v>
      </c>
      <c r="U143" s="1">
        <v>3.8199999999999998E-2</v>
      </c>
      <c r="V143" s="1">
        <v>5.3560999999999996</v>
      </c>
    </row>
    <row r="144" spans="1:22" x14ac:dyDescent="0.25">
      <c r="A144" s="1">
        <v>0.99970000000000003</v>
      </c>
      <c r="B144" s="9" t="s">
        <v>4637</v>
      </c>
      <c r="C144" s="2">
        <v>4743</v>
      </c>
      <c r="D144" s="3" t="s">
        <v>105</v>
      </c>
      <c r="E144" s="9" t="s">
        <v>1422</v>
      </c>
      <c r="F144" s="9" t="s">
        <v>340</v>
      </c>
      <c r="G144" s="1">
        <v>1774.9537</v>
      </c>
      <c r="H144" s="2">
        <v>572</v>
      </c>
      <c r="I144" s="2">
        <v>2</v>
      </c>
      <c r="J144" s="1">
        <v>1774.9734000000001</v>
      </c>
      <c r="K144" s="1">
        <v>888.48410000000001</v>
      </c>
      <c r="L144" s="9" t="s">
        <v>341</v>
      </c>
      <c r="M144" s="2">
        <v>6.24</v>
      </c>
      <c r="N144" s="4">
        <v>7054.98</v>
      </c>
      <c r="O144" s="1">
        <v>11.086298561786306</v>
      </c>
      <c r="P144" s="6">
        <v>45.9</v>
      </c>
      <c r="Q144" s="6">
        <v>29.8</v>
      </c>
      <c r="R144" s="6">
        <v>11.9</v>
      </c>
      <c r="S144" s="6">
        <v>11</v>
      </c>
      <c r="T144" s="5">
        <v>7.7999999999999999E-5</v>
      </c>
      <c r="U144" s="1">
        <v>1.9699999999999999E-2</v>
      </c>
      <c r="V144" s="1">
        <v>5.9447000000000001</v>
      </c>
    </row>
    <row r="145" spans="1:22" x14ac:dyDescent="0.25">
      <c r="A145" s="1">
        <v>0.99390000000000001</v>
      </c>
      <c r="B145" s="9" t="s">
        <v>4638</v>
      </c>
      <c r="C145" s="2">
        <v>4771</v>
      </c>
      <c r="D145" s="3" t="s">
        <v>115</v>
      </c>
      <c r="E145" s="9" t="s">
        <v>407</v>
      </c>
      <c r="F145" s="9" t="s">
        <v>290</v>
      </c>
      <c r="G145" s="1">
        <v>1645.8596</v>
      </c>
      <c r="H145" s="2">
        <v>455</v>
      </c>
      <c r="I145" s="2">
        <v>2</v>
      </c>
      <c r="J145" s="1">
        <v>1645.8552999999999</v>
      </c>
      <c r="K145" s="1">
        <v>823.93709999999999</v>
      </c>
      <c r="L145" s="9" t="s">
        <v>291</v>
      </c>
      <c r="M145" s="2">
        <v>4.8499999999999996</v>
      </c>
      <c r="N145" s="4">
        <v>7098.08</v>
      </c>
      <c r="O145" s="1">
        <v>-2.6094224911100619</v>
      </c>
      <c r="P145" s="6">
        <v>45.7</v>
      </c>
      <c r="Q145" s="6">
        <v>35.700000000000003</v>
      </c>
      <c r="R145" s="6">
        <v>10.4</v>
      </c>
      <c r="S145" s="6">
        <v>11.8</v>
      </c>
      <c r="T145" s="5">
        <v>9.5E-4</v>
      </c>
      <c r="U145" s="1">
        <v>-4.3E-3</v>
      </c>
      <c r="V145" s="1">
        <v>4.4592000000000001</v>
      </c>
    </row>
    <row r="146" spans="1:22" x14ac:dyDescent="0.25">
      <c r="A146" s="1">
        <v>0.99439999999999995</v>
      </c>
      <c r="B146" s="9" t="s">
        <v>4639</v>
      </c>
      <c r="C146" s="2">
        <v>4780</v>
      </c>
      <c r="D146" s="3" t="s">
        <v>220</v>
      </c>
      <c r="E146" s="9" t="s">
        <v>394</v>
      </c>
      <c r="F146" s="9" t="s">
        <v>2191</v>
      </c>
      <c r="G146" s="1">
        <v>1382.8207</v>
      </c>
      <c r="H146" s="2">
        <v>457</v>
      </c>
      <c r="I146" s="2">
        <v>2</v>
      </c>
      <c r="J146" s="1">
        <v>1382.817</v>
      </c>
      <c r="K146" s="1">
        <v>692.41759999999999</v>
      </c>
      <c r="L146" s="9" t="s">
        <v>2161</v>
      </c>
      <c r="M146" s="2">
        <v>8.59</v>
      </c>
      <c r="N146" s="4">
        <v>7112.98</v>
      </c>
      <c r="O146" s="1">
        <v>-2.6717980594369641</v>
      </c>
      <c r="P146" s="6">
        <v>61.2</v>
      </c>
      <c r="Q146" s="6">
        <v>39.5</v>
      </c>
      <c r="R146" s="6">
        <v>11.9</v>
      </c>
      <c r="S146" s="6">
        <v>12.9</v>
      </c>
      <c r="T146" s="5">
        <v>2.1999999999999999E-2</v>
      </c>
      <c r="U146" s="1">
        <v>-3.7000000000000002E-3</v>
      </c>
      <c r="V146" s="1">
        <v>3.9518</v>
      </c>
    </row>
    <row r="147" spans="1:22" x14ac:dyDescent="0.25">
      <c r="A147" s="1">
        <v>0.99490000000000001</v>
      </c>
      <c r="B147" s="9" t="s">
        <v>4640</v>
      </c>
      <c r="C147" s="2">
        <v>4791</v>
      </c>
      <c r="D147" s="3" t="s">
        <v>280</v>
      </c>
      <c r="E147" s="9" t="s">
        <v>407</v>
      </c>
      <c r="F147" s="9" t="s">
        <v>290</v>
      </c>
      <c r="G147" s="1">
        <v>1645.8597</v>
      </c>
      <c r="H147" s="2">
        <v>458</v>
      </c>
      <c r="I147" s="2">
        <v>2</v>
      </c>
      <c r="J147" s="1">
        <v>1645.8707999999999</v>
      </c>
      <c r="K147" s="1">
        <v>823.93709999999999</v>
      </c>
      <c r="L147" s="9" t="s">
        <v>291</v>
      </c>
      <c r="M147" s="2">
        <v>4.8499999999999996</v>
      </c>
      <c r="N147" s="4">
        <v>7135.34</v>
      </c>
      <c r="O147" s="1">
        <v>6.7359510817027175</v>
      </c>
      <c r="P147" s="6">
        <v>41.8</v>
      </c>
      <c r="Q147" s="6">
        <v>32.299999999999997</v>
      </c>
      <c r="R147" s="6">
        <v>10.1</v>
      </c>
      <c r="S147" s="6">
        <v>11.3</v>
      </c>
      <c r="T147" s="5">
        <v>2.2000000000000001E-3</v>
      </c>
      <c r="U147" s="1">
        <v>1.11E-2</v>
      </c>
      <c r="V147" s="1">
        <v>4.1239999999999997</v>
      </c>
    </row>
    <row r="148" spans="1:22" x14ac:dyDescent="0.25">
      <c r="A148" s="1">
        <v>0.99680000000000002</v>
      </c>
      <c r="B148" s="9" t="s">
        <v>4641</v>
      </c>
      <c r="C148" s="2">
        <v>4799</v>
      </c>
      <c r="D148" s="3" t="s">
        <v>93</v>
      </c>
      <c r="E148" s="9" t="s">
        <v>394</v>
      </c>
      <c r="F148" s="9" t="s">
        <v>2191</v>
      </c>
      <c r="G148" s="1">
        <v>1382.8207</v>
      </c>
      <c r="H148" s="2">
        <v>580</v>
      </c>
      <c r="I148" s="2">
        <v>2</v>
      </c>
      <c r="J148" s="1">
        <v>1382.8314</v>
      </c>
      <c r="K148" s="1">
        <v>692.41759999999999</v>
      </c>
      <c r="L148" s="9" t="s">
        <v>2161</v>
      </c>
      <c r="M148" s="2">
        <v>8.59</v>
      </c>
      <c r="N148" s="4">
        <v>7152.39</v>
      </c>
      <c r="O148" s="1">
        <v>7.7265511448582469</v>
      </c>
      <c r="P148" s="6">
        <v>51.6</v>
      </c>
      <c r="Q148" s="6">
        <v>35.200000000000003</v>
      </c>
      <c r="R148" s="6">
        <v>11.8</v>
      </c>
      <c r="S148" s="6">
        <v>11.7</v>
      </c>
      <c r="T148" s="5">
        <v>1.4E-2</v>
      </c>
      <c r="U148" s="1">
        <v>1.0699999999999999E-2</v>
      </c>
      <c r="V148" s="1">
        <v>3.9925999999999999</v>
      </c>
    </row>
    <row r="149" spans="1:22" x14ac:dyDescent="0.25">
      <c r="A149" s="1">
        <v>0.95030000000000003</v>
      </c>
      <c r="B149" s="9" t="s">
        <v>4642</v>
      </c>
      <c r="C149" s="2">
        <v>4811</v>
      </c>
      <c r="D149" s="3" t="s">
        <v>178</v>
      </c>
      <c r="E149" s="9" t="s">
        <v>407</v>
      </c>
      <c r="F149" s="9" t="s">
        <v>290</v>
      </c>
      <c r="G149" s="1">
        <v>1645.8596</v>
      </c>
      <c r="H149" s="2">
        <v>459</v>
      </c>
      <c r="I149" s="2">
        <v>2</v>
      </c>
      <c r="J149" s="1">
        <v>1645.8689999999999</v>
      </c>
      <c r="K149" s="1">
        <v>823.93709999999999</v>
      </c>
      <c r="L149" s="9" t="s">
        <v>291</v>
      </c>
      <c r="M149" s="2">
        <v>4.8499999999999996</v>
      </c>
      <c r="N149" s="4">
        <v>7172.49</v>
      </c>
      <c r="O149" s="1">
        <v>5.7043189340545544</v>
      </c>
      <c r="P149" s="6">
        <v>40.1</v>
      </c>
      <c r="Q149" s="6">
        <v>36.299999999999997</v>
      </c>
      <c r="R149" s="6">
        <v>10.4</v>
      </c>
      <c r="S149" s="6">
        <v>11.7</v>
      </c>
      <c r="T149" s="5">
        <v>2.8000000000000001E-2</v>
      </c>
      <c r="U149" s="1">
        <v>9.4000000000000004E-3</v>
      </c>
      <c r="V149" s="1">
        <v>2.4072</v>
      </c>
    </row>
    <row r="150" spans="1:22" x14ac:dyDescent="0.25">
      <c r="A150" s="1">
        <v>0.99590000000000001</v>
      </c>
      <c r="B150" s="9" t="s">
        <v>4643</v>
      </c>
      <c r="C150" s="2">
        <v>4823</v>
      </c>
      <c r="D150" s="3" t="s">
        <v>316</v>
      </c>
      <c r="E150" s="9" t="s">
        <v>4644</v>
      </c>
      <c r="F150" s="9" t="s">
        <v>860</v>
      </c>
      <c r="G150" s="1">
        <v>1665.8027</v>
      </c>
      <c r="H150" s="2">
        <v>814</v>
      </c>
      <c r="I150" s="2">
        <v>2</v>
      </c>
      <c r="J150" s="1">
        <v>1665.8157000000001</v>
      </c>
      <c r="K150" s="1">
        <v>833.90859999999998</v>
      </c>
      <c r="L150" s="9" t="s">
        <v>673</v>
      </c>
      <c r="M150" s="2">
        <v>4.5599999999999996</v>
      </c>
      <c r="N150" s="4">
        <v>7190.59</v>
      </c>
      <c r="O150" s="1">
        <v>7.7946192184611123</v>
      </c>
      <c r="P150" s="6">
        <v>39.1</v>
      </c>
      <c r="Q150" s="6">
        <v>22.7</v>
      </c>
      <c r="R150" s="6">
        <v>9.3000000000000007</v>
      </c>
      <c r="S150" s="6">
        <v>10.8</v>
      </c>
      <c r="T150" s="5">
        <v>7.4999999999999993E-5</v>
      </c>
      <c r="U150" s="1">
        <v>1.2999999999999999E-2</v>
      </c>
      <c r="V150" s="1">
        <v>6.2550999999999997</v>
      </c>
    </row>
    <row r="151" spans="1:22" x14ac:dyDescent="0.25">
      <c r="A151" s="1">
        <v>1</v>
      </c>
      <c r="B151" s="9" t="s">
        <v>4645</v>
      </c>
      <c r="C151" s="2">
        <v>4829</v>
      </c>
      <c r="D151" s="3" t="s">
        <v>3365</v>
      </c>
      <c r="E151" s="9" t="s">
        <v>3356</v>
      </c>
      <c r="F151" s="9" t="s">
        <v>3357</v>
      </c>
      <c r="G151" s="1">
        <v>3194.9847</v>
      </c>
      <c r="H151" s="2">
        <v>569</v>
      </c>
      <c r="I151" s="2">
        <v>4</v>
      </c>
      <c r="J151" s="1">
        <v>3195.0065</v>
      </c>
      <c r="K151" s="1">
        <v>799.75350000000003</v>
      </c>
      <c r="L151" s="9" t="s">
        <v>2161</v>
      </c>
      <c r="M151" s="2">
        <v>10.29</v>
      </c>
      <c r="N151" s="4">
        <v>7207.69</v>
      </c>
      <c r="O151" s="1">
        <v>6.8145997485475203</v>
      </c>
      <c r="P151" s="6">
        <v>48.4</v>
      </c>
      <c r="Q151" s="6">
        <v>48.4</v>
      </c>
      <c r="R151" s="6">
        <v>10.1</v>
      </c>
      <c r="S151" s="6">
        <v>11.4</v>
      </c>
      <c r="T151" s="5">
        <v>9.5999999999999999E-8</v>
      </c>
      <c r="U151" s="1">
        <v>2.18E-2</v>
      </c>
      <c r="V151" s="1">
        <v>6.2012999999999998</v>
      </c>
    </row>
    <row r="152" spans="1:22" x14ac:dyDescent="0.25">
      <c r="A152" s="1">
        <v>0.99660000000000004</v>
      </c>
      <c r="B152" s="9" t="s">
        <v>4646</v>
      </c>
      <c r="C152" s="2">
        <v>4834</v>
      </c>
      <c r="D152" s="3" t="s">
        <v>645</v>
      </c>
      <c r="E152" s="9" t="s">
        <v>4647</v>
      </c>
      <c r="F152" s="9" t="s">
        <v>1083</v>
      </c>
      <c r="G152" s="1">
        <v>1783.8927000000001</v>
      </c>
      <c r="H152" s="2">
        <v>460</v>
      </c>
      <c r="I152" s="2">
        <v>2</v>
      </c>
      <c r="J152" s="1">
        <v>1783.8964000000001</v>
      </c>
      <c r="K152" s="1">
        <v>892.95360000000005</v>
      </c>
      <c r="L152" s="9" t="s">
        <v>1084</v>
      </c>
      <c r="M152" s="2">
        <v>5.51</v>
      </c>
      <c r="N152" s="4">
        <v>7212.94</v>
      </c>
      <c r="O152" s="1">
        <v>2.0717761818755198</v>
      </c>
      <c r="P152" s="6">
        <v>41.5</v>
      </c>
      <c r="Q152" s="6">
        <v>31.5</v>
      </c>
      <c r="R152" s="6">
        <v>10.199999999999999</v>
      </c>
      <c r="S152" s="6">
        <v>9.1</v>
      </c>
      <c r="T152" s="5">
        <v>5.8E-4</v>
      </c>
      <c r="U152" s="1">
        <v>3.7000000000000002E-3</v>
      </c>
      <c r="V152" s="1">
        <v>4.4741999999999997</v>
      </c>
    </row>
    <row r="153" spans="1:22" x14ac:dyDescent="0.25">
      <c r="A153" s="1">
        <v>0.99950000000000006</v>
      </c>
      <c r="B153" s="9" t="s">
        <v>4648</v>
      </c>
      <c r="C153" s="2">
        <v>4848</v>
      </c>
      <c r="D153" s="3" t="s">
        <v>3559</v>
      </c>
      <c r="E153" s="9" t="s">
        <v>3356</v>
      </c>
      <c r="F153" s="9" t="s">
        <v>3357</v>
      </c>
      <c r="G153" s="1">
        <v>3194.9847</v>
      </c>
      <c r="H153" s="2">
        <v>461</v>
      </c>
      <c r="I153" s="2">
        <v>4</v>
      </c>
      <c r="J153" s="1">
        <v>3195.04</v>
      </c>
      <c r="K153" s="1">
        <v>799.75350000000003</v>
      </c>
      <c r="L153" s="9" t="s">
        <v>2161</v>
      </c>
      <c r="M153" s="2">
        <v>10.29</v>
      </c>
      <c r="N153" s="4">
        <v>7240.64</v>
      </c>
      <c r="O153" s="1">
        <v>17.286576426361371</v>
      </c>
      <c r="P153" s="6">
        <v>48.4</v>
      </c>
      <c r="Q153" s="6">
        <v>48.4</v>
      </c>
      <c r="R153" s="6">
        <v>12.1</v>
      </c>
      <c r="S153" s="6">
        <v>13.2</v>
      </c>
      <c r="T153" s="5">
        <v>7.4999999999999997E-8</v>
      </c>
      <c r="U153" s="1">
        <v>5.5300000000000002E-2</v>
      </c>
      <c r="V153" s="1">
        <v>6.2930000000000001</v>
      </c>
    </row>
    <row r="154" spans="1:22" x14ac:dyDescent="0.25">
      <c r="A154" s="1">
        <v>0.98950000000000005</v>
      </c>
      <c r="B154" s="9" t="s">
        <v>4649</v>
      </c>
      <c r="C154" s="2">
        <v>4865</v>
      </c>
      <c r="D154" s="3" t="s">
        <v>3559</v>
      </c>
      <c r="E154" s="9" t="s">
        <v>3356</v>
      </c>
      <c r="F154" s="9" t="s">
        <v>3357</v>
      </c>
      <c r="G154" s="1">
        <v>3194.9847</v>
      </c>
      <c r="H154" s="2">
        <v>645</v>
      </c>
      <c r="I154" s="2">
        <v>4</v>
      </c>
      <c r="J154" s="1">
        <v>3196.0364</v>
      </c>
      <c r="K154" s="1">
        <v>799.75350000000003</v>
      </c>
      <c r="L154" s="9" t="s">
        <v>2161</v>
      </c>
      <c r="M154" s="2">
        <v>10.29</v>
      </c>
      <c r="N154" s="4">
        <v>7268.89</v>
      </c>
      <c r="O154" s="1">
        <v>15.112469029519746</v>
      </c>
      <c r="P154" s="6">
        <v>43.5</v>
      </c>
      <c r="Q154" s="6">
        <v>43.5</v>
      </c>
      <c r="R154" s="6">
        <v>10.4</v>
      </c>
      <c r="S154" s="6">
        <v>11.6</v>
      </c>
      <c r="T154" s="5">
        <v>8.8999999999999995E-6</v>
      </c>
      <c r="U154" s="1">
        <v>1.0517000000000001</v>
      </c>
      <c r="V154" s="1">
        <v>4.5190999999999999</v>
      </c>
    </row>
    <row r="155" spans="1:22" x14ac:dyDescent="0.25">
      <c r="A155" s="1">
        <v>0.99690000000000001</v>
      </c>
      <c r="B155" s="9" t="s">
        <v>4650</v>
      </c>
      <c r="C155" s="2">
        <v>4866</v>
      </c>
      <c r="D155" s="3" t="s">
        <v>3561</v>
      </c>
      <c r="E155" s="9" t="s">
        <v>3356</v>
      </c>
      <c r="F155" s="9" t="s">
        <v>3357</v>
      </c>
      <c r="G155" s="1">
        <v>3194.9847</v>
      </c>
      <c r="H155" s="2">
        <v>677</v>
      </c>
      <c r="I155" s="2">
        <v>4</v>
      </c>
      <c r="J155" s="1">
        <v>3195.0689000000002</v>
      </c>
      <c r="K155" s="1">
        <v>799.75350000000003</v>
      </c>
      <c r="L155" s="9" t="s">
        <v>2161</v>
      </c>
      <c r="M155" s="2">
        <v>10.29</v>
      </c>
      <c r="N155" s="4">
        <v>7270.99</v>
      </c>
      <c r="O155" s="1">
        <v>26.320610037967949</v>
      </c>
      <c r="P155" s="6">
        <v>48.3</v>
      </c>
      <c r="Q155" s="6">
        <v>48.3</v>
      </c>
      <c r="R155" s="6">
        <v>10</v>
      </c>
      <c r="S155" s="6">
        <v>11.3</v>
      </c>
      <c r="T155" s="5">
        <v>3.3000000000000002E-7</v>
      </c>
      <c r="U155" s="1">
        <v>8.4199999999999997E-2</v>
      </c>
      <c r="V155" s="1">
        <v>5.7427000000000001</v>
      </c>
    </row>
    <row r="156" spans="1:22" x14ac:dyDescent="0.25">
      <c r="A156" s="1">
        <v>0.95920000000000005</v>
      </c>
      <c r="B156" s="9" t="s">
        <v>4651</v>
      </c>
      <c r="C156" s="2">
        <v>4867</v>
      </c>
      <c r="D156" s="3" t="s">
        <v>702</v>
      </c>
      <c r="E156" s="9" t="s">
        <v>414</v>
      </c>
      <c r="F156" s="9" t="s">
        <v>415</v>
      </c>
      <c r="G156" s="1">
        <v>1348.7424000000001</v>
      </c>
      <c r="H156" s="2">
        <v>559</v>
      </c>
      <c r="I156" s="2">
        <v>2</v>
      </c>
      <c r="J156" s="1">
        <v>1348.7511</v>
      </c>
      <c r="K156" s="1">
        <v>675.37850000000003</v>
      </c>
      <c r="L156" s="9" t="s">
        <v>416</v>
      </c>
      <c r="M156" s="2">
        <v>8.59</v>
      </c>
      <c r="N156" s="4">
        <v>7273.09</v>
      </c>
      <c r="O156" s="1">
        <v>6.4408328070852114</v>
      </c>
      <c r="P156" s="6">
        <v>40.9</v>
      </c>
      <c r="Q156" s="6">
        <v>31.6</v>
      </c>
      <c r="R156" s="6">
        <v>12</v>
      </c>
      <c r="S156" s="6">
        <v>12.4</v>
      </c>
      <c r="T156" s="5">
        <v>0.21</v>
      </c>
      <c r="U156" s="1">
        <v>8.6999999999999994E-3</v>
      </c>
      <c r="V156" s="1">
        <v>2.2498</v>
      </c>
    </row>
    <row r="157" spans="1:22" x14ac:dyDescent="0.25">
      <c r="A157" s="1">
        <v>0.99670000000000003</v>
      </c>
      <c r="B157" s="9" t="s">
        <v>4652</v>
      </c>
      <c r="C157" s="2">
        <v>4883</v>
      </c>
      <c r="D157" s="3" t="s">
        <v>302</v>
      </c>
      <c r="E157" s="9" t="s">
        <v>414</v>
      </c>
      <c r="F157" s="9" t="s">
        <v>415</v>
      </c>
      <c r="G157" s="1">
        <v>1348.7424000000001</v>
      </c>
      <c r="H157" s="2">
        <v>284</v>
      </c>
      <c r="I157" s="2">
        <v>2</v>
      </c>
      <c r="J157" s="1">
        <v>1348.7476999999999</v>
      </c>
      <c r="K157" s="1">
        <v>675.37850000000003</v>
      </c>
      <c r="L157" s="9" t="s">
        <v>416</v>
      </c>
      <c r="M157" s="2">
        <v>8.59</v>
      </c>
      <c r="N157" s="4">
        <v>7296.89</v>
      </c>
      <c r="O157" s="1">
        <v>3.9237257330519109</v>
      </c>
      <c r="P157" s="6">
        <v>39.299999999999997</v>
      </c>
      <c r="Q157" s="6">
        <v>25.5</v>
      </c>
      <c r="R157" s="6">
        <v>11.7</v>
      </c>
      <c r="S157" s="6">
        <v>11.9</v>
      </c>
      <c r="T157" s="5">
        <v>2.3E-2</v>
      </c>
      <c r="U157" s="1">
        <v>5.3E-3</v>
      </c>
      <c r="V157" s="1">
        <v>3.9138000000000002</v>
      </c>
    </row>
    <row r="158" spans="1:22" x14ac:dyDescent="0.25">
      <c r="A158" s="1">
        <v>0.99080000000000001</v>
      </c>
      <c r="B158" s="9" t="s">
        <v>4653</v>
      </c>
      <c r="C158" s="2">
        <v>4938</v>
      </c>
      <c r="D158" s="3" t="s">
        <v>78</v>
      </c>
      <c r="E158" s="9" t="s">
        <v>2266</v>
      </c>
      <c r="F158" s="9" t="s">
        <v>4654</v>
      </c>
      <c r="G158" s="1">
        <v>1287.6126999999999</v>
      </c>
      <c r="H158" s="2">
        <v>557</v>
      </c>
      <c r="I158" s="2">
        <v>2</v>
      </c>
      <c r="J158" s="1">
        <v>1287.6359</v>
      </c>
      <c r="K158" s="1">
        <v>644.81359999999995</v>
      </c>
      <c r="L158" s="9" t="s">
        <v>2161</v>
      </c>
      <c r="M158" s="2">
        <v>4.43</v>
      </c>
      <c r="N158" s="4">
        <v>7396.3</v>
      </c>
      <c r="O158" s="1">
        <v>17.989695006432868</v>
      </c>
      <c r="P158" s="6">
        <v>38.5</v>
      </c>
      <c r="Q158" s="6">
        <v>28</v>
      </c>
      <c r="R158" s="6">
        <v>11.7</v>
      </c>
      <c r="S158" s="6">
        <v>10.199999999999999</v>
      </c>
      <c r="T158" s="5">
        <v>2.5000000000000001E-2</v>
      </c>
      <c r="U158" s="1">
        <v>2.3199999999999998E-2</v>
      </c>
      <c r="V158" s="1">
        <v>3.6463000000000001</v>
      </c>
    </row>
    <row r="159" spans="1:22" x14ac:dyDescent="0.25">
      <c r="A159" s="1">
        <v>0.9909</v>
      </c>
      <c r="B159" s="9" t="s">
        <v>4655</v>
      </c>
      <c r="C159" s="2">
        <v>4954</v>
      </c>
      <c r="D159" s="3" t="s">
        <v>343</v>
      </c>
      <c r="E159" s="9" t="s">
        <v>3372</v>
      </c>
      <c r="F159" s="9" t="s">
        <v>2488</v>
      </c>
      <c r="G159" s="1">
        <v>1297.674</v>
      </c>
      <c r="H159" s="2">
        <v>285</v>
      </c>
      <c r="I159" s="2">
        <v>2</v>
      </c>
      <c r="J159" s="1">
        <v>1297.6832999999999</v>
      </c>
      <c r="K159" s="1">
        <v>649.84429999999998</v>
      </c>
      <c r="L159" s="9" t="s">
        <v>2489</v>
      </c>
      <c r="M159" s="2">
        <v>6.25</v>
      </c>
      <c r="N159" s="4">
        <v>7420.8</v>
      </c>
      <c r="O159" s="1">
        <v>7.1555601857244877</v>
      </c>
      <c r="P159" s="6">
        <v>28.3</v>
      </c>
      <c r="Q159" s="6">
        <v>23</v>
      </c>
      <c r="R159" s="6">
        <v>6.9</v>
      </c>
      <c r="S159" s="6">
        <v>12.2</v>
      </c>
      <c r="T159" s="5">
        <v>2.3E-2</v>
      </c>
      <c r="U159" s="1">
        <v>9.2999999999999992E-3</v>
      </c>
      <c r="V159" s="1">
        <v>3.4106999999999998</v>
      </c>
    </row>
    <row r="160" spans="1:22" x14ac:dyDescent="0.25">
      <c r="A160" s="1">
        <v>0.98809999999999998</v>
      </c>
      <c r="B160" s="9" t="s">
        <v>4656</v>
      </c>
      <c r="C160" s="2">
        <v>4972</v>
      </c>
      <c r="D160" s="3" t="s">
        <v>214</v>
      </c>
      <c r="E160" s="9" t="s">
        <v>1493</v>
      </c>
      <c r="F160" s="9" t="s">
        <v>659</v>
      </c>
      <c r="G160" s="1">
        <v>1400.7697000000001</v>
      </c>
      <c r="H160" s="2">
        <v>819</v>
      </c>
      <c r="I160" s="2">
        <v>2</v>
      </c>
      <c r="J160" s="1">
        <v>1400.7697000000001</v>
      </c>
      <c r="K160" s="1">
        <v>701.39210000000003</v>
      </c>
      <c r="L160" s="9" t="s">
        <v>660</v>
      </c>
      <c r="M160" s="2">
        <v>5.96</v>
      </c>
      <c r="N160" s="4">
        <v>7448.75</v>
      </c>
      <c r="O160" s="1">
        <v>0</v>
      </c>
      <c r="P160" s="6">
        <v>52.6</v>
      </c>
      <c r="Q160" s="6">
        <v>37.9</v>
      </c>
      <c r="R160" s="6">
        <v>9.4</v>
      </c>
      <c r="S160" s="6">
        <v>11.5</v>
      </c>
      <c r="T160" s="5">
        <v>4.2999999999999997E-2</v>
      </c>
      <c r="U160" s="1">
        <v>0</v>
      </c>
      <c r="V160" s="1">
        <v>3.2662</v>
      </c>
    </row>
    <row r="161" spans="1:22" x14ac:dyDescent="0.25">
      <c r="A161" s="1">
        <v>0.99870000000000003</v>
      </c>
      <c r="B161" s="9" t="s">
        <v>4657</v>
      </c>
      <c r="C161" s="2">
        <v>4974</v>
      </c>
      <c r="D161" s="3" t="s">
        <v>69</v>
      </c>
      <c r="E161" s="9" t="s">
        <v>3372</v>
      </c>
      <c r="F161" s="9" t="s">
        <v>2488</v>
      </c>
      <c r="G161" s="1">
        <v>1297.674</v>
      </c>
      <c r="H161" s="2">
        <v>632</v>
      </c>
      <c r="I161" s="2">
        <v>2</v>
      </c>
      <c r="J161" s="1">
        <v>1297.6826000000001</v>
      </c>
      <c r="K161" s="1">
        <v>649.84429999999998</v>
      </c>
      <c r="L161" s="9" t="s">
        <v>2489</v>
      </c>
      <c r="M161" s="2">
        <v>6.25</v>
      </c>
      <c r="N161" s="4">
        <v>7454.1</v>
      </c>
      <c r="O161" s="1">
        <v>6.6169696341108173</v>
      </c>
      <c r="P161" s="6">
        <v>44.1</v>
      </c>
      <c r="Q161" s="6">
        <v>34.299999999999997</v>
      </c>
      <c r="R161" s="6">
        <v>6.8</v>
      </c>
      <c r="S161" s="6">
        <v>12.4</v>
      </c>
      <c r="T161" s="5">
        <v>1.5E-3</v>
      </c>
      <c r="U161" s="1">
        <v>8.6E-3</v>
      </c>
      <c r="V161" s="1">
        <v>5.0530999999999997</v>
      </c>
    </row>
    <row r="162" spans="1:22" x14ac:dyDescent="0.25">
      <c r="A162" s="1">
        <v>0.99990000000000001</v>
      </c>
      <c r="B162" s="9" t="s">
        <v>4658</v>
      </c>
      <c r="C162" s="2">
        <v>4991</v>
      </c>
      <c r="D162" s="3" t="s">
        <v>220</v>
      </c>
      <c r="E162" s="9" t="s">
        <v>1493</v>
      </c>
      <c r="F162" s="9" t="s">
        <v>659</v>
      </c>
      <c r="G162" s="1">
        <v>1400.7697000000001</v>
      </c>
      <c r="H162" s="2">
        <v>715</v>
      </c>
      <c r="I162" s="2">
        <v>2</v>
      </c>
      <c r="J162" s="1">
        <v>1400.7809</v>
      </c>
      <c r="K162" s="1">
        <v>701.39210000000003</v>
      </c>
      <c r="L162" s="9" t="s">
        <v>660</v>
      </c>
      <c r="M162" s="2">
        <v>5.96</v>
      </c>
      <c r="N162" s="4">
        <v>7481.9</v>
      </c>
      <c r="O162" s="1">
        <v>7.9841218627925805</v>
      </c>
      <c r="P162" s="6">
        <v>57.7</v>
      </c>
      <c r="Q162" s="6">
        <v>30.1</v>
      </c>
      <c r="R162" s="6">
        <v>10.1</v>
      </c>
      <c r="S162" s="6">
        <v>12</v>
      </c>
      <c r="T162" s="5">
        <v>1.2E-5</v>
      </c>
      <c r="U162" s="1">
        <v>1.12E-2</v>
      </c>
      <c r="V162" s="1">
        <v>8.1737000000000002</v>
      </c>
    </row>
    <row r="163" spans="1:22" x14ac:dyDescent="0.25">
      <c r="A163" s="1">
        <v>0.98839999999999995</v>
      </c>
      <c r="B163" s="9" t="s">
        <v>4659</v>
      </c>
      <c r="C163" s="2">
        <v>5003</v>
      </c>
      <c r="D163" s="3" t="s">
        <v>141</v>
      </c>
      <c r="E163" s="9" t="s">
        <v>467</v>
      </c>
      <c r="F163" s="9" t="s">
        <v>391</v>
      </c>
      <c r="G163" s="1">
        <v>1351.6992</v>
      </c>
      <c r="H163" s="2">
        <v>465</v>
      </c>
      <c r="I163" s="2">
        <v>2</v>
      </c>
      <c r="J163" s="1">
        <v>1351.6917000000001</v>
      </c>
      <c r="K163" s="1">
        <v>676.8569</v>
      </c>
      <c r="L163" s="9" t="s">
        <v>364</v>
      </c>
      <c r="M163" s="2">
        <v>6.74</v>
      </c>
      <c r="N163" s="4">
        <v>7500</v>
      </c>
      <c r="O163" s="1">
        <v>-5.5403143559591399</v>
      </c>
      <c r="P163" s="6">
        <v>46.7</v>
      </c>
      <c r="Q163" s="6">
        <v>42</v>
      </c>
      <c r="R163" s="6">
        <v>12.1</v>
      </c>
      <c r="S163" s="6">
        <v>11.5</v>
      </c>
      <c r="T163" s="5">
        <v>2.2000000000000001E-3</v>
      </c>
      <c r="U163" s="1">
        <v>-7.4999999999999997E-3</v>
      </c>
      <c r="V163" s="1">
        <v>3.8376000000000001</v>
      </c>
    </row>
    <row r="164" spans="1:22" x14ac:dyDescent="0.25">
      <c r="A164" s="1">
        <v>0.99839999999999995</v>
      </c>
      <c r="B164" s="9" t="s">
        <v>4660</v>
      </c>
      <c r="C164" s="2">
        <v>5023</v>
      </c>
      <c r="D164" s="3" t="s">
        <v>93</v>
      </c>
      <c r="E164" s="9" t="s">
        <v>467</v>
      </c>
      <c r="F164" s="9" t="s">
        <v>391</v>
      </c>
      <c r="G164" s="1">
        <v>1351.6992</v>
      </c>
      <c r="H164" s="2">
        <v>608</v>
      </c>
      <c r="I164" s="2">
        <v>2</v>
      </c>
      <c r="J164" s="1">
        <v>1351.7082</v>
      </c>
      <c r="K164" s="1">
        <v>676.8569</v>
      </c>
      <c r="L164" s="9" t="s">
        <v>364</v>
      </c>
      <c r="M164" s="2">
        <v>6.74</v>
      </c>
      <c r="N164" s="4">
        <v>7538.3</v>
      </c>
      <c r="O164" s="1">
        <v>6.6483772271509674</v>
      </c>
      <c r="P164" s="6">
        <v>51.6</v>
      </c>
      <c r="Q164" s="6">
        <v>41.9</v>
      </c>
      <c r="R164" s="6">
        <v>12.1</v>
      </c>
      <c r="S164" s="6">
        <v>11.2</v>
      </c>
      <c r="T164" s="5">
        <v>1.1999999999999999E-3</v>
      </c>
      <c r="U164" s="1">
        <v>8.9999999999999993E-3</v>
      </c>
      <c r="V164" s="1">
        <v>4.5513000000000003</v>
      </c>
    </row>
    <row r="165" spans="1:22" x14ac:dyDescent="0.25">
      <c r="A165" s="1">
        <v>0.99790000000000001</v>
      </c>
      <c r="B165" s="9" t="s">
        <v>4661</v>
      </c>
      <c r="C165" s="2">
        <v>5041</v>
      </c>
      <c r="D165" s="3" t="s">
        <v>93</v>
      </c>
      <c r="E165" s="9" t="s">
        <v>467</v>
      </c>
      <c r="F165" s="9" t="s">
        <v>391</v>
      </c>
      <c r="G165" s="1">
        <v>1351.6986999999999</v>
      </c>
      <c r="H165" s="2">
        <v>466</v>
      </c>
      <c r="I165" s="2">
        <v>2</v>
      </c>
      <c r="J165" s="1">
        <v>1351.7098000000001</v>
      </c>
      <c r="K165" s="1">
        <v>676.85659999999996</v>
      </c>
      <c r="L165" s="9" t="s">
        <v>364</v>
      </c>
      <c r="M165" s="2">
        <v>6.74</v>
      </c>
      <c r="N165" s="4">
        <v>7567.01</v>
      </c>
      <c r="O165" s="1">
        <v>8.1996688811189866</v>
      </c>
      <c r="P165" s="6">
        <v>50.6</v>
      </c>
      <c r="Q165" s="6">
        <v>40.299999999999997</v>
      </c>
      <c r="R165" s="6">
        <v>11.8</v>
      </c>
      <c r="S165" s="6">
        <v>11.6</v>
      </c>
      <c r="T165" s="5">
        <v>2.3999999999999998E-3</v>
      </c>
      <c r="U165" s="1">
        <v>1.11E-2</v>
      </c>
      <c r="V165" s="1">
        <v>4.2920999999999996</v>
      </c>
    </row>
    <row r="166" spans="1:22" x14ac:dyDescent="0.25">
      <c r="A166" s="1">
        <v>0.99909999999999999</v>
      </c>
      <c r="B166" s="9" t="s">
        <v>4662</v>
      </c>
      <c r="C166" s="2">
        <v>5077</v>
      </c>
      <c r="D166" s="3" t="s">
        <v>115</v>
      </c>
      <c r="E166" s="9" t="s">
        <v>494</v>
      </c>
      <c r="F166" s="9" t="s">
        <v>495</v>
      </c>
      <c r="G166" s="1">
        <v>1368.7327</v>
      </c>
      <c r="H166" s="2">
        <v>467</v>
      </c>
      <c r="I166" s="2">
        <v>2</v>
      </c>
      <c r="J166" s="1">
        <v>1368.7444</v>
      </c>
      <c r="K166" s="1">
        <v>685.37360000000001</v>
      </c>
      <c r="L166" s="9" t="s">
        <v>157</v>
      </c>
      <c r="M166" s="2">
        <v>4.75</v>
      </c>
      <c r="N166" s="4">
        <v>7624.75</v>
      </c>
      <c r="O166" s="1">
        <v>8.5354907163042171</v>
      </c>
      <c r="P166" s="6">
        <v>46.1</v>
      </c>
      <c r="Q166" s="6">
        <v>31.8</v>
      </c>
      <c r="R166" s="6">
        <v>12</v>
      </c>
      <c r="S166" s="6">
        <v>10</v>
      </c>
      <c r="T166" s="5">
        <v>6.3000000000000003E-4</v>
      </c>
      <c r="U166" s="1">
        <v>1.17E-2</v>
      </c>
      <c r="V166" s="1">
        <v>5.0468999999999999</v>
      </c>
    </row>
    <row r="167" spans="1:22" x14ac:dyDescent="0.25">
      <c r="A167" s="1">
        <v>0.99980000000000002</v>
      </c>
      <c r="B167" s="9" t="s">
        <v>4663</v>
      </c>
      <c r="C167" s="2">
        <v>5096</v>
      </c>
      <c r="D167" s="3" t="s">
        <v>1544</v>
      </c>
      <c r="E167" s="9" t="s">
        <v>494</v>
      </c>
      <c r="F167" s="9" t="s">
        <v>495</v>
      </c>
      <c r="G167" s="1">
        <v>1368.7322999999999</v>
      </c>
      <c r="H167" s="2">
        <v>469</v>
      </c>
      <c r="I167" s="2">
        <v>2</v>
      </c>
      <c r="J167" s="1">
        <v>1368.7392</v>
      </c>
      <c r="K167" s="1">
        <v>685.37339999999995</v>
      </c>
      <c r="L167" s="9" t="s">
        <v>157</v>
      </c>
      <c r="M167" s="2">
        <v>4.75</v>
      </c>
      <c r="N167" s="4">
        <v>7656.71</v>
      </c>
      <c r="O167" s="1">
        <v>5.0337524041639199</v>
      </c>
      <c r="P167" s="6">
        <v>53.7</v>
      </c>
      <c r="Q167" s="6">
        <v>33.4</v>
      </c>
      <c r="R167" s="6">
        <v>12.3</v>
      </c>
      <c r="S167" s="6">
        <v>11.2</v>
      </c>
      <c r="T167" s="5">
        <v>3.8999999999999999E-5</v>
      </c>
      <c r="U167" s="1">
        <v>6.8999999999999999E-3</v>
      </c>
      <c r="V167" s="1">
        <v>6.5826000000000002</v>
      </c>
    </row>
    <row r="168" spans="1:22" x14ac:dyDescent="0.25">
      <c r="A168" s="1">
        <v>0.99970000000000003</v>
      </c>
      <c r="B168" s="9" t="s">
        <v>4664</v>
      </c>
      <c r="C168" s="2">
        <v>5118</v>
      </c>
      <c r="D168" s="3" t="s">
        <v>115</v>
      </c>
      <c r="E168" s="9" t="s">
        <v>494</v>
      </c>
      <c r="F168" s="9" t="s">
        <v>495</v>
      </c>
      <c r="G168" s="1">
        <v>1368.7322999999999</v>
      </c>
      <c r="H168" s="2">
        <v>560</v>
      </c>
      <c r="I168" s="2">
        <v>2</v>
      </c>
      <c r="J168" s="1">
        <v>1368.7409</v>
      </c>
      <c r="K168" s="1">
        <v>685.37339999999995</v>
      </c>
      <c r="L168" s="9" t="s">
        <v>157</v>
      </c>
      <c r="M168" s="2">
        <v>4.75</v>
      </c>
      <c r="N168" s="4">
        <v>7689.15</v>
      </c>
      <c r="O168" s="1">
        <v>6.2739522718564809</v>
      </c>
      <c r="P168" s="6">
        <v>45.9</v>
      </c>
      <c r="Q168" s="6">
        <v>33.200000000000003</v>
      </c>
      <c r="R168" s="6">
        <v>12</v>
      </c>
      <c r="S168" s="6">
        <v>10.7</v>
      </c>
      <c r="T168" s="5">
        <v>3.4E-5</v>
      </c>
      <c r="U168" s="1">
        <v>8.6E-3</v>
      </c>
      <c r="V168" s="1">
        <v>6.1936999999999998</v>
      </c>
    </row>
    <row r="169" spans="1:22" x14ac:dyDescent="0.25">
      <c r="A169" s="1">
        <v>0.99919999999999998</v>
      </c>
      <c r="B169" s="9" t="s">
        <v>4665</v>
      </c>
      <c r="C169" s="2">
        <v>5140</v>
      </c>
      <c r="D169" s="3" t="s">
        <v>115</v>
      </c>
      <c r="E169" s="9" t="s">
        <v>494</v>
      </c>
      <c r="F169" s="9" t="s">
        <v>495</v>
      </c>
      <c r="G169" s="1">
        <v>1368.7322999999999</v>
      </c>
      <c r="H169" s="2">
        <v>471</v>
      </c>
      <c r="I169" s="2">
        <v>2</v>
      </c>
      <c r="J169" s="1">
        <v>1368.7420999999999</v>
      </c>
      <c r="K169" s="1">
        <v>685.37339999999995</v>
      </c>
      <c r="L169" s="9" t="s">
        <v>157</v>
      </c>
      <c r="M169" s="2">
        <v>4.75</v>
      </c>
      <c r="N169" s="4">
        <v>7719.46</v>
      </c>
      <c r="O169" s="1">
        <v>7.1493874725806403</v>
      </c>
      <c r="P169" s="6">
        <v>45.8</v>
      </c>
      <c r="Q169" s="6">
        <v>33.200000000000003</v>
      </c>
      <c r="R169" s="6">
        <v>12</v>
      </c>
      <c r="S169" s="6">
        <v>10.199999999999999</v>
      </c>
      <c r="T169" s="5">
        <v>2.9E-4</v>
      </c>
      <c r="U169" s="1">
        <v>9.7999999999999997E-3</v>
      </c>
      <c r="V169" s="1">
        <v>5.2355</v>
      </c>
    </row>
    <row r="170" spans="1:22" x14ac:dyDescent="0.25">
      <c r="A170" s="1">
        <v>0.99929999999999997</v>
      </c>
      <c r="B170" s="9" t="s">
        <v>4666</v>
      </c>
      <c r="C170" s="2">
        <v>5165</v>
      </c>
      <c r="D170" s="3" t="s">
        <v>280</v>
      </c>
      <c r="E170" s="9" t="s">
        <v>494</v>
      </c>
      <c r="F170" s="9" t="s">
        <v>495</v>
      </c>
      <c r="G170" s="1">
        <v>1368.7322999999999</v>
      </c>
      <c r="H170" s="2">
        <v>472</v>
      </c>
      <c r="I170" s="2">
        <v>2</v>
      </c>
      <c r="J170" s="1">
        <v>1368.7383</v>
      </c>
      <c r="K170" s="1">
        <v>685.37339999999995</v>
      </c>
      <c r="L170" s="9" t="s">
        <v>157</v>
      </c>
      <c r="M170" s="2">
        <v>4.75</v>
      </c>
      <c r="N170" s="4">
        <v>7756.16</v>
      </c>
      <c r="O170" s="1">
        <v>4.3771760036208001</v>
      </c>
      <c r="P170" s="6">
        <v>42.2</v>
      </c>
      <c r="Q170" s="6">
        <v>28.8</v>
      </c>
      <c r="R170" s="6">
        <v>12</v>
      </c>
      <c r="S170" s="6">
        <v>9.6</v>
      </c>
      <c r="T170" s="5">
        <v>3.1E-4</v>
      </c>
      <c r="U170" s="1">
        <v>6.0000000000000001E-3</v>
      </c>
      <c r="V170" s="1">
        <v>5.3941999999999997</v>
      </c>
    </row>
    <row r="171" spans="1:22" x14ac:dyDescent="0.25">
      <c r="A171" s="1">
        <v>0.99990000000000001</v>
      </c>
      <c r="B171" s="9" t="s">
        <v>4667</v>
      </c>
      <c r="C171" s="2">
        <v>5240</v>
      </c>
      <c r="D171" s="3" t="s">
        <v>1321</v>
      </c>
      <c r="E171" s="9" t="s">
        <v>998</v>
      </c>
      <c r="F171" s="9" t="s">
        <v>1522</v>
      </c>
      <c r="G171" s="1">
        <v>1773.9947</v>
      </c>
      <c r="H171" s="2">
        <v>650</v>
      </c>
      <c r="I171" s="2">
        <v>2</v>
      </c>
      <c r="J171" s="1">
        <v>1774.0056999999999</v>
      </c>
      <c r="K171" s="1">
        <v>888.00459999999998</v>
      </c>
      <c r="L171" s="9" t="s">
        <v>603</v>
      </c>
      <c r="M171" s="2">
        <v>4.8499999999999996</v>
      </c>
      <c r="N171" s="4">
        <v>7870.07</v>
      </c>
      <c r="O171" s="1">
        <v>6.1936616094105821</v>
      </c>
      <c r="P171" s="6">
        <v>51.2</v>
      </c>
      <c r="Q171" s="6">
        <v>28.4</v>
      </c>
      <c r="R171" s="6">
        <v>11.9</v>
      </c>
      <c r="S171" s="6">
        <v>13.9</v>
      </c>
      <c r="T171" s="5">
        <v>1.9000000000000001E-7</v>
      </c>
      <c r="U171" s="1">
        <v>1.0999999999999999E-2</v>
      </c>
      <c r="V171" s="1">
        <v>8.6332000000000004</v>
      </c>
    </row>
    <row r="172" spans="1:22" x14ac:dyDescent="0.25">
      <c r="A172" s="1">
        <v>0.99980000000000002</v>
      </c>
      <c r="B172" s="9" t="s">
        <v>4668</v>
      </c>
      <c r="C172" s="2">
        <v>5258</v>
      </c>
      <c r="D172" s="3" t="s">
        <v>1321</v>
      </c>
      <c r="E172" s="9" t="s">
        <v>998</v>
      </c>
      <c r="F172" s="9" t="s">
        <v>1522</v>
      </c>
      <c r="G172" s="1">
        <v>1773.9949999999999</v>
      </c>
      <c r="H172" s="2">
        <v>473</v>
      </c>
      <c r="I172" s="2">
        <v>2</v>
      </c>
      <c r="J172" s="1">
        <v>1774.0012999999999</v>
      </c>
      <c r="K172" s="1">
        <v>888.00480000000005</v>
      </c>
      <c r="L172" s="9" t="s">
        <v>603</v>
      </c>
      <c r="M172" s="2">
        <v>4.8499999999999996</v>
      </c>
      <c r="N172" s="4">
        <v>7898.07</v>
      </c>
      <c r="O172" s="1">
        <v>3.5472781228209573</v>
      </c>
      <c r="P172" s="6">
        <v>51</v>
      </c>
      <c r="Q172" s="6">
        <v>25.2</v>
      </c>
      <c r="R172" s="6">
        <v>11.3</v>
      </c>
      <c r="S172" s="6">
        <v>13.7</v>
      </c>
      <c r="T172" s="5">
        <v>1.8E-7</v>
      </c>
      <c r="U172" s="1">
        <v>6.3E-3</v>
      </c>
      <c r="V172" s="1">
        <v>8.9056999999999995</v>
      </c>
    </row>
    <row r="173" spans="1:22" x14ac:dyDescent="0.25">
      <c r="A173" s="1">
        <v>1</v>
      </c>
      <c r="B173" s="9" t="s">
        <v>4669</v>
      </c>
      <c r="C173" s="2">
        <v>5296</v>
      </c>
      <c r="D173" s="3" t="s">
        <v>1488</v>
      </c>
      <c r="E173" s="9" t="s">
        <v>3584</v>
      </c>
      <c r="F173" s="9" t="s">
        <v>3585</v>
      </c>
      <c r="G173" s="1">
        <v>1859.059</v>
      </c>
      <c r="H173" s="2">
        <v>627</v>
      </c>
      <c r="I173" s="2">
        <v>2</v>
      </c>
      <c r="J173" s="1">
        <v>1859.0578</v>
      </c>
      <c r="K173" s="1">
        <v>930.53679999999997</v>
      </c>
      <c r="L173" s="9" t="s">
        <v>3586</v>
      </c>
      <c r="M173" s="2">
        <v>8.5</v>
      </c>
      <c r="N173" s="4">
        <v>7957.27</v>
      </c>
      <c r="O173" s="1">
        <v>-0.64478911527195915</v>
      </c>
      <c r="P173" s="6">
        <v>54.3</v>
      </c>
      <c r="Q173" s="6">
        <v>24.7</v>
      </c>
      <c r="R173" s="6">
        <v>11.8</v>
      </c>
      <c r="S173" s="6">
        <v>10.7</v>
      </c>
      <c r="T173" s="5">
        <v>4.0000000000000001E-8</v>
      </c>
      <c r="U173" s="1">
        <v>-1.1999999999999999E-3</v>
      </c>
      <c r="V173" s="1">
        <v>9.6891999999999996</v>
      </c>
    </row>
    <row r="174" spans="1:22" x14ac:dyDescent="0.25">
      <c r="A174" s="1">
        <v>0.96360000000000001</v>
      </c>
      <c r="B174" s="9" t="s">
        <v>4670</v>
      </c>
      <c r="C174" s="2">
        <v>5306</v>
      </c>
      <c r="D174" s="3" t="s">
        <v>326</v>
      </c>
      <c r="E174" s="9" t="s">
        <v>1003</v>
      </c>
      <c r="F174" s="9" t="s">
        <v>1004</v>
      </c>
      <c r="G174" s="1">
        <v>1346.7380000000001</v>
      </c>
      <c r="H174" s="2">
        <v>475</v>
      </c>
      <c r="I174" s="2">
        <v>2</v>
      </c>
      <c r="J174" s="1">
        <v>1346.7448999999999</v>
      </c>
      <c r="K174" s="1">
        <v>674.37630000000001</v>
      </c>
      <c r="L174" s="9" t="s">
        <v>1005</v>
      </c>
      <c r="M174" s="2">
        <v>8.75</v>
      </c>
      <c r="N174" s="4">
        <v>7971.12</v>
      </c>
      <c r="O174" s="1">
        <v>5.1158381455576061</v>
      </c>
      <c r="P174" s="6">
        <v>40.200000000000003</v>
      </c>
      <c r="Q174" s="6">
        <v>33.299999999999997</v>
      </c>
      <c r="R174" s="6">
        <v>9.3000000000000007</v>
      </c>
      <c r="S174" s="6">
        <v>9.4</v>
      </c>
      <c r="T174" s="5">
        <v>0.17</v>
      </c>
      <c r="U174" s="1">
        <v>6.8999999999999999E-3</v>
      </c>
      <c r="V174" s="1">
        <v>2.165</v>
      </c>
    </row>
    <row r="175" spans="1:22" x14ac:dyDescent="0.25">
      <c r="A175" s="1">
        <v>0.98899999999999999</v>
      </c>
      <c r="B175" s="9" t="s">
        <v>4671</v>
      </c>
      <c r="C175" s="2">
        <v>5362</v>
      </c>
      <c r="D175" s="3" t="s">
        <v>183</v>
      </c>
      <c r="E175" s="9" t="s">
        <v>4672</v>
      </c>
      <c r="F175" s="9" t="s">
        <v>4673</v>
      </c>
      <c r="G175" s="1">
        <v>1139.6775</v>
      </c>
      <c r="H175" s="2">
        <v>476</v>
      </c>
      <c r="I175" s="2">
        <v>2</v>
      </c>
      <c r="J175" s="1">
        <v>1139.6849999999999</v>
      </c>
      <c r="K175" s="1">
        <v>570.846</v>
      </c>
      <c r="L175" s="9" t="s">
        <v>4674</v>
      </c>
      <c r="M175" s="2">
        <v>12</v>
      </c>
      <c r="N175" s="4">
        <v>8062.33</v>
      </c>
      <c r="O175" s="1">
        <v>6.569197296643928</v>
      </c>
      <c r="P175" s="6">
        <v>27.3</v>
      </c>
      <c r="Q175" s="6">
        <v>21.1</v>
      </c>
      <c r="R175" s="6">
        <v>7</v>
      </c>
      <c r="S175" s="6">
        <v>5.4</v>
      </c>
      <c r="T175" s="5">
        <v>5.7000000000000002E-2</v>
      </c>
      <c r="U175" s="1">
        <v>7.4999999999999997E-3</v>
      </c>
      <c r="V175" s="1">
        <v>2.9984999999999999</v>
      </c>
    </row>
    <row r="176" spans="1:22" x14ac:dyDescent="0.25">
      <c r="A176" s="1">
        <v>0.99139999999999995</v>
      </c>
      <c r="B176" s="9" t="s">
        <v>4675</v>
      </c>
      <c r="C176" s="2">
        <v>5384</v>
      </c>
      <c r="D176" s="3" t="s">
        <v>1661</v>
      </c>
      <c r="E176" s="9" t="s">
        <v>1764</v>
      </c>
      <c r="F176" s="9" t="s">
        <v>1765</v>
      </c>
      <c r="G176" s="1">
        <v>1989.0757000000001</v>
      </c>
      <c r="H176" s="2">
        <v>596</v>
      </c>
      <c r="I176" s="2">
        <v>2</v>
      </c>
      <c r="J176" s="1">
        <v>1989.0776000000001</v>
      </c>
      <c r="K176" s="1">
        <v>995.54510000000005</v>
      </c>
      <c r="L176" s="9" t="s">
        <v>1766</v>
      </c>
      <c r="M176" s="2">
        <v>6.73</v>
      </c>
      <c r="N176" s="4">
        <v>8102.18</v>
      </c>
      <c r="O176" s="1">
        <v>0.95425109319507473</v>
      </c>
      <c r="P176" s="6">
        <v>34.5</v>
      </c>
      <c r="Q176" s="6">
        <v>23.2</v>
      </c>
      <c r="R176" s="6">
        <v>12.6</v>
      </c>
      <c r="S176" s="6">
        <v>10</v>
      </c>
      <c r="T176" s="5">
        <v>1.2999999999999999E-2</v>
      </c>
      <c r="U176" s="1">
        <v>1.9E-3</v>
      </c>
      <c r="V176" s="1">
        <v>3.2730000000000001</v>
      </c>
    </row>
    <row r="177" spans="1:22" x14ac:dyDescent="0.25">
      <c r="A177" s="1">
        <v>0.99990000000000001</v>
      </c>
      <c r="B177" s="9" t="s">
        <v>4676</v>
      </c>
      <c r="C177" s="2">
        <v>5406</v>
      </c>
      <c r="D177" s="3" t="s">
        <v>41</v>
      </c>
      <c r="E177" s="9" t="s">
        <v>2784</v>
      </c>
      <c r="F177" s="9" t="s">
        <v>2785</v>
      </c>
      <c r="G177" s="1">
        <v>1830.0283999999999</v>
      </c>
      <c r="H177" s="2">
        <v>599</v>
      </c>
      <c r="I177" s="2">
        <v>3</v>
      </c>
      <c r="J177" s="1">
        <v>1830.0262</v>
      </c>
      <c r="K177" s="1">
        <v>611.01670000000001</v>
      </c>
      <c r="L177" s="9" t="s">
        <v>2786</v>
      </c>
      <c r="M177" s="2">
        <v>8.59</v>
      </c>
      <c r="N177" s="4">
        <v>8138.88</v>
      </c>
      <c r="O177" s="1">
        <v>-1.2001854177362639</v>
      </c>
      <c r="P177" s="6">
        <v>37.5</v>
      </c>
      <c r="Q177" s="6">
        <v>22.9</v>
      </c>
      <c r="R177" s="6">
        <v>8</v>
      </c>
      <c r="S177" s="6">
        <v>10.9</v>
      </c>
      <c r="T177" s="5">
        <v>2.9E-5</v>
      </c>
      <c r="U177" s="1">
        <v>-2.2000000000000001E-3</v>
      </c>
      <c r="V177" s="1">
        <v>7.6059000000000001</v>
      </c>
    </row>
    <row r="178" spans="1:22" x14ac:dyDescent="0.25">
      <c r="A178" s="1">
        <v>0.995</v>
      </c>
      <c r="B178" s="9" t="s">
        <v>4677</v>
      </c>
      <c r="C178" s="2">
        <v>5421</v>
      </c>
      <c r="D178" s="3" t="s">
        <v>409</v>
      </c>
      <c r="E178" s="9" t="s">
        <v>4678</v>
      </c>
      <c r="F178" s="9" t="s">
        <v>4679</v>
      </c>
      <c r="G178" s="1">
        <v>2280.0147000000002</v>
      </c>
      <c r="H178" s="2">
        <v>834</v>
      </c>
      <c r="I178" s="2">
        <v>3</v>
      </c>
      <c r="J178" s="1">
        <v>2280.2258999999999</v>
      </c>
      <c r="K178" s="1">
        <v>761.01220000000001</v>
      </c>
      <c r="L178" s="9" t="s">
        <v>4680</v>
      </c>
      <c r="M178" s="2">
        <v>4.63</v>
      </c>
      <c r="N178" s="4">
        <v>8161.33</v>
      </c>
      <c r="O178" s="1">
        <v>92.508372401914187</v>
      </c>
      <c r="P178" s="6">
        <v>43.3</v>
      </c>
      <c r="Q178" s="6">
        <v>29.5</v>
      </c>
      <c r="R178" s="6">
        <v>11.1</v>
      </c>
      <c r="S178" s="6">
        <v>10.9</v>
      </c>
      <c r="T178" s="5">
        <v>2.7999999999999998E-4</v>
      </c>
      <c r="U178" s="1">
        <v>0.2112</v>
      </c>
      <c r="V178" s="1">
        <v>5.2838000000000003</v>
      </c>
    </row>
    <row r="179" spans="1:22" x14ac:dyDescent="0.25">
      <c r="A179" s="1">
        <v>0.99909999999999999</v>
      </c>
      <c r="B179" s="9" t="s">
        <v>4681</v>
      </c>
      <c r="C179" s="2">
        <v>5430</v>
      </c>
      <c r="D179" s="3" t="s">
        <v>370</v>
      </c>
      <c r="E179" s="9" t="s">
        <v>4682</v>
      </c>
      <c r="F179" s="9" t="s">
        <v>1613</v>
      </c>
      <c r="G179" s="1">
        <v>1422.6857</v>
      </c>
      <c r="H179" s="2">
        <v>693</v>
      </c>
      <c r="I179" s="2">
        <v>2</v>
      </c>
      <c r="J179" s="1">
        <v>1422.7038</v>
      </c>
      <c r="K179" s="1">
        <v>712.3501</v>
      </c>
      <c r="L179" s="9" t="s">
        <v>1606</v>
      </c>
      <c r="M179" s="2">
        <v>4.8499999999999996</v>
      </c>
      <c r="N179" s="4">
        <v>8177.78</v>
      </c>
      <c r="O179" s="1">
        <v>12.704427219144071</v>
      </c>
      <c r="P179" s="6">
        <v>42.5</v>
      </c>
      <c r="Q179" s="6">
        <v>31.9</v>
      </c>
      <c r="R179" s="6">
        <v>11.6</v>
      </c>
      <c r="S179" s="6">
        <v>11.4</v>
      </c>
      <c r="T179" s="5">
        <v>4.0999999999999999E-4</v>
      </c>
      <c r="U179" s="1">
        <v>1.8100000000000002E-2</v>
      </c>
      <c r="V179" s="1">
        <v>5.3658000000000001</v>
      </c>
    </row>
    <row r="180" spans="1:22" x14ac:dyDescent="0.25">
      <c r="A180" s="1">
        <v>0.97350000000000003</v>
      </c>
      <c r="B180" s="9" t="s">
        <v>4683</v>
      </c>
      <c r="C180" s="2">
        <v>5436</v>
      </c>
      <c r="D180" s="3" t="s">
        <v>621</v>
      </c>
      <c r="E180" s="9" t="s">
        <v>4672</v>
      </c>
      <c r="F180" s="9" t="s">
        <v>4673</v>
      </c>
      <c r="G180" s="1">
        <v>1139.6777</v>
      </c>
      <c r="H180" s="2">
        <v>614</v>
      </c>
      <c r="I180" s="2">
        <v>2</v>
      </c>
      <c r="J180" s="1">
        <v>1139.6928</v>
      </c>
      <c r="K180" s="1">
        <v>570.84609999999998</v>
      </c>
      <c r="L180" s="9" t="s">
        <v>4674</v>
      </c>
      <c r="M180" s="2">
        <v>12</v>
      </c>
      <c r="N180" s="4">
        <v>8188.48</v>
      </c>
      <c r="O180" s="1">
        <v>13.22598157366758</v>
      </c>
      <c r="P180" s="6">
        <v>31</v>
      </c>
      <c r="Q180" s="6">
        <v>24.3</v>
      </c>
      <c r="R180" s="6">
        <v>7.2</v>
      </c>
      <c r="S180" s="6">
        <v>6.6</v>
      </c>
      <c r="T180" s="5">
        <v>0.13</v>
      </c>
      <c r="U180" s="1">
        <v>1.5100000000000001E-2</v>
      </c>
      <c r="V180" s="1">
        <v>2.5257999999999998</v>
      </c>
    </row>
    <row r="181" spans="1:22" x14ac:dyDescent="0.25">
      <c r="A181" s="1">
        <v>0.99680000000000002</v>
      </c>
      <c r="B181" s="9" t="s">
        <v>4684</v>
      </c>
      <c r="C181" s="2">
        <v>5442</v>
      </c>
      <c r="D181" s="3" t="s">
        <v>1385</v>
      </c>
      <c r="E181" s="9" t="s">
        <v>3410</v>
      </c>
      <c r="F181" s="9" t="s">
        <v>3411</v>
      </c>
      <c r="G181" s="1">
        <v>2282.2917000000002</v>
      </c>
      <c r="H181" s="2">
        <v>623</v>
      </c>
      <c r="I181" s="2">
        <v>3</v>
      </c>
      <c r="J181" s="1">
        <v>2282.3135000000002</v>
      </c>
      <c r="K181" s="1">
        <v>761.77120000000002</v>
      </c>
      <c r="L181" s="9" t="s">
        <v>3412</v>
      </c>
      <c r="M181" s="2">
        <v>8.5</v>
      </c>
      <c r="N181" s="4">
        <v>8200.1299999999992</v>
      </c>
      <c r="O181" s="1">
        <v>9.5391722168896198</v>
      </c>
      <c r="P181" s="6">
        <v>43.5</v>
      </c>
      <c r="Q181" s="6">
        <v>26.4</v>
      </c>
      <c r="R181" s="6">
        <v>12.1</v>
      </c>
      <c r="S181" s="6">
        <v>9.6</v>
      </c>
      <c r="T181" s="5">
        <v>1.4E-3</v>
      </c>
      <c r="U181" s="1">
        <v>2.18E-2</v>
      </c>
      <c r="V181" s="1">
        <v>4.7835999999999999</v>
      </c>
    </row>
    <row r="182" spans="1:22" x14ac:dyDescent="0.25">
      <c r="A182" s="1">
        <v>0.99860000000000004</v>
      </c>
      <c r="B182" s="9" t="s">
        <v>4685</v>
      </c>
      <c r="C182" s="2">
        <v>5483</v>
      </c>
      <c r="D182" s="3" t="s">
        <v>280</v>
      </c>
      <c r="E182" s="9" t="s">
        <v>1572</v>
      </c>
      <c r="F182" s="9" t="s">
        <v>552</v>
      </c>
      <c r="G182" s="1">
        <v>1524.7759000000001</v>
      </c>
      <c r="H182" s="2">
        <v>936</v>
      </c>
      <c r="I182" s="2">
        <v>2</v>
      </c>
      <c r="J182" s="1">
        <v>1524.7855999999999</v>
      </c>
      <c r="K182" s="1">
        <v>763.39520000000005</v>
      </c>
      <c r="L182" s="9" t="s">
        <v>456</v>
      </c>
      <c r="M182" s="2">
        <v>6.74</v>
      </c>
      <c r="N182" s="4">
        <v>8275.7800000000007</v>
      </c>
      <c r="O182" s="1">
        <v>6.3531968762706397</v>
      </c>
      <c r="P182" s="6">
        <v>42.6</v>
      </c>
      <c r="Q182" s="6">
        <v>24.6</v>
      </c>
      <c r="R182" s="6">
        <v>9.9</v>
      </c>
      <c r="S182" s="6">
        <v>11.4</v>
      </c>
      <c r="T182" s="5">
        <v>2.1999999999999999E-5</v>
      </c>
      <c r="U182" s="1">
        <v>9.7000000000000003E-3</v>
      </c>
      <c r="V182" s="1">
        <v>7.0340999999999996</v>
      </c>
    </row>
    <row r="183" spans="1:22" x14ac:dyDescent="0.25">
      <c r="A183" s="1">
        <v>0.99980000000000002</v>
      </c>
      <c r="B183" s="9" t="s">
        <v>4686</v>
      </c>
      <c r="C183" s="2">
        <v>5485</v>
      </c>
      <c r="D183" s="3" t="s">
        <v>270</v>
      </c>
      <c r="E183" s="9" t="s">
        <v>4687</v>
      </c>
      <c r="F183" s="9" t="s">
        <v>934</v>
      </c>
      <c r="G183" s="1">
        <v>1635.9018000000001</v>
      </c>
      <c r="H183" s="2">
        <v>482</v>
      </c>
      <c r="I183" s="2">
        <v>2</v>
      </c>
      <c r="J183" s="1">
        <v>1635.904</v>
      </c>
      <c r="K183" s="1">
        <v>818.95820000000003</v>
      </c>
      <c r="L183" s="9" t="s">
        <v>935</v>
      </c>
      <c r="M183" s="2">
        <v>6.76</v>
      </c>
      <c r="N183" s="4">
        <v>8276.83</v>
      </c>
      <c r="O183" s="1">
        <v>1.3431698956063938</v>
      </c>
      <c r="P183" s="6">
        <v>41.9</v>
      </c>
      <c r="Q183" s="6">
        <v>27.9</v>
      </c>
      <c r="R183" s="6">
        <v>10.9</v>
      </c>
      <c r="S183" s="6">
        <v>8.6999999999999993</v>
      </c>
      <c r="T183" s="5">
        <v>9.3000000000000007E-6</v>
      </c>
      <c r="U183" s="1">
        <v>2.2000000000000001E-3</v>
      </c>
      <c r="V183" s="1">
        <v>6.7830000000000004</v>
      </c>
    </row>
    <row r="184" spans="1:22" x14ac:dyDescent="0.25">
      <c r="A184" s="1">
        <v>0.96240000000000003</v>
      </c>
      <c r="B184" s="9" t="s">
        <v>4688</v>
      </c>
      <c r="C184" s="2">
        <v>5534</v>
      </c>
      <c r="D184" s="3" t="s">
        <v>115</v>
      </c>
      <c r="E184" s="9" t="s">
        <v>614</v>
      </c>
      <c r="F184" s="9" t="s">
        <v>615</v>
      </c>
      <c r="G184" s="1">
        <v>1639.9483</v>
      </c>
      <c r="H184" s="2">
        <v>838</v>
      </c>
      <c r="I184" s="2">
        <v>2</v>
      </c>
      <c r="J184" s="1">
        <v>1639.9568999999999</v>
      </c>
      <c r="K184" s="1">
        <v>820.98140000000001</v>
      </c>
      <c r="L184" s="9" t="s">
        <v>616</v>
      </c>
      <c r="M184" s="2">
        <v>10</v>
      </c>
      <c r="N184" s="4">
        <v>8347.89</v>
      </c>
      <c r="O184" s="1">
        <v>5.2376338854936302</v>
      </c>
      <c r="P184" s="6">
        <v>45.9</v>
      </c>
      <c r="Q184" s="6">
        <v>34.9</v>
      </c>
      <c r="R184" s="6">
        <v>12.4</v>
      </c>
      <c r="S184" s="6">
        <v>9.5</v>
      </c>
      <c r="T184" s="5">
        <v>2.7000000000000001E-3</v>
      </c>
      <c r="U184" s="1">
        <v>8.6E-3</v>
      </c>
      <c r="V184" s="1">
        <v>4.0880999999999998</v>
      </c>
    </row>
    <row r="185" spans="1:22" x14ac:dyDescent="0.25">
      <c r="A185" s="1">
        <v>0.99809999999999999</v>
      </c>
      <c r="B185" s="9" t="s">
        <v>4689</v>
      </c>
      <c r="C185" s="2">
        <v>5544</v>
      </c>
      <c r="D185" s="3" t="s">
        <v>326</v>
      </c>
      <c r="E185" s="9" t="s">
        <v>1036</v>
      </c>
      <c r="F185" s="9" t="s">
        <v>944</v>
      </c>
      <c r="G185" s="1">
        <v>1204.6157000000001</v>
      </c>
      <c r="H185" s="2">
        <v>697</v>
      </c>
      <c r="I185" s="2">
        <v>2</v>
      </c>
      <c r="J185" s="1">
        <v>1204.6288999999999</v>
      </c>
      <c r="K185" s="1">
        <v>603.31510000000003</v>
      </c>
      <c r="L185" s="9" t="s">
        <v>945</v>
      </c>
      <c r="M185" s="2">
        <v>6.19</v>
      </c>
      <c r="N185" s="4">
        <v>8372.39</v>
      </c>
      <c r="O185" s="1">
        <v>10.93955712363241</v>
      </c>
      <c r="P185" s="6">
        <v>39.1</v>
      </c>
      <c r="Q185" s="6">
        <v>25.6</v>
      </c>
      <c r="R185" s="6">
        <v>6.2</v>
      </c>
      <c r="S185" s="6">
        <v>8.9</v>
      </c>
      <c r="T185" s="5">
        <v>1.2E-2</v>
      </c>
      <c r="U185" s="1">
        <v>1.32E-2</v>
      </c>
      <c r="V185" s="1">
        <v>4.3846999999999996</v>
      </c>
    </row>
    <row r="186" spans="1:22" x14ac:dyDescent="0.25">
      <c r="A186" s="1">
        <v>0.99950000000000006</v>
      </c>
      <c r="B186" s="9" t="s">
        <v>4690</v>
      </c>
      <c r="C186" s="2">
        <v>5550</v>
      </c>
      <c r="D186" s="3" t="s">
        <v>1145</v>
      </c>
      <c r="E186" s="9" t="s">
        <v>4691</v>
      </c>
      <c r="F186" s="9" t="s">
        <v>3411</v>
      </c>
      <c r="G186" s="1">
        <v>1515.7607</v>
      </c>
      <c r="H186" s="2">
        <v>483</v>
      </c>
      <c r="I186" s="2">
        <v>2</v>
      </c>
      <c r="J186" s="1">
        <v>1515.7739999999999</v>
      </c>
      <c r="K186" s="1">
        <v>758.88760000000002</v>
      </c>
      <c r="L186" s="9" t="s">
        <v>3412</v>
      </c>
      <c r="M186" s="2">
        <v>6.09</v>
      </c>
      <c r="N186" s="4">
        <v>8377.64</v>
      </c>
      <c r="O186" s="1">
        <v>8.762826010070528</v>
      </c>
      <c r="P186" s="6">
        <v>47</v>
      </c>
      <c r="Q186" s="6">
        <v>28.6</v>
      </c>
      <c r="R186" s="6">
        <v>11.8</v>
      </c>
      <c r="S186" s="6">
        <v>10.199999999999999</v>
      </c>
      <c r="T186" s="5">
        <v>1.1E-4</v>
      </c>
      <c r="U186" s="1">
        <v>1.3299999999999999E-2</v>
      </c>
      <c r="V186" s="1">
        <v>5.7828999999999997</v>
      </c>
    </row>
    <row r="187" spans="1:22" x14ac:dyDescent="0.25">
      <c r="A187" s="1">
        <v>0.99760000000000004</v>
      </c>
      <c r="B187" s="9" t="s">
        <v>4692</v>
      </c>
      <c r="C187" s="2">
        <v>5552</v>
      </c>
      <c r="D187" s="3" t="s">
        <v>1531</v>
      </c>
      <c r="E187" s="9" t="s">
        <v>1643</v>
      </c>
      <c r="F187" s="9" t="s">
        <v>3421</v>
      </c>
      <c r="G187" s="1">
        <v>2051.0796999999998</v>
      </c>
      <c r="H187" s="2">
        <v>297</v>
      </c>
      <c r="I187" s="2">
        <v>2</v>
      </c>
      <c r="J187" s="1">
        <v>2051.0936999999999</v>
      </c>
      <c r="K187" s="1">
        <v>1026.5471</v>
      </c>
      <c r="L187" s="9" t="s">
        <v>1958</v>
      </c>
      <c r="M187" s="2">
        <v>8.59</v>
      </c>
      <c r="N187" s="4">
        <v>8385.09</v>
      </c>
      <c r="O187" s="1">
        <v>6.8189759632071443</v>
      </c>
      <c r="P187" s="6">
        <v>39.5</v>
      </c>
      <c r="Q187" s="6">
        <v>26.6</v>
      </c>
      <c r="R187" s="6">
        <v>12.4</v>
      </c>
      <c r="S187" s="6">
        <v>10</v>
      </c>
      <c r="T187" s="5">
        <v>1.5E-3</v>
      </c>
      <c r="U187" s="1">
        <v>1.4E-2</v>
      </c>
      <c r="V187" s="1">
        <v>4.0838000000000001</v>
      </c>
    </row>
    <row r="188" spans="1:22" x14ac:dyDescent="0.25">
      <c r="A188" s="1">
        <v>1</v>
      </c>
      <c r="B188" s="9" t="s">
        <v>4693</v>
      </c>
      <c r="C188" s="2">
        <v>5572</v>
      </c>
      <c r="D188" s="3" t="s">
        <v>493</v>
      </c>
      <c r="E188" s="9" t="s">
        <v>618</v>
      </c>
      <c r="F188" s="9" t="s">
        <v>619</v>
      </c>
      <c r="G188" s="1">
        <v>1641.8336999999999</v>
      </c>
      <c r="H188" s="2">
        <v>653</v>
      </c>
      <c r="I188" s="2">
        <v>2</v>
      </c>
      <c r="J188" s="1">
        <v>1641.8545999999999</v>
      </c>
      <c r="K188" s="1">
        <v>821.92409999999995</v>
      </c>
      <c r="L188" s="9" t="s">
        <v>571</v>
      </c>
      <c r="M188" s="2">
        <v>6.76</v>
      </c>
      <c r="N188" s="4">
        <v>8421.59</v>
      </c>
      <c r="O188" s="1">
        <v>12.714069340465866</v>
      </c>
      <c r="P188" s="6">
        <v>50.1</v>
      </c>
      <c r="Q188" s="6">
        <v>28.1</v>
      </c>
      <c r="R188" s="6">
        <v>8.6999999999999993</v>
      </c>
      <c r="S188" s="6">
        <v>11</v>
      </c>
      <c r="T188" s="5">
        <v>3.8000000000000003E-8</v>
      </c>
      <c r="U188" s="1">
        <v>2.0899999999999998E-2</v>
      </c>
      <c r="V188" s="1">
        <v>9.9306000000000001</v>
      </c>
    </row>
    <row r="189" spans="1:22" x14ac:dyDescent="0.25">
      <c r="A189" s="1">
        <v>0.99950000000000006</v>
      </c>
      <c r="B189" s="9" t="s">
        <v>4694</v>
      </c>
      <c r="C189" s="2">
        <v>5574</v>
      </c>
      <c r="D189" s="3" t="s">
        <v>78</v>
      </c>
      <c r="E189" s="9" t="s">
        <v>611</v>
      </c>
      <c r="F189" s="9" t="s">
        <v>358</v>
      </c>
      <c r="G189" s="1">
        <v>1291.6846</v>
      </c>
      <c r="H189" s="2">
        <v>633</v>
      </c>
      <c r="I189" s="2">
        <v>2</v>
      </c>
      <c r="J189" s="1">
        <v>1291.6939</v>
      </c>
      <c r="K189" s="1">
        <v>646.84960000000001</v>
      </c>
      <c r="L189" s="9" t="s">
        <v>359</v>
      </c>
      <c r="M189" s="2">
        <v>6.22</v>
      </c>
      <c r="N189" s="4">
        <v>8424.84</v>
      </c>
      <c r="O189" s="1">
        <v>7.1886880659739134</v>
      </c>
      <c r="P189" s="6">
        <v>38.5</v>
      </c>
      <c r="Q189" s="6">
        <v>23.8</v>
      </c>
      <c r="R189" s="6">
        <v>11.3</v>
      </c>
      <c r="S189" s="6">
        <v>10.6</v>
      </c>
      <c r="T189" s="5">
        <v>1.6999999999999999E-3</v>
      </c>
      <c r="U189" s="1">
        <v>9.2999999999999992E-3</v>
      </c>
      <c r="V189" s="1">
        <v>5.5585000000000004</v>
      </c>
    </row>
    <row r="190" spans="1:22" x14ac:dyDescent="0.25">
      <c r="A190" s="1">
        <v>1</v>
      </c>
      <c r="B190" s="9" t="s">
        <v>4695</v>
      </c>
      <c r="C190" s="2">
        <v>5576</v>
      </c>
      <c r="D190" s="3" t="s">
        <v>4696</v>
      </c>
      <c r="E190" s="9" t="s">
        <v>3424</v>
      </c>
      <c r="F190" s="9" t="s">
        <v>3357</v>
      </c>
      <c r="G190" s="1">
        <v>2871.6986999999999</v>
      </c>
      <c r="H190" s="2">
        <v>122</v>
      </c>
      <c r="I190" s="2">
        <v>3</v>
      </c>
      <c r="J190" s="1">
        <v>2871.7534000000001</v>
      </c>
      <c r="K190" s="1">
        <v>958.24019999999996</v>
      </c>
      <c r="L190" s="9" t="s">
        <v>2161</v>
      </c>
      <c r="M190" s="2">
        <v>9.99</v>
      </c>
      <c r="N190" s="4">
        <v>8422.64</v>
      </c>
      <c r="O190" s="1">
        <v>19.027936140994019</v>
      </c>
      <c r="P190" s="6">
        <v>80.099999999999994</v>
      </c>
      <c r="Q190" s="6">
        <v>80.099999999999994</v>
      </c>
      <c r="R190" s="6">
        <v>12.2</v>
      </c>
      <c r="S190" s="6">
        <v>14</v>
      </c>
      <c r="T190" s="5">
        <v>3.1000000000000002E-10</v>
      </c>
      <c r="U190" s="1">
        <v>5.4699999999999999E-2</v>
      </c>
      <c r="V190" s="1">
        <v>8.7876999999999992</v>
      </c>
    </row>
    <row r="191" spans="1:22" x14ac:dyDescent="0.25">
      <c r="A191" s="1">
        <v>0.99850000000000005</v>
      </c>
      <c r="B191" s="9" t="s">
        <v>4697</v>
      </c>
      <c r="C191" s="2">
        <v>5588</v>
      </c>
      <c r="D191" s="3" t="s">
        <v>270</v>
      </c>
      <c r="E191" s="9" t="s">
        <v>4698</v>
      </c>
      <c r="F191" s="9" t="s">
        <v>4699</v>
      </c>
      <c r="G191" s="1">
        <v>1844.7707</v>
      </c>
      <c r="H191" s="2">
        <v>940</v>
      </c>
      <c r="I191" s="2">
        <v>2</v>
      </c>
      <c r="J191" s="1">
        <v>1844.7872</v>
      </c>
      <c r="K191" s="1">
        <v>923.39260000000002</v>
      </c>
      <c r="L191" s="9" t="s">
        <v>1137</v>
      </c>
      <c r="M191" s="2">
        <v>4.07</v>
      </c>
      <c r="N191" s="4">
        <v>8449.44</v>
      </c>
      <c r="O191" s="1">
        <v>8.9344445688648584</v>
      </c>
      <c r="P191" s="6">
        <v>44.9</v>
      </c>
      <c r="Q191" s="6">
        <v>27.1</v>
      </c>
      <c r="R191" s="6">
        <v>11.9</v>
      </c>
      <c r="S191" s="6">
        <v>11.9</v>
      </c>
      <c r="T191" s="5">
        <v>1.2E-5</v>
      </c>
      <c r="U191" s="1">
        <v>1.6500000000000001E-2</v>
      </c>
      <c r="V191" s="1">
        <v>6.9404000000000003</v>
      </c>
    </row>
    <row r="192" spans="1:22" x14ac:dyDescent="0.25">
      <c r="A192" s="1">
        <v>0.99219999999999997</v>
      </c>
      <c r="B192" s="9" t="s">
        <v>4700</v>
      </c>
      <c r="C192" s="2">
        <v>5637</v>
      </c>
      <c r="D192" s="3" t="s">
        <v>302</v>
      </c>
      <c r="E192" s="9" t="s">
        <v>2435</v>
      </c>
      <c r="F192" s="9" t="s">
        <v>290</v>
      </c>
      <c r="G192" s="1">
        <v>1260.6637000000001</v>
      </c>
      <c r="H192" s="2">
        <v>696</v>
      </c>
      <c r="I192" s="2">
        <v>2</v>
      </c>
      <c r="J192" s="1">
        <v>1260.6738</v>
      </c>
      <c r="K192" s="1">
        <v>631.33910000000003</v>
      </c>
      <c r="L192" s="9" t="s">
        <v>291</v>
      </c>
      <c r="M192" s="2">
        <v>4.75</v>
      </c>
      <c r="N192" s="4">
        <v>8532.75</v>
      </c>
      <c r="O192" s="1">
        <v>7.9988709712419199</v>
      </c>
      <c r="P192" s="6">
        <v>31.4</v>
      </c>
      <c r="Q192" s="6">
        <v>23.6</v>
      </c>
      <c r="R192" s="6">
        <v>8.9</v>
      </c>
      <c r="S192" s="6">
        <v>11.2</v>
      </c>
      <c r="T192" s="5">
        <v>2.7E-2</v>
      </c>
      <c r="U192" s="1">
        <v>1.01E-2</v>
      </c>
      <c r="V192" s="1">
        <v>3.3408000000000002</v>
      </c>
    </row>
    <row r="193" spans="1:22" x14ac:dyDescent="0.25">
      <c r="A193" s="1">
        <v>0.99239999999999995</v>
      </c>
      <c r="B193" s="9" t="s">
        <v>4701</v>
      </c>
      <c r="C193" s="2">
        <v>5641</v>
      </c>
      <c r="D193" s="2" t="s">
        <v>1259</v>
      </c>
      <c r="E193" s="9" t="s">
        <v>3595</v>
      </c>
      <c r="F193" s="9" t="s">
        <v>427</v>
      </c>
      <c r="G193" s="1">
        <v>1960.1067</v>
      </c>
      <c r="H193" s="2">
        <v>682</v>
      </c>
      <c r="I193" s="2">
        <v>2</v>
      </c>
      <c r="J193" s="1">
        <v>1960.107</v>
      </c>
      <c r="K193" s="1">
        <v>981.06060000000002</v>
      </c>
      <c r="L193" s="9" t="s">
        <v>428</v>
      </c>
      <c r="M193" s="2">
        <v>8.59</v>
      </c>
      <c r="N193" s="4">
        <v>8539.15</v>
      </c>
      <c r="O193" s="1">
        <v>0.15289575384028262</v>
      </c>
      <c r="P193" s="6">
        <v>35.799999999999997</v>
      </c>
      <c r="Q193" s="6">
        <v>23.5</v>
      </c>
      <c r="R193" s="6">
        <v>12.4</v>
      </c>
      <c r="S193" s="6">
        <v>9.4</v>
      </c>
      <c r="T193" s="5">
        <v>1.9E-2</v>
      </c>
      <c r="U193" s="1">
        <v>2.9999999999999997E-4</v>
      </c>
      <c r="V193" s="1">
        <v>3.3595999999999999</v>
      </c>
    </row>
    <row r="194" spans="1:22" x14ac:dyDescent="0.25">
      <c r="A194" s="1">
        <v>0.99780000000000002</v>
      </c>
      <c r="B194" s="9" t="s">
        <v>4702</v>
      </c>
      <c r="C194" s="2">
        <v>5655</v>
      </c>
      <c r="D194" s="2" t="s">
        <v>645</v>
      </c>
      <c r="E194" s="9" t="s">
        <v>646</v>
      </c>
      <c r="F194" s="9" t="s">
        <v>647</v>
      </c>
      <c r="G194" s="1">
        <v>1601.8521000000001</v>
      </c>
      <c r="H194" s="2">
        <v>485</v>
      </c>
      <c r="I194" s="2">
        <v>2</v>
      </c>
      <c r="J194" s="1">
        <v>1601.8585</v>
      </c>
      <c r="K194" s="1">
        <v>801.93330000000003</v>
      </c>
      <c r="L194" s="9" t="s">
        <v>118</v>
      </c>
      <c r="M194" s="2">
        <v>6.21</v>
      </c>
      <c r="N194" s="4">
        <v>8559.4</v>
      </c>
      <c r="O194" s="1">
        <v>3.9903568039885613</v>
      </c>
      <c r="P194" s="6">
        <v>42.1</v>
      </c>
      <c r="Q194" s="6">
        <v>28.4</v>
      </c>
      <c r="R194" s="6">
        <v>11.7</v>
      </c>
      <c r="S194" s="6">
        <v>9.9</v>
      </c>
      <c r="T194" s="5">
        <v>2.3E-3</v>
      </c>
      <c r="U194" s="1">
        <v>6.4000000000000003E-3</v>
      </c>
      <c r="V194" s="1">
        <v>4.2539999999999996</v>
      </c>
    </row>
    <row r="195" spans="1:22" x14ac:dyDescent="0.25">
      <c r="A195" s="1">
        <v>0.96779999999999999</v>
      </c>
      <c r="B195" s="9" t="s">
        <v>4703</v>
      </c>
      <c r="C195" s="2">
        <v>5659</v>
      </c>
      <c r="D195" s="2" t="s">
        <v>343</v>
      </c>
      <c r="E195" s="9" t="s">
        <v>643</v>
      </c>
      <c r="F195" s="9" t="s">
        <v>4704</v>
      </c>
      <c r="G195" s="1">
        <v>1204.6777</v>
      </c>
      <c r="H195" s="2">
        <v>299</v>
      </c>
      <c r="I195" s="2">
        <v>2</v>
      </c>
      <c r="J195" s="1">
        <v>1204.6912</v>
      </c>
      <c r="K195" s="1">
        <v>603.34609999999998</v>
      </c>
      <c r="L195" s="9" t="s">
        <v>2599</v>
      </c>
      <c r="M195" s="2">
        <v>6.22</v>
      </c>
      <c r="N195" s="4">
        <v>8565.7999999999993</v>
      </c>
      <c r="O195" s="1">
        <v>11.187608571597629</v>
      </c>
      <c r="P195" s="6">
        <v>25.4</v>
      </c>
      <c r="Q195" s="6">
        <v>21.5</v>
      </c>
      <c r="R195" s="6">
        <v>10.7</v>
      </c>
      <c r="S195" s="6">
        <v>9.8000000000000007</v>
      </c>
      <c r="T195" s="5">
        <v>0.19</v>
      </c>
      <c r="U195" s="1">
        <v>1.35E-2</v>
      </c>
      <c r="V195" s="1">
        <v>2.1046</v>
      </c>
    </row>
    <row r="196" spans="1:22" x14ac:dyDescent="0.25">
      <c r="A196" s="1">
        <v>0.97689999999999999</v>
      </c>
      <c r="B196" s="9" t="s">
        <v>4705</v>
      </c>
      <c r="C196" s="2">
        <v>5664</v>
      </c>
      <c r="D196" s="2" t="s">
        <v>520</v>
      </c>
      <c r="E196" s="9" t="s">
        <v>649</v>
      </c>
      <c r="F196" s="9" t="s">
        <v>650</v>
      </c>
      <c r="G196" s="1">
        <v>1519.7597000000001</v>
      </c>
      <c r="H196" s="2">
        <v>1038</v>
      </c>
      <c r="I196" s="2">
        <v>2</v>
      </c>
      <c r="J196" s="1">
        <v>1519.7914000000001</v>
      </c>
      <c r="K196" s="1">
        <v>760.88710000000003</v>
      </c>
      <c r="L196" s="9" t="s">
        <v>296</v>
      </c>
      <c r="M196" s="2">
        <v>4.32</v>
      </c>
      <c r="N196" s="4">
        <v>8573.2999999999993</v>
      </c>
      <c r="O196" s="1">
        <v>20.83094850734097</v>
      </c>
      <c r="P196" s="6">
        <v>35.1</v>
      </c>
      <c r="Q196" s="6">
        <v>22.6</v>
      </c>
      <c r="R196" s="6">
        <v>11</v>
      </c>
      <c r="S196" s="6">
        <v>9.6999999999999993</v>
      </c>
      <c r="T196" s="5">
        <v>1.6999999999999999E-3</v>
      </c>
      <c r="U196" s="1">
        <v>3.1699999999999999E-2</v>
      </c>
      <c r="V196" s="1">
        <v>4.8102999999999998</v>
      </c>
    </row>
    <row r="197" spans="1:22" x14ac:dyDescent="0.25">
      <c r="A197" s="1">
        <v>0.99780000000000002</v>
      </c>
      <c r="B197" s="9" t="s">
        <v>4706</v>
      </c>
      <c r="C197" s="2">
        <v>5677</v>
      </c>
      <c r="D197" s="2" t="s">
        <v>1145</v>
      </c>
      <c r="E197" s="9" t="s">
        <v>646</v>
      </c>
      <c r="F197" s="9" t="s">
        <v>647</v>
      </c>
      <c r="G197" s="1">
        <v>1601.8521000000001</v>
      </c>
      <c r="H197" s="2">
        <v>486</v>
      </c>
      <c r="I197" s="2">
        <v>2</v>
      </c>
      <c r="J197" s="1">
        <v>1601.8608999999999</v>
      </c>
      <c r="K197" s="1">
        <v>801.93330000000003</v>
      </c>
      <c r="L197" s="9" t="s">
        <v>118</v>
      </c>
      <c r="M197" s="2">
        <v>6.21</v>
      </c>
      <c r="N197" s="4">
        <v>8589.6</v>
      </c>
      <c r="O197" s="1">
        <v>5.4867406054842718</v>
      </c>
      <c r="P197" s="6">
        <v>45.2</v>
      </c>
      <c r="Q197" s="6">
        <v>31.4</v>
      </c>
      <c r="R197" s="6">
        <v>11.6</v>
      </c>
      <c r="S197" s="6">
        <v>9.3000000000000007</v>
      </c>
      <c r="T197" s="5">
        <v>1.8E-3</v>
      </c>
      <c r="U197" s="1">
        <v>8.8000000000000005E-3</v>
      </c>
      <c r="V197" s="1">
        <v>4.2721999999999998</v>
      </c>
    </row>
    <row r="198" spans="1:22" x14ac:dyDescent="0.25">
      <c r="A198" s="1">
        <v>0.99199999999999999</v>
      </c>
      <c r="B198" s="9" t="s">
        <v>4707</v>
      </c>
      <c r="C198" s="2">
        <v>5722</v>
      </c>
      <c r="D198" s="2" t="s">
        <v>105</v>
      </c>
      <c r="E198" s="9" t="s">
        <v>1703</v>
      </c>
      <c r="F198" s="9" t="s">
        <v>860</v>
      </c>
      <c r="G198" s="1">
        <v>1581.8548000000001</v>
      </c>
      <c r="H198" s="2">
        <v>842</v>
      </c>
      <c r="I198" s="2">
        <v>2</v>
      </c>
      <c r="J198" s="1">
        <v>1581.8561999999999</v>
      </c>
      <c r="K198" s="1">
        <v>791.93470000000002</v>
      </c>
      <c r="L198" s="9" t="s">
        <v>673</v>
      </c>
      <c r="M198" s="2">
        <v>6</v>
      </c>
      <c r="N198" s="4">
        <v>8647.1</v>
      </c>
      <c r="O198" s="1">
        <v>0.88391126187550562</v>
      </c>
      <c r="P198" s="6">
        <v>47.2</v>
      </c>
      <c r="Q198" s="6">
        <v>28.6</v>
      </c>
      <c r="R198" s="6">
        <v>13.2</v>
      </c>
      <c r="S198" s="6">
        <v>10.7</v>
      </c>
      <c r="T198" s="5">
        <v>3.5E-4</v>
      </c>
      <c r="U198" s="1">
        <v>1.4E-3</v>
      </c>
      <c r="V198" s="1">
        <v>5.4878999999999998</v>
      </c>
    </row>
    <row r="199" spans="1:22" x14ac:dyDescent="0.25">
      <c r="A199" s="1">
        <v>0.98170000000000002</v>
      </c>
      <c r="B199" s="9" t="s">
        <v>4708</v>
      </c>
      <c r="C199" s="2">
        <v>5724</v>
      </c>
      <c r="D199" s="2" t="s">
        <v>1000</v>
      </c>
      <c r="E199" s="9" t="s">
        <v>1707</v>
      </c>
      <c r="F199" s="9" t="s">
        <v>860</v>
      </c>
      <c r="G199" s="1">
        <v>1439.7806</v>
      </c>
      <c r="H199" s="2">
        <v>843</v>
      </c>
      <c r="I199" s="2">
        <v>2</v>
      </c>
      <c r="J199" s="1">
        <v>1439.7869000000001</v>
      </c>
      <c r="K199" s="1">
        <v>720.89760000000001</v>
      </c>
      <c r="L199" s="9" t="s">
        <v>673</v>
      </c>
      <c r="M199" s="2">
        <v>6</v>
      </c>
      <c r="N199" s="4">
        <v>8650.2999999999993</v>
      </c>
      <c r="O199" s="1">
        <v>4.3695526243949212</v>
      </c>
      <c r="P199" s="6">
        <v>43.5</v>
      </c>
      <c r="Q199" s="6">
        <v>29.1</v>
      </c>
      <c r="R199" s="6">
        <v>12.3</v>
      </c>
      <c r="S199" s="6">
        <v>13</v>
      </c>
      <c r="T199" s="5">
        <v>2.5000000000000001E-3</v>
      </c>
      <c r="U199" s="1">
        <v>6.3E-3</v>
      </c>
      <c r="V199" s="1">
        <v>4.6962999999999999</v>
      </c>
    </row>
    <row r="200" spans="1:22" x14ac:dyDescent="0.25">
      <c r="A200" s="1">
        <v>0.98019999999999996</v>
      </c>
      <c r="B200" s="9" t="s">
        <v>4709</v>
      </c>
      <c r="C200" s="2">
        <v>6628</v>
      </c>
      <c r="D200" s="2" t="s">
        <v>384</v>
      </c>
      <c r="E200" s="9" t="s">
        <v>57</v>
      </c>
      <c r="F200" s="9" t="s">
        <v>58</v>
      </c>
      <c r="G200" s="1">
        <v>1470.7946999999999</v>
      </c>
      <c r="H200" s="2">
        <v>134</v>
      </c>
      <c r="I200" s="2">
        <v>3</v>
      </c>
      <c r="J200" s="1">
        <v>1470.7266999999999</v>
      </c>
      <c r="K200" s="1">
        <v>491.2722</v>
      </c>
      <c r="L200" s="9" t="s">
        <v>59</v>
      </c>
      <c r="M200" s="2">
        <v>8.6</v>
      </c>
      <c r="N200" s="4">
        <v>3007.45</v>
      </c>
      <c r="O200" s="1">
        <v>-46.138712238686956</v>
      </c>
      <c r="P200" s="6">
        <v>31.9</v>
      </c>
      <c r="Q200" s="6">
        <v>22.7</v>
      </c>
      <c r="R200" s="6">
        <v>10.9</v>
      </c>
      <c r="S200" s="6">
        <v>10.3</v>
      </c>
      <c r="T200" s="5">
        <v>5.7000000000000002E-2</v>
      </c>
      <c r="U200" s="1">
        <v>-6.8000000000000005E-2</v>
      </c>
      <c r="V200" s="1">
        <v>3.3887999999999998</v>
      </c>
    </row>
    <row r="201" spans="1:22" x14ac:dyDescent="0.25">
      <c r="A201" s="1">
        <v>0.95420000000000005</v>
      </c>
      <c r="B201" s="9" t="s">
        <v>4710</v>
      </c>
      <c r="C201" s="2">
        <v>6641</v>
      </c>
      <c r="D201" s="2" t="s">
        <v>250</v>
      </c>
      <c r="E201" s="9" t="s">
        <v>1914</v>
      </c>
      <c r="F201" s="9" t="s">
        <v>1915</v>
      </c>
      <c r="G201" s="1">
        <v>1093.5436999999999</v>
      </c>
      <c r="H201" s="2">
        <v>492</v>
      </c>
      <c r="I201" s="2">
        <v>2</v>
      </c>
      <c r="J201" s="1">
        <v>1093.55</v>
      </c>
      <c r="K201" s="1">
        <v>547.77909999999997</v>
      </c>
      <c r="L201" s="9" t="s">
        <v>1916</v>
      </c>
      <c r="M201" s="2">
        <v>8.75</v>
      </c>
      <c r="N201" s="4">
        <v>3192.46</v>
      </c>
      <c r="O201" s="1">
        <v>5.7504932188906075</v>
      </c>
      <c r="P201" s="6">
        <v>26.2</v>
      </c>
      <c r="Q201" s="6">
        <v>20.5</v>
      </c>
      <c r="R201" s="6">
        <v>7.9</v>
      </c>
      <c r="S201" s="6">
        <v>8.1999999999999993</v>
      </c>
      <c r="T201" s="5">
        <v>0.43</v>
      </c>
      <c r="U201" s="1">
        <v>6.3E-3</v>
      </c>
      <c r="V201" s="1">
        <v>2.0104000000000002</v>
      </c>
    </row>
    <row r="202" spans="1:22" x14ac:dyDescent="0.25">
      <c r="A202" s="1">
        <v>0.99709999999999999</v>
      </c>
      <c r="B202" s="9" t="s">
        <v>4711</v>
      </c>
      <c r="C202" s="2">
        <v>6642</v>
      </c>
      <c r="D202" s="2" t="s">
        <v>349</v>
      </c>
      <c r="E202" s="9" t="s">
        <v>62</v>
      </c>
      <c r="F202" s="9" t="s">
        <v>4478</v>
      </c>
      <c r="G202" s="1">
        <v>1674.7746999999999</v>
      </c>
      <c r="H202" s="2">
        <v>527</v>
      </c>
      <c r="I202" s="2">
        <v>3</v>
      </c>
      <c r="J202" s="1">
        <v>1674.7940000000001</v>
      </c>
      <c r="K202" s="1">
        <v>559.26549999999997</v>
      </c>
      <c r="L202" s="9" t="s">
        <v>1024</v>
      </c>
      <c r="M202" s="2">
        <v>6.76</v>
      </c>
      <c r="N202" s="4">
        <v>3192.46</v>
      </c>
      <c r="O202" s="1">
        <v>11.503182894945841</v>
      </c>
      <c r="P202" s="6">
        <v>29.2</v>
      </c>
      <c r="Q202" s="6">
        <v>21.1</v>
      </c>
      <c r="R202" s="6">
        <v>8.1</v>
      </c>
      <c r="S202" s="6">
        <v>7.9</v>
      </c>
      <c r="T202" s="5">
        <v>1.6E-2</v>
      </c>
      <c r="U202" s="1">
        <v>1.9300000000000001E-2</v>
      </c>
      <c r="V202" s="1">
        <v>3.7679</v>
      </c>
    </row>
    <row r="203" spans="1:22" x14ac:dyDescent="0.25">
      <c r="A203" s="1">
        <v>0.99919999999999998</v>
      </c>
      <c r="B203" s="9" t="s">
        <v>4712</v>
      </c>
      <c r="C203" s="2">
        <v>6656</v>
      </c>
      <c r="D203" s="2" t="s">
        <v>723</v>
      </c>
      <c r="E203" s="9" t="s">
        <v>724</v>
      </c>
      <c r="F203" s="9" t="s">
        <v>647</v>
      </c>
      <c r="G203" s="1">
        <v>1439.85</v>
      </c>
      <c r="H203" s="2">
        <v>528</v>
      </c>
      <c r="I203" s="2">
        <v>3</v>
      </c>
      <c r="J203" s="1">
        <v>1439.8592000000001</v>
      </c>
      <c r="K203" s="1">
        <v>480.95729999999998</v>
      </c>
      <c r="L203" s="9" t="s">
        <v>118</v>
      </c>
      <c r="M203" s="2">
        <v>8.48</v>
      </c>
      <c r="N203" s="4">
        <v>3399.67</v>
      </c>
      <c r="O203" s="1">
        <v>6.3761724100386186</v>
      </c>
      <c r="P203" s="6">
        <v>25</v>
      </c>
      <c r="Q203" s="6">
        <v>16.7</v>
      </c>
      <c r="R203" s="6">
        <v>2.5</v>
      </c>
      <c r="S203" s="6">
        <v>10.4</v>
      </c>
      <c r="T203" s="5">
        <v>5.0999999999999997E-2</v>
      </c>
      <c r="U203" s="1">
        <v>9.1999999999999998E-3</v>
      </c>
      <c r="V203" s="1">
        <v>3.9965999999999999</v>
      </c>
    </row>
    <row r="204" spans="1:22" x14ac:dyDescent="0.25">
      <c r="A204" s="1">
        <v>0.99980000000000002</v>
      </c>
      <c r="B204" s="9" t="s">
        <v>4713</v>
      </c>
      <c r="C204" s="2">
        <v>6660</v>
      </c>
      <c r="D204" s="2" t="s">
        <v>891</v>
      </c>
      <c r="E204" s="9" t="s">
        <v>3115</v>
      </c>
      <c r="F204" s="9" t="s">
        <v>3116</v>
      </c>
      <c r="G204" s="1">
        <v>909.47080000000005</v>
      </c>
      <c r="H204" s="2">
        <v>493</v>
      </c>
      <c r="I204" s="2">
        <v>2</v>
      </c>
      <c r="J204" s="1">
        <v>909.4742</v>
      </c>
      <c r="K204" s="1">
        <v>455.74270000000001</v>
      </c>
      <c r="L204" s="9" t="s">
        <v>3117</v>
      </c>
      <c r="M204" s="2">
        <v>6.74</v>
      </c>
      <c r="N204" s="4">
        <v>3473.67</v>
      </c>
      <c r="O204" s="1">
        <v>3.7301749430106064</v>
      </c>
      <c r="P204" s="6">
        <v>34.4</v>
      </c>
      <c r="Q204" s="6">
        <v>22.6</v>
      </c>
      <c r="R204" s="6">
        <v>12.7</v>
      </c>
      <c r="S204" s="6">
        <v>13</v>
      </c>
      <c r="T204" s="5">
        <v>4.8000000000000001E-4</v>
      </c>
      <c r="U204" s="1">
        <v>3.3999999999999998E-3</v>
      </c>
      <c r="V204" s="1">
        <v>6.6631999999999998</v>
      </c>
    </row>
    <row r="205" spans="1:22" x14ac:dyDescent="0.25">
      <c r="A205" s="1">
        <v>0.99970000000000003</v>
      </c>
      <c r="B205" s="9" t="s">
        <v>4714</v>
      </c>
      <c r="C205" s="2">
        <v>6665</v>
      </c>
      <c r="D205" s="2" t="s">
        <v>201</v>
      </c>
      <c r="E205" s="9" t="s">
        <v>79</v>
      </c>
      <c r="F205" s="9" t="s">
        <v>80</v>
      </c>
      <c r="G205" s="1">
        <v>1140.5239999999999</v>
      </c>
      <c r="H205" s="2">
        <v>494</v>
      </c>
      <c r="I205" s="2">
        <v>2</v>
      </c>
      <c r="J205" s="1">
        <v>1140.5243</v>
      </c>
      <c r="K205" s="1">
        <v>571.26930000000004</v>
      </c>
      <c r="L205" s="9" t="s">
        <v>81</v>
      </c>
      <c r="M205" s="2">
        <v>5.47</v>
      </c>
      <c r="N205" s="4">
        <v>3599.47</v>
      </c>
      <c r="O205" s="1">
        <v>0.26257318571118732</v>
      </c>
      <c r="P205" s="6">
        <v>48.3</v>
      </c>
      <c r="Q205" s="6">
        <v>28.3</v>
      </c>
      <c r="R205" s="6">
        <v>10.8</v>
      </c>
      <c r="S205" s="6">
        <v>11.5</v>
      </c>
      <c r="T205" s="5">
        <v>2.9999999999999997E-4</v>
      </c>
      <c r="U205" s="1">
        <v>2.9999999999999997E-4</v>
      </c>
      <c r="V205" s="1">
        <v>6.5993000000000004</v>
      </c>
    </row>
    <row r="206" spans="1:22" x14ac:dyDescent="0.25">
      <c r="A206" s="1">
        <v>0.95750000000000002</v>
      </c>
      <c r="B206" s="9" t="s">
        <v>4715</v>
      </c>
      <c r="C206" s="2">
        <v>6675</v>
      </c>
      <c r="D206" s="2" t="s">
        <v>4716</v>
      </c>
      <c r="E206" s="9" t="s">
        <v>4717</v>
      </c>
      <c r="F206" s="9" t="s">
        <v>4718</v>
      </c>
      <c r="G206" s="1">
        <v>1694.8107</v>
      </c>
      <c r="H206" s="2">
        <v>141</v>
      </c>
      <c r="I206" s="2">
        <v>4</v>
      </c>
      <c r="J206" s="1">
        <v>1695.5864999999999</v>
      </c>
      <c r="K206" s="1">
        <v>424.71</v>
      </c>
      <c r="L206" s="9" t="s">
        <v>4719</v>
      </c>
      <c r="M206" s="2">
        <v>4.67</v>
      </c>
      <c r="N206" s="4">
        <v>3745.38</v>
      </c>
      <c r="O206" s="1">
        <v>-133.94728167455438</v>
      </c>
      <c r="P206" s="6">
        <v>38.6</v>
      </c>
      <c r="Q206" s="6">
        <v>29.5</v>
      </c>
      <c r="R206" s="6">
        <v>7.9</v>
      </c>
      <c r="S206" s="6">
        <v>12</v>
      </c>
      <c r="T206" s="5">
        <v>2.3999999999999998E-3</v>
      </c>
      <c r="U206" s="1">
        <v>0.77580000000000005</v>
      </c>
      <c r="V206" s="1">
        <v>4.2697000000000003</v>
      </c>
    </row>
    <row r="207" spans="1:22" x14ac:dyDescent="0.25">
      <c r="A207" s="1">
        <v>0.99990000000000001</v>
      </c>
      <c r="B207" s="9" t="s">
        <v>4720</v>
      </c>
      <c r="C207" s="2">
        <v>6713</v>
      </c>
      <c r="D207" s="2" t="s">
        <v>2652</v>
      </c>
      <c r="E207" s="9" t="s">
        <v>1217</v>
      </c>
      <c r="F207" s="9" t="s">
        <v>508</v>
      </c>
      <c r="G207" s="1">
        <v>2142.1397000000002</v>
      </c>
      <c r="H207" s="2">
        <v>543</v>
      </c>
      <c r="I207" s="2">
        <v>4</v>
      </c>
      <c r="J207" s="1">
        <v>2142.1658000000002</v>
      </c>
      <c r="K207" s="1">
        <v>536.54219999999998</v>
      </c>
      <c r="L207" s="9" t="s">
        <v>509</v>
      </c>
      <c r="M207" s="2">
        <v>8.43</v>
      </c>
      <c r="N207" s="4">
        <v>4340.59</v>
      </c>
      <c r="O207" s="1">
        <v>12.161205586438495</v>
      </c>
      <c r="P207" s="6">
        <v>40.1</v>
      </c>
      <c r="Q207" s="6">
        <v>21.7</v>
      </c>
      <c r="R207" s="6">
        <v>13</v>
      </c>
      <c r="S207" s="6">
        <v>12.5</v>
      </c>
      <c r="T207" s="5">
        <v>5.1999999999999997E-5</v>
      </c>
      <c r="U207" s="1">
        <v>2.6100000000000002E-2</v>
      </c>
      <c r="V207" s="1">
        <v>7.2106000000000003</v>
      </c>
    </row>
    <row r="208" spans="1:22" x14ac:dyDescent="0.25">
      <c r="A208" s="1">
        <v>0.99980000000000002</v>
      </c>
      <c r="B208" s="9" t="s">
        <v>4721</v>
      </c>
      <c r="C208" s="2">
        <v>6741</v>
      </c>
      <c r="D208" s="2" t="s">
        <v>469</v>
      </c>
      <c r="E208" s="9" t="s">
        <v>2013</v>
      </c>
      <c r="F208" s="9" t="s">
        <v>860</v>
      </c>
      <c r="G208" s="1">
        <v>2047.0657000000001</v>
      </c>
      <c r="H208" s="2">
        <v>531</v>
      </c>
      <c r="I208" s="2">
        <v>3</v>
      </c>
      <c r="J208" s="1">
        <v>2047.0864999999999</v>
      </c>
      <c r="K208" s="1">
        <v>683.36249999999995</v>
      </c>
      <c r="L208" s="9" t="s">
        <v>673</v>
      </c>
      <c r="M208" s="2">
        <v>6.24</v>
      </c>
      <c r="N208" s="4">
        <v>4793.21</v>
      </c>
      <c r="O208" s="1">
        <v>10.145908406348509</v>
      </c>
      <c r="P208" s="6">
        <v>37.700000000000003</v>
      </c>
      <c r="Q208" s="6">
        <v>20.3</v>
      </c>
      <c r="R208" s="6">
        <v>10.3</v>
      </c>
      <c r="S208" s="6">
        <v>10.7</v>
      </c>
      <c r="T208" s="5">
        <v>4.2000000000000002E-4</v>
      </c>
      <c r="U208" s="1">
        <v>2.0799999999999999E-2</v>
      </c>
      <c r="V208" s="1">
        <v>6.2103000000000002</v>
      </c>
    </row>
    <row r="209" spans="1:22" x14ac:dyDescent="0.25">
      <c r="A209" s="1">
        <v>0.99739999999999995</v>
      </c>
      <c r="B209" s="9" t="s">
        <v>4722</v>
      </c>
      <c r="C209" s="2">
        <v>6773</v>
      </c>
      <c r="D209" s="2" t="s">
        <v>2662</v>
      </c>
      <c r="E209" s="9" t="s">
        <v>194</v>
      </c>
      <c r="F209" s="9" t="s">
        <v>1262</v>
      </c>
      <c r="G209" s="1">
        <v>1531.8643</v>
      </c>
      <c r="H209" s="2">
        <v>849</v>
      </c>
      <c r="I209" s="2">
        <v>2</v>
      </c>
      <c r="J209" s="1">
        <v>1531.8724</v>
      </c>
      <c r="K209" s="1">
        <v>766.93939999999998</v>
      </c>
      <c r="L209" s="9" t="s">
        <v>1263</v>
      </c>
      <c r="M209" s="2">
        <v>10</v>
      </c>
      <c r="N209" s="4">
        <v>5201.72</v>
      </c>
      <c r="O209" s="1">
        <v>5.2807301333064904</v>
      </c>
      <c r="P209" s="6">
        <v>56.7</v>
      </c>
      <c r="Q209" s="6">
        <v>34.799999999999997</v>
      </c>
      <c r="R209" s="6">
        <v>11.2</v>
      </c>
      <c r="S209" s="6">
        <v>10.5</v>
      </c>
      <c r="T209" s="5">
        <v>1.2999999999999999E-5</v>
      </c>
      <c r="U209" s="1">
        <v>8.0999999999999996E-3</v>
      </c>
      <c r="V209" s="1">
        <v>6.8625999999999996</v>
      </c>
    </row>
    <row r="210" spans="1:22" x14ac:dyDescent="0.25">
      <c r="A210" s="1">
        <v>0.96050000000000002</v>
      </c>
      <c r="B210" s="9" t="s">
        <v>4723</v>
      </c>
      <c r="C210" s="2">
        <v>6777</v>
      </c>
      <c r="D210" s="2" t="s">
        <v>807</v>
      </c>
      <c r="E210" s="9" t="s">
        <v>4538</v>
      </c>
      <c r="F210" s="9" t="s">
        <v>2595</v>
      </c>
      <c r="G210" s="1">
        <v>1726.0217</v>
      </c>
      <c r="H210" s="2">
        <v>533</v>
      </c>
      <c r="I210" s="2">
        <v>3</v>
      </c>
      <c r="J210" s="1">
        <v>1726.0527</v>
      </c>
      <c r="K210" s="1">
        <v>576.34780000000001</v>
      </c>
      <c r="L210" s="9" t="s">
        <v>2596</v>
      </c>
      <c r="M210" s="2">
        <v>9.6999999999999993</v>
      </c>
      <c r="N210" s="4">
        <v>5275.72</v>
      </c>
      <c r="O210" s="1">
        <v>17.928988942671999</v>
      </c>
      <c r="P210" s="6">
        <v>25.9</v>
      </c>
      <c r="Q210" s="6">
        <v>20.399999999999999</v>
      </c>
      <c r="R210" s="6">
        <v>9.8000000000000007</v>
      </c>
      <c r="S210" s="6">
        <v>9.4</v>
      </c>
      <c r="T210" s="5">
        <v>0.05</v>
      </c>
      <c r="U210" s="1">
        <v>3.1E-2</v>
      </c>
      <c r="V210" s="1">
        <v>2.9363999999999999</v>
      </c>
    </row>
    <row r="211" spans="1:22" x14ac:dyDescent="0.25">
      <c r="A211" s="1">
        <v>0.98209999999999997</v>
      </c>
      <c r="B211" s="9" t="s">
        <v>4724</v>
      </c>
      <c r="C211" s="2">
        <v>6787</v>
      </c>
      <c r="D211" s="2" t="s">
        <v>326</v>
      </c>
      <c r="E211" s="9" t="s">
        <v>846</v>
      </c>
      <c r="F211" s="9" t="s">
        <v>117</v>
      </c>
      <c r="G211" s="1">
        <v>1273.7317</v>
      </c>
      <c r="H211" s="2">
        <v>500</v>
      </c>
      <c r="I211" s="2">
        <v>2</v>
      </c>
      <c r="J211" s="1">
        <v>1273.7426</v>
      </c>
      <c r="K211" s="1">
        <v>637.87310000000002</v>
      </c>
      <c r="L211" s="9" t="s">
        <v>118</v>
      </c>
      <c r="M211" s="2">
        <v>8.59</v>
      </c>
      <c r="N211" s="4">
        <v>5394.13</v>
      </c>
      <c r="O211" s="1">
        <v>8.5440191787363347</v>
      </c>
      <c r="P211" s="6">
        <v>41.3</v>
      </c>
      <c r="Q211" s="6">
        <v>29.8</v>
      </c>
      <c r="R211" s="6">
        <v>9.5</v>
      </c>
      <c r="S211" s="6">
        <v>10.7</v>
      </c>
      <c r="T211" s="5">
        <v>0.19</v>
      </c>
      <c r="U211" s="1">
        <v>1.09E-2</v>
      </c>
      <c r="V211" s="1">
        <v>2.6490999999999998</v>
      </c>
    </row>
    <row r="212" spans="1:22" x14ac:dyDescent="0.25">
      <c r="A212" s="1">
        <v>0.99729999999999996</v>
      </c>
      <c r="B212" s="9" t="s">
        <v>4725</v>
      </c>
      <c r="C212" s="2">
        <v>6791</v>
      </c>
      <c r="D212" s="2" t="s">
        <v>141</v>
      </c>
      <c r="E212" s="9" t="s">
        <v>825</v>
      </c>
      <c r="F212" s="9" t="s">
        <v>829</v>
      </c>
      <c r="G212" s="1">
        <v>1243.6117999999999</v>
      </c>
      <c r="H212" s="2">
        <v>501</v>
      </c>
      <c r="I212" s="2">
        <v>2</v>
      </c>
      <c r="J212" s="1">
        <v>1243.6048000000001</v>
      </c>
      <c r="K212" s="1">
        <v>622.81320000000005</v>
      </c>
      <c r="L212" s="9" t="s">
        <v>827</v>
      </c>
      <c r="M212" s="2">
        <v>4.75</v>
      </c>
      <c r="N212" s="4">
        <v>5438.53</v>
      </c>
      <c r="O212" s="1">
        <v>-5.6196625248148235</v>
      </c>
      <c r="P212" s="6">
        <v>46.4</v>
      </c>
      <c r="Q212" s="6">
        <v>32.4</v>
      </c>
      <c r="R212" s="6">
        <v>12</v>
      </c>
      <c r="S212" s="6">
        <v>12</v>
      </c>
      <c r="T212" s="5">
        <v>2.7999999999999998E-4</v>
      </c>
      <c r="U212" s="1">
        <v>-7.0000000000000001E-3</v>
      </c>
      <c r="V212" s="1">
        <v>5.8021000000000003</v>
      </c>
    </row>
    <row r="213" spans="1:22" x14ac:dyDescent="0.25">
      <c r="A213" s="1">
        <v>0.99839999999999995</v>
      </c>
      <c r="B213" s="9" t="s">
        <v>4726</v>
      </c>
      <c r="C213" s="2">
        <v>6792</v>
      </c>
      <c r="D213" s="2" t="s">
        <v>214</v>
      </c>
      <c r="E213" s="9" t="s">
        <v>215</v>
      </c>
      <c r="F213" s="9" t="s">
        <v>841</v>
      </c>
      <c r="G213" s="1">
        <v>1374.6427000000001</v>
      </c>
      <c r="H213" s="2">
        <v>502</v>
      </c>
      <c r="I213" s="2">
        <v>2</v>
      </c>
      <c r="J213" s="1">
        <v>1374.6682000000001</v>
      </c>
      <c r="K213" s="1">
        <v>688.32860000000005</v>
      </c>
      <c r="L213" s="9" t="s">
        <v>673</v>
      </c>
      <c r="M213" s="2">
        <v>6.75</v>
      </c>
      <c r="N213" s="4">
        <v>5445.93</v>
      </c>
      <c r="O213" s="1">
        <v>18.523129795856221</v>
      </c>
      <c r="P213" s="6">
        <v>55.7</v>
      </c>
      <c r="Q213" s="6">
        <v>36.9</v>
      </c>
      <c r="R213" s="6">
        <v>11.2</v>
      </c>
      <c r="S213" s="6">
        <v>11.7</v>
      </c>
      <c r="T213" s="5">
        <v>1.4E-3</v>
      </c>
      <c r="U213" s="1">
        <v>2.5499999999999998E-2</v>
      </c>
      <c r="V213" s="1">
        <v>5.1984000000000004</v>
      </c>
    </row>
    <row r="214" spans="1:22" x14ac:dyDescent="0.25">
      <c r="A214" s="1">
        <v>0.95879999999999999</v>
      </c>
      <c r="B214" s="9" t="s">
        <v>4727</v>
      </c>
      <c r="C214" s="2">
        <v>6793</v>
      </c>
      <c r="D214" s="2" t="s">
        <v>154</v>
      </c>
      <c r="E214" s="9" t="s">
        <v>4728</v>
      </c>
      <c r="F214" s="9" t="s">
        <v>4334</v>
      </c>
      <c r="G214" s="1">
        <v>1085.6518000000001</v>
      </c>
      <c r="H214" s="2">
        <v>503</v>
      </c>
      <c r="I214" s="2">
        <v>2</v>
      </c>
      <c r="J214" s="1">
        <v>1085.6532</v>
      </c>
      <c r="K214" s="1">
        <v>543.83320000000003</v>
      </c>
      <c r="L214" s="9" t="s">
        <v>4335</v>
      </c>
      <c r="M214" s="2">
        <v>8.59</v>
      </c>
      <c r="N214" s="4">
        <v>5453.33</v>
      </c>
      <c r="O214" s="1">
        <v>1.2871593716602812</v>
      </c>
      <c r="P214" s="6">
        <v>35.200000000000003</v>
      </c>
      <c r="Q214" s="6">
        <v>25.7</v>
      </c>
      <c r="R214" s="6">
        <v>10.1</v>
      </c>
      <c r="S214" s="6">
        <v>10.1</v>
      </c>
      <c r="T214" s="5">
        <v>0.59</v>
      </c>
      <c r="U214" s="1">
        <v>1.4E-3</v>
      </c>
      <c r="V214" s="1">
        <v>2.1208</v>
      </c>
    </row>
    <row r="215" spans="1:22" x14ac:dyDescent="0.25">
      <c r="A215" s="1">
        <v>0.94650000000000001</v>
      </c>
      <c r="B215" s="9" t="s">
        <v>4729</v>
      </c>
      <c r="C215" s="2">
        <v>6818</v>
      </c>
      <c r="D215" s="2" t="s">
        <v>78</v>
      </c>
      <c r="E215" s="9" t="s">
        <v>2641</v>
      </c>
      <c r="F215" s="9" t="s">
        <v>2642</v>
      </c>
      <c r="G215" s="1">
        <v>1294.6955</v>
      </c>
      <c r="H215" s="2">
        <v>504</v>
      </c>
      <c r="I215" s="2">
        <v>2</v>
      </c>
      <c r="J215" s="1">
        <v>1294.7012</v>
      </c>
      <c r="K215" s="1">
        <v>648.35500000000002</v>
      </c>
      <c r="L215" s="9" t="s">
        <v>2643</v>
      </c>
      <c r="M215" s="2">
        <v>8.59</v>
      </c>
      <c r="N215" s="4">
        <v>5809.64</v>
      </c>
      <c r="O215" s="1">
        <v>4.3957399881237906</v>
      </c>
      <c r="P215" s="6">
        <v>40.299999999999997</v>
      </c>
      <c r="Q215" s="6">
        <v>32.1</v>
      </c>
      <c r="R215" s="6">
        <v>10</v>
      </c>
      <c r="S215" s="6">
        <v>12.1</v>
      </c>
      <c r="T215" s="5">
        <v>0.39</v>
      </c>
      <c r="U215" s="1">
        <v>5.7000000000000002E-3</v>
      </c>
      <c r="V215" s="1">
        <v>1.9058999999999999</v>
      </c>
    </row>
    <row r="216" spans="1:22" x14ac:dyDescent="0.25">
      <c r="A216" s="1">
        <v>0.94830000000000003</v>
      </c>
      <c r="B216" s="9" t="s">
        <v>4730</v>
      </c>
      <c r="C216" s="2">
        <v>6820</v>
      </c>
      <c r="D216" s="2" t="s">
        <v>250</v>
      </c>
      <c r="E216" s="9" t="s">
        <v>873</v>
      </c>
      <c r="F216" s="9" t="s">
        <v>112</v>
      </c>
      <c r="G216" s="1">
        <v>1125.6831</v>
      </c>
      <c r="H216" s="2">
        <v>506</v>
      </c>
      <c r="I216" s="2">
        <v>2</v>
      </c>
      <c r="J216" s="1">
        <v>1125.6889000000001</v>
      </c>
      <c r="K216" s="1">
        <v>563.84879999999998</v>
      </c>
      <c r="L216" s="9" t="s">
        <v>113</v>
      </c>
      <c r="M216" s="2">
        <v>8.56</v>
      </c>
      <c r="N216" s="4">
        <v>5839.24</v>
      </c>
      <c r="O216" s="1">
        <v>5.1432227930608345</v>
      </c>
      <c r="P216" s="6">
        <v>28.8</v>
      </c>
      <c r="Q216" s="6">
        <v>26.9</v>
      </c>
      <c r="R216" s="6">
        <v>10.8</v>
      </c>
      <c r="S216" s="6">
        <v>10.5</v>
      </c>
      <c r="T216" s="5">
        <v>0.11</v>
      </c>
      <c r="U216" s="1">
        <v>5.7999999999999996E-3</v>
      </c>
      <c r="V216" s="1">
        <v>1.9291</v>
      </c>
    </row>
    <row r="217" spans="1:22" x14ac:dyDescent="0.25">
      <c r="A217" s="1">
        <v>1</v>
      </c>
      <c r="B217" s="9" t="s">
        <v>4731</v>
      </c>
      <c r="C217" s="2">
        <v>6830</v>
      </c>
      <c r="D217" s="2" t="s">
        <v>168</v>
      </c>
      <c r="E217" s="9" t="s">
        <v>3528</v>
      </c>
      <c r="F217" s="9" t="s">
        <v>3529</v>
      </c>
      <c r="G217" s="1">
        <v>2128.1826999999998</v>
      </c>
      <c r="H217" s="2">
        <v>535</v>
      </c>
      <c r="I217" s="2">
        <v>3</v>
      </c>
      <c r="J217" s="1">
        <v>2128.2040000000002</v>
      </c>
      <c r="K217" s="1">
        <v>710.40150000000006</v>
      </c>
      <c r="L217" s="9" t="s">
        <v>3530</v>
      </c>
      <c r="M217" s="2">
        <v>9.99</v>
      </c>
      <c r="N217" s="4">
        <v>5997.05</v>
      </c>
      <c r="O217" s="1">
        <v>9.9943482664380614</v>
      </c>
      <c r="P217" s="6">
        <v>34.4</v>
      </c>
      <c r="Q217" s="6">
        <v>20.8</v>
      </c>
      <c r="R217" s="6">
        <v>8</v>
      </c>
      <c r="S217" s="6">
        <v>7.9</v>
      </c>
      <c r="T217" s="5">
        <v>1.7E-6</v>
      </c>
      <c r="U217" s="1">
        <v>2.1299999999999999E-2</v>
      </c>
      <c r="V217" s="1">
        <v>8.3262</v>
      </c>
    </row>
    <row r="218" spans="1:22" x14ac:dyDescent="0.25">
      <c r="A218" s="1">
        <v>0.99980000000000002</v>
      </c>
      <c r="B218" s="9" t="s">
        <v>4732</v>
      </c>
      <c r="C218" s="2">
        <v>6854</v>
      </c>
      <c r="D218" s="2" t="s">
        <v>770</v>
      </c>
      <c r="E218" s="9" t="s">
        <v>289</v>
      </c>
      <c r="F218" s="9" t="s">
        <v>290</v>
      </c>
      <c r="G218" s="1">
        <v>1831.9757</v>
      </c>
      <c r="H218" s="2">
        <v>536</v>
      </c>
      <c r="I218" s="2">
        <v>3</v>
      </c>
      <c r="J218" s="1">
        <v>1831.9906000000001</v>
      </c>
      <c r="K218" s="1">
        <v>611.66579999999999</v>
      </c>
      <c r="L218" s="9" t="s">
        <v>291</v>
      </c>
      <c r="M218" s="2">
        <v>6.17</v>
      </c>
      <c r="N218" s="4">
        <v>6304.25</v>
      </c>
      <c r="O218" s="1">
        <v>8.1199025132133702</v>
      </c>
      <c r="P218" s="6">
        <v>37.9</v>
      </c>
      <c r="Q218" s="6">
        <v>23.3</v>
      </c>
      <c r="R218" s="6">
        <v>11.7</v>
      </c>
      <c r="S218" s="6">
        <v>11.2</v>
      </c>
      <c r="T218" s="5">
        <v>6.8000000000000005E-4</v>
      </c>
      <c r="U218" s="1">
        <v>1.49E-2</v>
      </c>
      <c r="V218" s="1">
        <v>6.1576000000000004</v>
      </c>
    </row>
    <row r="219" spans="1:22" x14ac:dyDescent="0.25">
      <c r="A219" s="1">
        <v>0.99539999999999995</v>
      </c>
      <c r="B219" s="9" t="s">
        <v>4733</v>
      </c>
      <c r="C219" s="2">
        <v>6862</v>
      </c>
      <c r="D219" s="2" t="s">
        <v>33</v>
      </c>
      <c r="E219" s="9" t="s">
        <v>299</v>
      </c>
      <c r="F219" s="9" t="s">
        <v>2163</v>
      </c>
      <c r="G219" s="1">
        <v>1122.5851</v>
      </c>
      <c r="H219" s="2">
        <v>510</v>
      </c>
      <c r="I219" s="2">
        <v>2</v>
      </c>
      <c r="J219" s="1">
        <v>1122.5912000000001</v>
      </c>
      <c r="K219" s="1">
        <v>562.2998</v>
      </c>
      <c r="L219" s="9" t="s">
        <v>673</v>
      </c>
      <c r="M219" s="2">
        <v>8.35</v>
      </c>
      <c r="N219" s="4">
        <v>6441.26</v>
      </c>
      <c r="O219" s="1">
        <v>5.4241527384502009</v>
      </c>
      <c r="P219" s="6">
        <v>46.4</v>
      </c>
      <c r="Q219" s="6">
        <v>34.299999999999997</v>
      </c>
      <c r="R219" s="6">
        <v>11.7</v>
      </c>
      <c r="S219" s="6">
        <v>11.5</v>
      </c>
      <c r="T219" s="5">
        <v>4.2999999999999997E-2</v>
      </c>
      <c r="U219" s="1">
        <v>6.1000000000000004E-3</v>
      </c>
      <c r="V219" s="1">
        <v>3.6551</v>
      </c>
    </row>
    <row r="220" spans="1:22" x14ac:dyDescent="0.25">
      <c r="A220" s="1">
        <v>1</v>
      </c>
      <c r="B220" s="9" t="s">
        <v>4734</v>
      </c>
      <c r="C220" s="2">
        <v>6892</v>
      </c>
      <c r="D220" s="2" t="s">
        <v>4735</v>
      </c>
      <c r="E220" s="9" t="s">
        <v>4736</v>
      </c>
      <c r="F220" s="9" t="s">
        <v>4737</v>
      </c>
      <c r="G220" s="1">
        <v>3124.4376999999999</v>
      </c>
      <c r="H220" s="2">
        <v>145</v>
      </c>
      <c r="I220" s="2">
        <v>4</v>
      </c>
      <c r="J220" s="1">
        <v>3127.0450999999998</v>
      </c>
      <c r="K220" s="1">
        <v>782.11670000000004</v>
      </c>
      <c r="L220" s="9" t="s">
        <v>4738</v>
      </c>
      <c r="M220" s="2">
        <v>4.8899999999999997</v>
      </c>
      <c r="N220" s="4">
        <v>6906.23</v>
      </c>
      <c r="O220" s="1">
        <v>0</v>
      </c>
      <c r="P220" s="6">
        <v>38.299999999999997</v>
      </c>
      <c r="Q220" s="6">
        <v>28.4</v>
      </c>
      <c r="R220" s="6">
        <v>7.4</v>
      </c>
      <c r="S220" s="6">
        <v>11.4</v>
      </c>
      <c r="T220" s="5">
        <v>5.2999999999999999E-2</v>
      </c>
      <c r="U220" s="1">
        <v>2.6074000000000002</v>
      </c>
      <c r="V220" s="1">
        <v>2.3254999999999999</v>
      </c>
    </row>
    <row r="221" spans="1:22" x14ac:dyDescent="0.25">
      <c r="A221" s="1">
        <v>0.99919999999999998</v>
      </c>
      <c r="B221" s="9" t="s">
        <v>4739</v>
      </c>
      <c r="C221" s="2">
        <v>6898</v>
      </c>
      <c r="D221" s="2" t="s">
        <v>270</v>
      </c>
      <c r="E221" s="9" t="s">
        <v>1422</v>
      </c>
      <c r="F221" s="9" t="s">
        <v>340</v>
      </c>
      <c r="G221" s="1">
        <v>1774.9539</v>
      </c>
      <c r="H221" s="2">
        <v>514</v>
      </c>
      <c r="I221" s="2">
        <v>2</v>
      </c>
      <c r="J221" s="1">
        <v>1774.9602</v>
      </c>
      <c r="K221" s="1">
        <v>888.48419999999999</v>
      </c>
      <c r="L221" s="9" t="s">
        <v>341</v>
      </c>
      <c r="M221" s="2">
        <v>6.24</v>
      </c>
      <c r="N221" s="4">
        <v>7022.73</v>
      </c>
      <c r="O221" s="1">
        <v>3.5453641156477516</v>
      </c>
      <c r="P221" s="6">
        <v>42.5</v>
      </c>
      <c r="Q221" s="6">
        <v>26.7</v>
      </c>
      <c r="R221" s="6">
        <v>11.8</v>
      </c>
      <c r="S221" s="6">
        <v>11.6</v>
      </c>
      <c r="T221" s="5">
        <v>6.2E-4</v>
      </c>
      <c r="U221" s="1">
        <v>6.3E-3</v>
      </c>
      <c r="V221" s="1">
        <v>5.1479999999999997</v>
      </c>
    </row>
    <row r="222" spans="1:22" x14ac:dyDescent="0.25">
      <c r="A222" s="1">
        <v>0.99690000000000001</v>
      </c>
      <c r="B222" s="9" t="s">
        <v>4740</v>
      </c>
      <c r="C222" s="2">
        <v>6905</v>
      </c>
      <c r="D222" s="2" t="s">
        <v>115</v>
      </c>
      <c r="E222" s="9" t="s">
        <v>407</v>
      </c>
      <c r="F222" s="9" t="s">
        <v>290</v>
      </c>
      <c r="G222" s="1">
        <v>1645.8596</v>
      </c>
      <c r="H222" s="2">
        <v>515</v>
      </c>
      <c r="I222" s="2">
        <v>2</v>
      </c>
      <c r="J222" s="1">
        <v>1645.8552999999999</v>
      </c>
      <c r="K222" s="1">
        <v>823.93709999999999</v>
      </c>
      <c r="L222" s="9" t="s">
        <v>291</v>
      </c>
      <c r="M222" s="2">
        <v>4.8499999999999996</v>
      </c>
      <c r="N222" s="4">
        <v>7098.08</v>
      </c>
      <c r="O222" s="1">
        <v>-2.6094224911100619</v>
      </c>
      <c r="P222" s="6">
        <v>45.4</v>
      </c>
      <c r="Q222" s="6">
        <v>32.5</v>
      </c>
      <c r="R222" s="6">
        <v>10.3</v>
      </c>
      <c r="S222" s="6">
        <v>11.4</v>
      </c>
      <c r="T222" s="5">
        <v>4.2999999999999999E-4</v>
      </c>
      <c r="U222" s="1">
        <v>-4.3E-3</v>
      </c>
      <c r="V222" s="1">
        <v>5.1007999999999996</v>
      </c>
    </row>
    <row r="223" spans="1:22" x14ac:dyDescent="0.25">
      <c r="A223" s="1">
        <v>0.9919</v>
      </c>
      <c r="B223" s="9" t="s">
        <v>4741</v>
      </c>
      <c r="C223" s="2">
        <v>6907</v>
      </c>
      <c r="D223" s="2" t="s">
        <v>214</v>
      </c>
      <c r="E223" s="9" t="s">
        <v>394</v>
      </c>
      <c r="F223" s="9" t="s">
        <v>2191</v>
      </c>
      <c r="G223" s="1">
        <v>1382.8207</v>
      </c>
      <c r="H223" s="2">
        <v>516</v>
      </c>
      <c r="I223" s="2">
        <v>2</v>
      </c>
      <c r="J223" s="1">
        <v>1382.817</v>
      </c>
      <c r="K223" s="1">
        <v>692.41759999999999</v>
      </c>
      <c r="L223" s="9" t="s">
        <v>2161</v>
      </c>
      <c r="M223" s="2">
        <v>8.59</v>
      </c>
      <c r="N223" s="4">
        <v>7112.98</v>
      </c>
      <c r="O223" s="1">
        <v>-2.6717980594369641</v>
      </c>
      <c r="P223" s="6">
        <v>56.7</v>
      </c>
      <c r="Q223" s="6">
        <v>37.200000000000003</v>
      </c>
      <c r="R223" s="6">
        <v>11.9</v>
      </c>
      <c r="S223" s="6">
        <v>12.9</v>
      </c>
      <c r="T223" s="5">
        <v>3.6999999999999998E-2</v>
      </c>
      <c r="U223" s="1">
        <v>-3.7000000000000002E-3</v>
      </c>
      <c r="V223" s="1">
        <v>3.6496</v>
      </c>
    </row>
    <row r="224" spans="1:22" x14ac:dyDescent="0.25">
      <c r="A224" s="1">
        <v>0.99990000000000001</v>
      </c>
      <c r="B224" s="9" t="s">
        <v>4742</v>
      </c>
      <c r="C224" s="2">
        <v>6916</v>
      </c>
      <c r="D224" s="2" t="s">
        <v>3559</v>
      </c>
      <c r="E224" s="9" t="s">
        <v>3356</v>
      </c>
      <c r="F224" s="9" t="s">
        <v>3357</v>
      </c>
      <c r="G224" s="1">
        <v>3194.9847</v>
      </c>
      <c r="H224" s="2">
        <v>546</v>
      </c>
      <c r="I224" s="2">
        <v>4</v>
      </c>
      <c r="J224" s="1">
        <v>3195.0065</v>
      </c>
      <c r="K224" s="1">
        <v>799.75350000000003</v>
      </c>
      <c r="L224" s="9" t="s">
        <v>2161</v>
      </c>
      <c r="M224" s="2">
        <v>10.29</v>
      </c>
      <c r="N224" s="4">
        <v>7205.49</v>
      </c>
      <c r="O224" s="1">
        <v>6.8145997485475203</v>
      </c>
      <c r="P224" s="6">
        <v>48.5</v>
      </c>
      <c r="Q224" s="6">
        <v>48.5</v>
      </c>
      <c r="R224" s="6">
        <v>12.4</v>
      </c>
      <c r="S224" s="6">
        <v>13.2</v>
      </c>
      <c r="T224" s="5">
        <v>1.1000000000000001E-6</v>
      </c>
      <c r="U224" s="1">
        <v>2.18E-2</v>
      </c>
      <c r="V224" s="1">
        <v>5.2956000000000003</v>
      </c>
    </row>
    <row r="225" spans="1:22" x14ac:dyDescent="0.25">
      <c r="A225" s="1">
        <v>0.98419999999999996</v>
      </c>
      <c r="B225" s="9" t="s">
        <v>4743</v>
      </c>
      <c r="C225" s="2">
        <v>6921</v>
      </c>
      <c r="D225" s="2" t="s">
        <v>141</v>
      </c>
      <c r="E225" s="9" t="s">
        <v>414</v>
      </c>
      <c r="F225" s="9" t="s">
        <v>415</v>
      </c>
      <c r="G225" s="1">
        <v>1348.7424000000001</v>
      </c>
      <c r="H225" s="2">
        <v>517</v>
      </c>
      <c r="I225" s="2">
        <v>2</v>
      </c>
      <c r="J225" s="1">
        <v>1348.7511</v>
      </c>
      <c r="K225" s="1">
        <v>675.37850000000003</v>
      </c>
      <c r="L225" s="9" t="s">
        <v>416</v>
      </c>
      <c r="M225" s="2">
        <v>8.59</v>
      </c>
      <c r="N225" s="4">
        <v>7266.69</v>
      </c>
      <c r="O225" s="1">
        <v>6.4408328070852114</v>
      </c>
      <c r="P225" s="6">
        <v>48.1</v>
      </c>
      <c r="Q225" s="6">
        <v>33.6</v>
      </c>
      <c r="R225" s="6">
        <v>10.5</v>
      </c>
      <c r="S225" s="6">
        <v>11.4</v>
      </c>
      <c r="T225" s="5">
        <v>0.16</v>
      </c>
      <c r="U225" s="1">
        <v>8.6999999999999994E-3</v>
      </c>
      <c r="V225" s="1">
        <v>2.7383000000000002</v>
      </c>
    </row>
    <row r="226" spans="1:22" x14ac:dyDescent="0.25">
      <c r="A226" s="1">
        <v>0.98909999999999998</v>
      </c>
      <c r="B226" s="9" t="s">
        <v>4744</v>
      </c>
      <c r="C226" s="2">
        <v>6932</v>
      </c>
      <c r="D226" s="2" t="s">
        <v>69</v>
      </c>
      <c r="E226" s="9" t="s">
        <v>3372</v>
      </c>
      <c r="F226" s="9" t="s">
        <v>2488</v>
      </c>
      <c r="G226" s="1">
        <v>1297.674</v>
      </c>
      <c r="H226" s="2">
        <v>519</v>
      </c>
      <c r="I226" s="2">
        <v>2</v>
      </c>
      <c r="J226" s="1">
        <v>1297.6832999999999</v>
      </c>
      <c r="K226" s="1">
        <v>649.84429999999998</v>
      </c>
      <c r="L226" s="9" t="s">
        <v>2489</v>
      </c>
      <c r="M226" s="2">
        <v>6.25</v>
      </c>
      <c r="N226" s="4">
        <v>7420.8</v>
      </c>
      <c r="O226" s="1">
        <v>7.1555601857244877</v>
      </c>
      <c r="P226" s="6">
        <v>41.2</v>
      </c>
      <c r="Q226" s="6">
        <v>31.2</v>
      </c>
      <c r="R226" s="6">
        <v>6.8</v>
      </c>
      <c r="S226" s="6">
        <v>11.7</v>
      </c>
      <c r="T226" s="5">
        <v>3.3000000000000002E-2</v>
      </c>
      <c r="U226" s="1">
        <v>9.2999999999999992E-3</v>
      </c>
      <c r="V226" s="1">
        <v>3.5137999999999998</v>
      </c>
    </row>
    <row r="227" spans="1:22" x14ac:dyDescent="0.25">
      <c r="A227" s="1">
        <v>0.99719999999999998</v>
      </c>
      <c r="B227" s="9" t="s">
        <v>4745</v>
      </c>
      <c r="C227" s="2">
        <v>6934</v>
      </c>
      <c r="D227" s="2" t="s">
        <v>88</v>
      </c>
      <c r="E227" s="9" t="s">
        <v>1493</v>
      </c>
      <c r="F227" s="9" t="s">
        <v>659</v>
      </c>
      <c r="G227" s="1">
        <v>1400.7697000000001</v>
      </c>
      <c r="H227" s="2">
        <v>863</v>
      </c>
      <c r="I227" s="2">
        <v>2</v>
      </c>
      <c r="J227" s="1">
        <v>1400.7697000000001</v>
      </c>
      <c r="K227" s="1">
        <v>701.39210000000003</v>
      </c>
      <c r="L227" s="9" t="s">
        <v>660</v>
      </c>
      <c r="M227" s="2">
        <v>5.96</v>
      </c>
      <c r="N227" s="4">
        <v>7448.75</v>
      </c>
      <c r="O227" s="1">
        <v>0</v>
      </c>
      <c r="P227" s="6">
        <v>60.6</v>
      </c>
      <c r="Q227" s="6">
        <v>42</v>
      </c>
      <c r="R227" s="6">
        <v>9.9</v>
      </c>
      <c r="S227" s="6">
        <v>11.5</v>
      </c>
      <c r="T227" s="5">
        <v>5.8999999999999999E-3</v>
      </c>
      <c r="U227" s="1">
        <v>0</v>
      </c>
      <c r="V227" s="1">
        <v>4.3567999999999998</v>
      </c>
    </row>
    <row r="228" spans="1:22" x14ac:dyDescent="0.25">
      <c r="A228" s="1">
        <v>0.99739999999999995</v>
      </c>
      <c r="B228" s="9" t="s">
        <v>4746</v>
      </c>
      <c r="C228" s="2">
        <v>6938</v>
      </c>
      <c r="D228" s="2" t="s">
        <v>93</v>
      </c>
      <c r="E228" s="9" t="s">
        <v>467</v>
      </c>
      <c r="F228" s="9" t="s">
        <v>391</v>
      </c>
      <c r="G228" s="1">
        <v>1351.6992</v>
      </c>
      <c r="H228" s="2">
        <v>520</v>
      </c>
      <c r="I228" s="2">
        <v>2</v>
      </c>
      <c r="J228" s="1">
        <v>1351.6917000000001</v>
      </c>
      <c r="K228" s="1">
        <v>676.8569</v>
      </c>
      <c r="L228" s="9" t="s">
        <v>364</v>
      </c>
      <c r="M228" s="2">
        <v>6.74</v>
      </c>
      <c r="N228" s="4">
        <v>7500</v>
      </c>
      <c r="O228" s="1">
        <v>-5.5403143559591399</v>
      </c>
      <c r="P228" s="6">
        <v>51</v>
      </c>
      <c r="Q228" s="6">
        <v>42.4</v>
      </c>
      <c r="R228" s="6">
        <v>12.2</v>
      </c>
      <c r="S228" s="6">
        <v>12</v>
      </c>
      <c r="T228" s="5">
        <v>2.7E-4</v>
      </c>
      <c r="U228" s="1">
        <v>-7.4999999999999997E-3</v>
      </c>
      <c r="V228" s="1">
        <v>5.1776</v>
      </c>
    </row>
    <row r="229" spans="1:22" x14ac:dyDescent="0.25">
      <c r="A229" s="1">
        <v>0.99970000000000003</v>
      </c>
      <c r="B229" s="9" t="s">
        <v>4747</v>
      </c>
      <c r="C229" s="2">
        <v>6950</v>
      </c>
      <c r="D229" s="2" t="s">
        <v>1544</v>
      </c>
      <c r="E229" s="9" t="s">
        <v>494</v>
      </c>
      <c r="F229" s="9" t="s">
        <v>495</v>
      </c>
      <c r="G229" s="1">
        <v>1368.7327</v>
      </c>
      <c r="H229" s="2">
        <v>521</v>
      </c>
      <c r="I229" s="2">
        <v>2</v>
      </c>
      <c r="J229" s="1">
        <v>1368.7444</v>
      </c>
      <c r="K229" s="1">
        <v>685.37360000000001</v>
      </c>
      <c r="L229" s="9" t="s">
        <v>157</v>
      </c>
      <c r="M229" s="2">
        <v>4.75</v>
      </c>
      <c r="N229" s="4">
        <v>7624.75</v>
      </c>
      <c r="O229" s="1">
        <v>8.5354907163042171</v>
      </c>
      <c r="P229" s="6">
        <v>53.6</v>
      </c>
      <c r="Q229" s="6">
        <v>33.4</v>
      </c>
      <c r="R229" s="6">
        <v>12.2</v>
      </c>
      <c r="S229" s="6">
        <v>11</v>
      </c>
      <c r="T229" s="5">
        <v>5.5999999999999999E-5</v>
      </c>
      <c r="U229" s="1">
        <v>1.17E-2</v>
      </c>
      <c r="V229" s="1">
        <v>6.4169</v>
      </c>
    </row>
    <row r="230" spans="1:22" x14ac:dyDescent="0.25">
      <c r="A230" s="1">
        <v>0.98580000000000001</v>
      </c>
      <c r="B230" s="9" t="s">
        <v>4748</v>
      </c>
      <c r="C230" s="2">
        <v>6959</v>
      </c>
      <c r="D230" s="2" t="s">
        <v>1488</v>
      </c>
      <c r="E230" s="9" t="s">
        <v>4749</v>
      </c>
      <c r="F230" s="9" t="s">
        <v>1446</v>
      </c>
      <c r="G230" s="1">
        <v>1716.9077</v>
      </c>
      <c r="H230" s="2">
        <v>523</v>
      </c>
      <c r="I230" s="2">
        <v>2</v>
      </c>
      <c r="J230" s="1">
        <v>1716.8972000000001</v>
      </c>
      <c r="K230" s="1">
        <v>859.46109999999999</v>
      </c>
      <c r="L230" s="9" t="s">
        <v>1447</v>
      </c>
      <c r="M230" s="2">
        <v>6.25</v>
      </c>
      <c r="N230" s="4">
        <v>7790.46</v>
      </c>
      <c r="O230" s="1">
        <v>-6.1084789061424658</v>
      </c>
      <c r="P230" s="6">
        <v>52.5</v>
      </c>
      <c r="Q230" s="6">
        <v>52.5</v>
      </c>
      <c r="R230" s="6">
        <v>11.3</v>
      </c>
      <c r="S230" s="6">
        <v>7.1</v>
      </c>
      <c r="T230" s="5">
        <v>4.1E-5</v>
      </c>
      <c r="U230" s="1">
        <v>-1.0500000000000001E-2</v>
      </c>
      <c r="V230" s="1">
        <v>4.5732999999999997</v>
      </c>
    </row>
    <row r="231" spans="1:22" x14ac:dyDescent="0.25">
      <c r="A231" s="1">
        <v>0.99990000000000001</v>
      </c>
      <c r="B231" s="9" t="s">
        <v>4750</v>
      </c>
      <c r="C231" s="2">
        <v>6964</v>
      </c>
      <c r="D231" s="2" t="s">
        <v>1321</v>
      </c>
      <c r="E231" s="9" t="s">
        <v>998</v>
      </c>
      <c r="F231" s="9" t="s">
        <v>1522</v>
      </c>
      <c r="G231" s="1">
        <v>1773.9947</v>
      </c>
      <c r="H231" s="2">
        <v>524</v>
      </c>
      <c r="I231" s="2">
        <v>2</v>
      </c>
      <c r="J231" s="1">
        <v>1774.0056999999999</v>
      </c>
      <c r="K231" s="1">
        <v>888.00459999999998</v>
      </c>
      <c r="L231" s="9" t="s">
        <v>603</v>
      </c>
      <c r="M231" s="2">
        <v>4.8499999999999996</v>
      </c>
      <c r="N231" s="4">
        <v>7867.86</v>
      </c>
      <c r="O231" s="1">
        <v>6.1936616094105821</v>
      </c>
      <c r="P231" s="6">
        <v>51</v>
      </c>
      <c r="Q231" s="6">
        <v>23.2</v>
      </c>
      <c r="R231" s="6">
        <v>11.5</v>
      </c>
      <c r="S231" s="6">
        <v>13.8</v>
      </c>
      <c r="T231" s="5">
        <v>2.9000000000000002E-8</v>
      </c>
      <c r="U231" s="1">
        <v>1.0999999999999999E-2</v>
      </c>
      <c r="V231" s="1">
        <v>9.8219999999999992</v>
      </c>
    </row>
    <row r="232" spans="1:22" x14ac:dyDescent="0.25">
      <c r="A232" s="1">
        <v>0.99919999999999998</v>
      </c>
      <c r="B232" s="9" t="s">
        <v>4751</v>
      </c>
      <c r="C232" s="2">
        <v>6989</v>
      </c>
      <c r="D232" s="2" t="s">
        <v>1321</v>
      </c>
      <c r="E232" s="9" t="s">
        <v>646</v>
      </c>
      <c r="F232" s="9" t="s">
        <v>647</v>
      </c>
      <c r="G232" s="1">
        <v>1601.8521000000001</v>
      </c>
      <c r="H232" s="2">
        <v>526</v>
      </c>
      <c r="I232" s="2">
        <v>2</v>
      </c>
      <c r="J232" s="1">
        <v>1601.8585</v>
      </c>
      <c r="K232" s="1">
        <v>801.93330000000003</v>
      </c>
      <c r="L232" s="9" t="s">
        <v>118</v>
      </c>
      <c r="M232" s="2">
        <v>6.21</v>
      </c>
      <c r="N232" s="4">
        <v>8559.4</v>
      </c>
      <c r="O232" s="1">
        <v>3.9903568039885613</v>
      </c>
      <c r="P232" s="6">
        <v>49.1</v>
      </c>
      <c r="Q232" s="6">
        <v>31.8</v>
      </c>
      <c r="R232" s="6">
        <v>11.7</v>
      </c>
      <c r="S232" s="6">
        <v>9.9</v>
      </c>
      <c r="T232" s="5">
        <v>3.1E-4</v>
      </c>
      <c r="U232" s="1">
        <v>6.4000000000000003E-3</v>
      </c>
      <c r="V232" s="1">
        <v>5.1931000000000003</v>
      </c>
    </row>
  </sheetData>
  <mergeCells count="1">
    <mergeCell ref="A2:I2"/>
  </mergeCells>
  <phoneticPr fontId="21" type="noConversion"/>
  <hyperlinks>
    <hyperlink ref="J1" location="'Supplementary Table 2'!A1" display="back to index"/>
  </hyperlinks>
  <pageMargins left="0.39000000000000007" right="0.39000000000000007" top="0.39000000000000007" bottom="0.39000000000000007" header="0" footer="0"/>
  <pageSetup orientation="landscape" r:id="rId1"/>
  <ignoredErrors>
    <ignoredError sqref="A5:N232 A4:N4 P4:V4 P5:V232" twoDigitTextYear="1"/>
  </ignoredError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5"/>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1"/>
    <col min="16" max="19" width="15.7109375" style="6"/>
    <col min="20" max="20" width="15.7109375" style="5"/>
    <col min="21" max="22" width="15.7109375" style="1"/>
    <col min="23" max="16384" width="15.7109375" style="2"/>
  </cols>
  <sheetData>
    <row r="1" spans="1:22" ht="15" customHeight="1" x14ac:dyDescent="0.25">
      <c r="A1" s="12" t="s">
        <v>5403</v>
      </c>
      <c r="J1" s="26" t="s">
        <v>5405</v>
      </c>
    </row>
    <row r="2" spans="1:22" s="21" customFormat="1" ht="90" customHeight="1" x14ac:dyDescent="0.25">
      <c r="A2" s="34" t="s">
        <v>5384</v>
      </c>
      <c r="B2" s="34"/>
      <c r="C2" s="34"/>
      <c r="D2" s="34"/>
      <c r="E2" s="34"/>
      <c r="F2" s="34"/>
      <c r="G2" s="34"/>
      <c r="H2" s="34"/>
      <c r="I2" s="34"/>
      <c r="N2" s="22"/>
      <c r="O2" s="1"/>
      <c r="P2" s="23"/>
      <c r="Q2" s="23"/>
      <c r="R2" s="23"/>
      <c r="S2" s="23"/>
      <c r="T2" s="24"/>
      <c r="U2" s="25"/>
      <c r="V2" s="25"/>
    </row>
    <row r="3" spans="1:22" s="8" customFormat="1" ht="45" x14ac:dyDescent="0.25">
      <c r="A3" s="7" t="str">
        <f>'MMP1-G'!A3</f>
        <v>probability</v>
      </c>
      <c r="B3" s="7" t="str">
        <f>'MMP1-G'!B3</f>
        <v>spectrum</v>
      </c>
      <c r="C3" s="7" t="str">
        <f>'MMP1-G'!C3</f>
        <v>start scan</v>
      </c>
      <c r="D3" s="7" t="str">
        <f>'MMP1-G'!D3</f>
        <v>ions</v>
      </c>
      <c r="E3" s="7" t="str">
        <f>'MMP1-G'!E3</f>
        <v>peptide</v>
      </c>
      <c r="F3" s="7" t="str">
        <f>'MMP1-G'!F3</f>
        <v>protein</v>
      </c>
      <c r="G3" s="7" t="str">
        <f>'MMP1-G'!G3</f>
        <v>calculated neutral
peptide mass</v>
      </c>
      <c r="H3" s="7" t="str">
        <f>'MMP1-G'!H3</f>
        <v>index</v>
      </c>
      <c r="I3" s="7" t="str">
        <f>'MMP1-G'!I3</f>
        <v>assumed charge</v>
      </c>
      <c r="J3" s="7" t="str">
        <f>'MMP1-G'!J3</f>
        <v>precursor neutral mass</v>
      </c>
      <c r="K3" s="7" t="str">
        <f>'MMP1-G'!K3</f>
        <v>m/z ratio</v>
      </c>
      <c r="L3" s="7" t="str">
        <f>'MMP1-G'!L3</f>
        <v>protein description</v>
      </c>
      <c r="M3" s="7" t="str">
        <f>'MMP1-G'!M3</f>
        <v>pI</v>
      </c>
      <c r="N3" s="7" t="str">
        <f>'MMP1-G'!N3</f>
        <v>retention
time (sec)</v>
      </c>
      <c r="O3" s="7" t="str">
        <f>'MMP1-G'!O3</f>
        <v>ppm</v>
      </c>
      <c r="P3" s="7" t="str">
        <f>'MMP1-G'!P3</f>
        <v>hyperscore</v>
      </c>
      <c r="Q3" s="7" t="str">
        <f>'MMP1-G'!Q3</f>
        <v>nextscore</v>
      </c>
      <c r="R3" s="7" t="str">
        <f>'MMP1-G'!R3</f>
        <v>bscore</v>
      </c>
      <c r="S3" s="7" t="str">
        <f>'MMP1-G'!S3</f>
        <v>yscore</v>
      </c>
      <c r="T3" s="7" t="str">
        <f>'MMP1-G'!T3</f>
        <v>expect</v>
      </c>
      <c r="U3" s="7" t="str">
        <f>'MMP1-G'!U3</f>
        <v>mass diff</v>
      </c>
      <c r="V3" s="7" t="str">
        <f>'MMP1-G'!V3</f>
        <v>fval</v>
      </c>
    </row>
    <row r="4" spans="1:22" x14ac:dyDescent="0.25">
      <c r="A4" s="1">
        <v>0.99850000000000005</v>
      </c>
      <c r="B4" s="9" t="s">
        <v>4752</v>
      </c>
      <c r="C4" s="2">
        <v>1937</v>
      </c>
      <c r="D4" s="3" t="s">
        <v>779</v>
      </c>
      <c r="E4" s="9" t="s">
        <v>4753</v>
      </c>
      <c r="F4" s="9" t="s">
        <v>195</v>
      </c>
      <c r="G4" s="1">
        <v>1397.9517000000001</v>
      </c>
      <c r="H4" s="2">
        <v>438</v>
      </c>
      <c r="I4" s="2">
        <v>3</v>
      </c>
      <c r="J4" s="1">
        <v>1397.9061999999999</v>
      </c>
      <c r="K4" s="1">
        <v>466.99119999999999</v>
      </c>
      <c r="L4" s="9" t="s">
        <v>196</v>
      </c>
      <c r="M4" s="2">
        <v>10.7</v>
      </c>
      <c r="N4" s="4">
        <v>2074.36</v>
      </c>
      <c r="O4" s="1">
        <v>-32.477414278184831</v>
      </c>
      <c r="P4" s="6">
        <v>33.299999999999997</v>
      </c>
      <c r="Q4" s="6">
        <v>22.7</v>
      </c>
      <c r="R4" s="6">
        <v>7.3</v>
      </c>
      <c r="S4" s="6">
        <v>8.5</v>
      </c>
      <c r="T4" s="5">
        <v>1.0999999999999999E-2</v>
      </c>
      <c r="U4" s="1">
        <v>-4.5499999999999999E-2</v>
      </c>
      <c r="V4" s="1">
        <v>4.8391000000000002</v>
      </c>
    </row>
    <row r="5" spans="1:22" x14ac:dyDescent="0.25">
      <c r="A5" s="1">
        <v>0.99070000000000003</v>
      </c>
      <c r="B5" s="9" t="s">
        <v>4754</v>
      </c>
      <c r="C5" s="2">
        <v>1962</v>
      </c>
      <c r="D5" s="3" t="s">
        <v>670</v>
      </c>
      <c r="E5" s="9" t="s">
        <v>4755</v>
      </c>
      <c r="F5" s="9" t="s">
        <v>4756</v>
      </c>
      <c r="G5" s="1">
        <v>1284.5997</v>
      </c>
      <c r="H5" s="2">
        <v>1341</v>
      </c>
      <c r="I5" s="2">
        <v>3</v>
      </c>
      <c r="J5" s="1">
        <v>1284.5782999999999</v>
      </c>
      <c r="K5" s="1">
        <v>429.2072</v>
      </c>
      <c r="L5" s="9" t="s">
        <v>4757</v>
      </c>
      <c r="M5" s="2">
        <v>12</v>
      </c>
      <c r="N5" s="4">
        <v>2117.91</v>
      </c>
      <c r="O5" s="1">
        <v>-16.619789540653869</v>
      </c>
      <c r="P5" s="6">
        <v>31.8</v>
      </c>
      <c r="Q5" s="6">
        <v>26</v>
      </c>
      <c r="R5" s="6">
        <v>11.4</v>
      </c>
      <c r="S5" s="6">
        <v>8.9</v>
      </c>
      <c r="T5" s="5">
        <v>2.9000000000000001E-2</v>
      </c>
      <c r="U5" s="1">
        <v>-2.1399999999999999E-2</v>
      </c>
      <c r="V5" s="1">
        <v>3.5926999999999998</v>
      </c>
    </row>
    <row r="6" spans="1:22" x14ac:dyDescent="0.25">
      <c r="A6" s="1">
        <v>0.99260000000000004</v>
      </c>
      <c r="B6" s="9" t="s">
        <v>4758</v>
      </c>
      <c r="C6" s="2">
        <v>1970</v>
      </c>
      <c r="D6" s="3" t="s">
        <v>1626</v>
      </c>
      <c r="E6" s="9" t="s">
        <v>4759</v>
      </c>
      <c r="F6" s="9" t="s">
        <v>1799</v>
      </c>
      <c r="G6" s="1">
        <v>1254.7117000000001</v>
      </c>
      <c r="H6" s="2">
        <v>1342</v>
      </c>
      <c r="I6" s="2">
        <v>3</v>
      </c>
      <c r="J6" s="1">
        <v>1254.6702</v>
      </c>
      <c r="K6" s="1">
        <v>419.24450000000002</v>
      </c>
      <c r="L6" s="9" t="s">
        <v>1800</v>
      </c>
      <c r="M6" s="2">
        <v>10.3</v>
      </c>
      <c r="N6" s="4">
        <v>2132.5100000000002</v>
      </c>
      <c r="O6" s="1">
        <v>-32.995861205891394</v>
      </c>
      <c r="P6" s="6">
        <v>34.799999999999997</v>
      </c>
      <c r="Q6" s="6">
        <v>30.5</v>
      </c>
      <c r="R6" s="6">
        <v>10.4</v>
      </c>
      <c r="S6" s="6">
        <v>11.7</v>
      </c>
      <c r="T6" s="5">
        <v>1.2E-2</v>
      </c>
      <c r="U6" s="1">
        <v>-4.1500000000000002E-2</v>
      </c>
      <c r="V6" s="1">
        <v>3.7787000000000002</v>
      </c>
    </row>
    <row r="7" spans="1:22" x14ac:dyDescent="0.25">
      <c r="A7" s="1">
        <v>0.99970000000000003</v>
      </c>
      <c r="B7" s="9" t="s">
        <v>4760</v>
      </c>
      <c r="C7" s="2">
        <v>1978</v>
      </c>
      <c r="D7" s="3" t="s">
        <v>4761</v>
      </c>
      <c r="E7" s="9" t="s">
        <v>4762</v>
      </c>
      <c r="F7" s="9" t="s">
        <v>2505</v>
      </c>
      <c r="G7" s="1">
        <v>1157.6087</v>
      </c>
      <c r="H7" s="2">
        <v>441</v>
      </c>
      <c r="I7" s="2">
        <v>3</v>
      </c>
      <c r="J7" s="1">
        <v>1157.567</v>
      </c>
      <c r="K7" s="1">
        <v>386.8768</v>
      </c>
      <c r="L7" s="9" t="s">
        <v>2506</v>
      </c>
      <c r="M7" s="2">
        <v>12.01</v>
      </c>
      <c r="N7" s="4">
        <v>2147.16</v>
      </c>
      <c r="O7" s="1">
        <v>-35.92875044458598</v>
      </c>
      <c r="P7" s="6">
        <v>34</v>
      </c>
      <c r="Q7" s="6">
        <v>24</v>
      </c>
      <c r="R7" s="6">
        <v>9.5</v>
      </c>
      <c r="S7" s="6">
        <v>10.3</v>
      </c>
      <c r="T7" s="5">
        <v>2.2000000000000001E-3</v>
      </c>
      <c r="U7" s="1">
        <v>-4.1700000000000001E-2</v>
      </c>
      <c r="V7" s="1">
        <v>6.2403000000000004</v>
      </c>
    </row>
    <row r="8" spans="1:22" x14ac:dyDescent="0.25">
      <c r="A8" s="1">
        <v>0.99960000000000004</v>
      </c>
      <c r="B8" s="9" t="s">
        <v>4763</v>
      </c>
      <c r="C8" s="2">
        <v>1998</v>
      </c>
      <c r="D8" s="3" t="s">
        <v>4761</v>
      </c>
      <c r="E8" s="9" t="s">
        <v>4764</v>
      </c>
      <c r="F8" s="9" t="s">
        <v>4765</v>
      </c>
      <c r="G8" s="1">
        <v>1221.6367</v>
      </c>
      <c r="H8" s="2">
        <v>96</v>
      </c>
      <c r="I8" s="2">
        <v>3</v>
      </c>
      <c r="J8" s="1">
        <v>1221.6072999999999</v>
      </c>
      <c r="K8" s="1">
        <v>408.21949999999998</v>
      </c>
      <c r="L8" s="9" t="s">
        <v>4766</v>
      </c>
      <c r="M8" s="2">
        <v>8.76</v>
      </c>
      <c r="N8" s="4">
        <v>2183.71</v>
      </c>
      <c r="O8" s="1">
        <v>-24.006692477943854</v>
      </c>
      <c r="P8" s="6">
        <v>32.299999999999997</v>
      </c>
      <c r="Q8" s="6">
        <v>22.6</v>
      </c>
      <c r="R8" s="6">
        <v>6.8</v>
      </c>
      <c r="S8" s="6">
        <v>10.9</v>
      </c>
      <c r="T8" s="5">
        <v>2.5000000000000001E-2</v>
      </c>
      <c r="U8" s="1">
        <v>-2.9399999999999999E-2</v>
      </c>
      <c r="V8" s="1">
        <v>4.6612999999999998</v>
      </c>
    </row>
    <row r="9" spans="1:22" x14ac:dyDescent="0.25">
      <c r="A9" s="1">
        <v>0.99239999999999995</v>
      </c>
      <c r="B9" s="9" t="s">
        <v>4767</v>
      </c>
      <c r="C9" s="2">
        <v>2030</v>
      </c>
      <c r="D9" s="3" t="s">
        <v>25</v>
      </c>
      <c r="E9" s="9" t="s">
        <v>4768</v>
      </c>
      <c r="F9" s="9" t="s">
        <v>4769</v>
      </c>
      <c r="G9" s="1">
        <v>1384.6306999999999</v>
      </c>
      <c r="H9" s="2">
        <v>443</v>
      </c>
      <c r="I9" s="2">
        <v>3</v>
      </c>
      <c r="J9" s="1">
        <v>1384.5940000000001</v>
      </c>
      <c r="K9" s="1">
        <v>462.55079999999998</v>
      </c>
      <c r="L9" s="9" t="s">
        <v>4770</v>
      </c>
      <c r="M9" s="2">
        <v>6.92</v>
      </c>
      <c r="N9" s="4">
        <v>2242.2600000000002</v>
      </c>
      <c r="O9" s="1">
        <v>-26.447545509235603</v>
      </c>
      <c r="P9" s="6">
        <v>30.7</v>
      </c>
      <c r="Q9" s="6">
        <v>25.7</v>
      </c>
      <c r="R9" s="6">
        <v>10.199999999999999</v>
      </c>
      <c r="S9" s="6">
        <v>10</v>
      </c>
      <c r="T9" s="5">
        <v>9.5000000000000001E-2</v>
      </c>
      <c r="U9" s="1">
        <v>-3.6700000000000003E-2</v>
      </c>
      <c r="V9" s="1">
        <v>2.7187999999999999</v>
      </c>
    </row>
    <row r="10" spans="1:22" x14ac:dyDescent="0.25">
      <c r="A10" s="1">
        <v>0.99760000000000004</v>
      </c>
      <c r="B10" s="9" t="s">
        <v>4771</v>
      </c>
      <c r="C10" s="2">
        <v>2038</v>
      </c>
      <c r="D10" s="3" t="s">
        <v>20</v>
      </c>
      <c r="E10" s="9" t="s">
        <v>21</v>
      </c>
      <c r="F10" s="9" t="s">
        <v>22</v>
      </c>
      <c r="G10" s="1">
        <v>1525.7777000000001</v>
      </c>
      <c r="H10" s="2">
        <v>444</v>
      </c>
      <c r="I10" s="2">
        <v>3</v>
      </c>
      <c r="J10" s="1">
        <v>1525.7363</v>
      </c>
      <c r="K10" s="1">
        <v>509.59980000000002</v>
      </c>
      <c r="L10" s="9" t="s">
        <v>23</v>
      </c>
      <c r="M10" s="2">
        <v>6.77</v>
      </c>
      <c r="N10" s="4">
        <v>2256.96</v>
      </c>
      <c r="O10" s="1">
        <v>-27.080073422320808</v>
      </c>
      <c r="P10" s="6">
        <v>33.1</v>
      </c>
      <c r="Q10" s="6">
        <v>27</v>
      </c>
      <c r="R10" s="6">
        <v>13.7</v>
      </c>
      <c r="S10" s="6">
        <v>11.6</v>
      </c>
      <c r="T10" s="5">
        <v>1.9E-2</v>
      </c>
      <c r="U10" s="1">
        <v>-4.1399999999999999E-2</v>
      </c>
      <c r="V10" s="1">
        <v>3.4207000000000001</v>
      </c>
    </row>
    <row r="11" spans="1:22" x14ac:dyDescent="0.25">
      <c r="A11" s="1">
        <v>0.99590000000000001</v>
      </c>
      <c r="B11" s="9" t="s">
        <v>4772</v>
      </c>
      <c r="C11" s="2">
        <v>2042</v>
      </c>
      <c r="D11" s="3" t="s">
        <v>20</v>
      </c>
      <c r="E11" s="9" t="s">
        <v>16</v>
      </c>
      <c r="F11" s="9" t="s">
        <v>17</v>
      </c>
      <c r="G11" s="1">
        <v>1509.7827</v>
      </c>
      <c r="H11" s="2">
        <v>446</v>
      </c>
      <c r="I11" s="2">
        <v>3</v>
      </c>
      <c r="J11" s="1">
        <v>1509.7483999999999</v>
      </c>
      <c r="K11" s="1">
        <v>504.26819999999998</v>
      </c>
      <c r="L11" s="9" t="s">
        <v>18</v>
      </c>
      <c r="M11" s="2">
        <v>6.77</v>
      </c>
      <c r="N11" s="4">
        <v>2264.2600000000002</v>
      </c>
      <c r="O11" s="1">
        <v>-22.673119846409772</v>
      </c>
      <c r="P11" s="6">
        <v>35</v>
      </c>
      <c r="Q11" s="6">
        <v>27</v>
      </c>
      <c r="R11" s="6">
        <v>13.7</v>
      </c>
      <c r="S11" s="6">
        <v>11.4</v>
      </c>
      <c r="T11" s="5">
        <v>5.3999999999999999E-2</v>
      </c>
      <c r="U11" s="1">
        <v>-3.4299999999999997E-2</v>
      </c>
      <c r="V11" s="1">
        <v>3.0869</v>
      </c>
    </row>
    <row r="12" spans="1:22" x14ac:dyDescent="0.25">
      <c r="A12" s="1">
        <v>0.99839999999999995</v>
      </c>
      <c r="B12" s="9" t="s">
        <v>4773</v>
      </c>
      <c r="C12" s="2">
        <v>2093</v>
      </c>
      <c r="D12" s="3" t="s">
        <v>3445</v>
      </c>
      <c r="E12" s="9" t="s">
        <v>1805</v>
      </c>
      <c r="F12" s="9" t="s">
        <v>1799</v>
      </c>
      <c r="G12" s="1">
        <v>1962.1087</v>
      </c>
      <c r="H12" s="2">
        <v>963</v>
      </c>
      <c r="I12" s="2">
        <v>4</v>
      </c>
      <c r="J12" s="1">
        <v>1962.0499</v>
      </c>
      <c r="K12" s="1">
        <v>491.53449999999998</v>
      </c>
      <c r="L12" s="9" t="s">
        <v>1800</v>
      </c>
      <c r="M12" s="2">
        <v>10.48</v>
      </c>
      <c r="N12" s="4">
        <v>2359.77</v>
      </c>
      <c r="O12" s="1">
        <v>-29.906344315607551</v>
      </c>
      <c r="P12" s="6">
        <v>41.5</v>
      </c>
      <c r="Q12" s="6">
        <v>32.799999999999997</v>
      </c>
      <c r="R12" s="6">
        <v>10.8</v>
      </c>
      <c r="S12" s="6">
        <v>12.6</v>
      </c>
      <c r="T12" s="5">
        <v>3.2000000000000002E-3</v>
      </c>
      <c r="U12" s="1">
        <v>-5.8799999999999998E-2</v>
      </c>
      <c r="V12" s="1">
        <v>3.8963000000000001</v>
      </c>
    </row>
    <row r="13" spans="1:22" x14ac:dyDescent="0.25">
      <c r="A13" s="1">
        <v>0.98099999999999998</v>
      </c>
      <c r="B13" s="9" t="s">
        <v>4774</v>
      </c>
      <c r="C13" s="2">
        <v>2102</v>
      </c>
      <c r="D13" s="3" t="s">
        <v>1893</v>
      </c>
      <c r="E13" s="9" t="s">
        <v>4775</v>
      </c>
      <c r="F13" s="9" t="s">
        <v>4776</v>
      </c>
      <c r="G13" s="1">
        <v>919.43370000000004</v>
      </c>
      <c r="H13" s="2">
        <v>850</v>
      </c>
      <c r="I13" s="2">
        <v>2</v>
      </c>
      <c r="J13" s="1">
        <v>919.4067</v>
      </c>
      <c r="K13" s="1">
        <v>460.72410000000002</v>
      </c>
      <c r="L13" s="9" t="s">
        <v>4777</v>
      </c>
      <c r="M13" s="2">
        <v>8.23</v>
      </c>
      <c r="N13" s="4">
        <v>2378.67</v>
      </c>
      <c r="O13" s="1">
        <v>-29.301701387012312</v>
      </c>
      <c r="P13" s="6">
        <v>22.5</v>
      </c>
      <c r="Q13" s="6">
        <v>18</v>
      </c>
      <c r="R13" s="6">
        <v>6</v>
      </c>
      <c r="S13" s="6">
        <v>8.3000000000000007</v>
      </c>
      <c r="T13" s="5">
        <v>7.0999999999999994E-2</v>
      </c>
      <c r="U13" s="1">
        <v>-2.7E-2</v>
      </c>
      <c r="V13" s="1">
        <v>3.2090999999999998</v>
      </c>
    </row>
    <row r="14" spans="1:22" x14ac:dyDescent="0.25">
      <c r="A14" s="1">
        <v>0.98919999999999997</v>
      </c>
      <c r="B14" s="9" t="s">
        <v>4778</v>
      </c>
      <c r="C14" s="2">
        <v>2151</v>
      </c>
      <c r="D14" s="3" t="s">
        <v>697</v>
      </c>
      <c r="E14" s="9" t="s">
        <v>1809</v>
      </c>
      <c r="F14" s="9" t="s">
        <v>211</v>
      </c>
      <c r="G14" s="1">
        <v>1573.8647000000001</v>
      </c>
      <c r="H14" s="2">
        <v>451</v>
      </c>
      <c r="I14" s="2">
        <v>3</v>
      </c>
      <c r="J14" s="1">
        <v>1573.8203000000001</v>
      </c>
      <c r="K14" s="1">
        <v>525.62879999999996</v>
      </c>
      <c r="L14" s="9" t="s">
        <v>212</v>
      </c>
      <c r="M14" s="2">
        <v>9.11</v>
      </c>
      <c r="N14" s="4">
        <v>2462.63</v>
      </c>
      <c r="O14" s="1">
        <v>-28.156752445832499</v>
      </c>
      <c r="P14" s="6">
        <v>29.2</v>
      </c>
      <c r="Q14" s="6">
        <v>25.8</v>
      </c>
      <c r="R14" s="6">
        <v>8.5</v>
      </c>
      <c r="S14" s="6">
        <v>10.7</v>
      </c>
      <c r="T14" s="5">
        <v>5.8000000000000003E-2</v>
      </c>
      <c r="U14" s="1">
        <v>-4.4400000000000002E-2</v>
      </c>
      <c r="V14" s="1">
        <v>2.5162</v>
      </c>
    </row>
    <row r="15" spans="1:22" x14ac:dyDescent="0.25">
      <c r="A15" s="1">
        <v>0.99329999999999996</v>
      </c>
      <c r="B15" s="9" t="s">
        <v>4779</v>
      </c>
      <c r="C15" s="2">
        <v>2165</v>
      </c>
      <c r="D15" s="3" t="s">
        <v>2104</v>
      </c>
      <c r="E15" s="9" t="s">
        <v>1831</v>
      </c>
      <c r="F15" s="9" t="s">
        <v>1832</v>
      </c>
      <c r="G15" s="1">
        <v>1306.6667</v>
      </c>
      <c r="H15" s="2">
        <v>6</v>
      </c>
      <c r="I15" s="2">
        <v>3</v>
      </c>
      <c r="J15" s="1">
        <v>1306.6205</v>
      </c>
      <c r="K15" s="1">
        <v>436.56279999999998</v>
      </c>
      <c r="L15" s="9" t="s">
        <v>518</v>
      </c>
      <c r="M15" s="2">
        <v>10.84</v>
      </c>
      <c r="N15" s="4">
        <v>2492.13</v>
      </c>
      <c r="O15" s="1">
        <v>-35.275566310276552</v>
      </c>
      <c r="P15" s="6">
        <v>25.5</v>
      </c>
      <c r="Q15" s="6">
        <v>18.8</v>
      </c>
      <c r="R15" s="6">
        <v>7</v>
      </c>
      <c r="S15" s="6">
        <v>8.1999999999999993</v>
      </c>
      <c r="T15" s="5">
        <v>6.3E-2</v>
      </c>
      <c r="U15" s="1">
        <v>-4.6199999999999998E-2</v>
      </c>
      <c r="V15" s="1">
        <v>3.6101999999999999</v>
      </c>
    </row>
    <row r="16" spans="1:22" x14ac:dyDescent="0.25">
      <c r="A16" s="1">
        <v>0.99739999999999995</v>
      </c>
      <c r="B16" s="9" t="s">
        <v>4780</v>
      </c>
      <c r="C16" s="2">
        <v>2177</v>
      </c>
      <c r="D16" s="3" t="s">
        <v>4781</v>
      </c>
      <c r="E16" s="9" t="s">
        <v>4782</v>
      </c>
      <c r="F16" s="9" t="s">
        <v>4783</v>
      </c>
      <c r="G16" s="1">
        <v>1165.6387</v>
      </c>
      <c r="H16" s="2">
        <v>966</v>
      </c>
      <c r="I16" s="2">
        <v>3</v>
      </c>
      <c r="J16" s="1">
        <v>1165.5940000000001</v>
      </c>
      <c r="K16" s="1">
        <v>389.55349999999999</v>
      </c>
      <c r="L16" s="9" t="s">
        <v>4784</v>
      </c>
      <c r="M16" s="2">
        <v>12.01</v>
      </c>
      <c r="N16" s="4">
        <v>2514.13</v>
      </c>
      <c r="O16" s="1">
        <v>-38.248918312888982</v>
      </c>
      <c r="P16" s="6">
        <v>39.200000000000003</v>
      </c>
      <c r="Q16" s="6">
        <v>27.8</v>
      </c>
      <c r="R16" s="6">
        <v>10.4</v>
      </c>
      <c r="S16" s="6">
        <v>12.3</v>
      </c>
      <c r="T16" s="5">
        <v>2.8000000000000001E-2</v>
      </c>
      <c r="U16" s="1">
        <v>-4.4699999999999997E-2</v>
      </c>
      <c r="V16" s="1">
        <v>4.3007</v>
      </c>
    </row>
    <row r="17" spans="1:22" x14ac:dyDescent="0.25">
      <c r="A17" s="1">
        <v>0.98819999999999997</v>
      </c>
      <c r="B17" s="9" t="s">
        <v>4785</v>
      </c>
      <c r="C17" s="2">
        <v>2187</v>
      </c>
      <c r="D17" s="3" t="s">
        <v>792</v>
      </c>
      <c r="E17" s="9" t="s">
        <v>1834</v>
      </c>
      <c r="F17" s="9" t="s">
        <v>1835</v>
      </c>
      <c r="G17" s="1">
        <v>1367.6837</v>
      </c>
      <c r="H17" s="2">
        <v>453</v>
      </c>
      <c r="I17" s="2">
        <v>3</v>
      </c>
      <c r="J17" s="1">
        <v>1367.6437000000001</v>
      </c>
      <c r="K17" s="1">
        <v>456.90179999999998</v>
      </c>
      <c r="L17" s="9" t="s">
        <v>1836</v>
      </c>
      <c r="M17" s="2">
        <v>6</v>
      </c>
      <c r="N17" s="4">
        <v>2528.77</v>
      </c>
      <c r="O17" s="1">
        <v>-29.182054728900905</v>
      </c>
      <c r="P17" s="6">
        <v>26.1</v>
      </c>
      <c r="Q17" s="6">
        <v>20</v>
      </c>
      <c r="R17" s="6">
        <v>11.6</v>
      </c>
      <c r="S17" s="6">
        <v>8.6</v>
      </c>
      <c r="T17" s="5">
        <v>0.15</v>
      </c>
      <c r="U17" s="1">
        <v>-0.04</v>
      </c>
      <c r="V17" s="1">
        <v>2.7534000000000001</v>
      </c>
    </row>
    <row r="18" spans="1:22" x14ac:dyDescent="0.25">
      <c r="A18" s="1">
        <v>0.99829999999999997</v>
      </c>
      <c r="B18" s="9" t="s">
        <v>4786</v>
      </c>
      <c r="C18" s="2">
        <v>2189</v>
      </c>
      <c r="D18" s="3" t="s">
        <v>1456</v>
      </c>
      <c r="E18" s="9" t="s">
        <v>4787</v>
      </c>
      <c r="F18" s="9" t="s">
        <v>4788</v>
      </c>
      <c r="G18" s="1">
        <v>1051.6277</v>
      </c>
      <c r="H18" s="2">
        <v>266</v>
      </c>
      <c r="I18" s="2">
        <v>3</v>
      </c>
      <c r="J18" s="1">
        <v>1051.5882999999999</v>
      </c>
      <c r="K18" s="1">
        <v>351.5498</v>
      </c>
      <c r="L18" s="9" t="s">
        <v>518</v>
      </c>
      <c r="M18" s="2">
        <v>9.6999999999999993</v>
      </c>
      <c r="N18" s="4">
        <v>2538.33</v>
      </c>
      <c r="O18" s="1">
        <v>-37.358386587997863</v>
      </c>
      <c r="P18" s="6">
        <v>29.3</v>
      </c>
      <c r="Q18" s="6">
        <v>20.9</v>
      </c>
      <c r="R18" s="6">
        <v>7.5</v>
      </c>
      <c r="S18" s="6">
        <v>9.8000000000000007</v>
      </c>
      <c r="T18" s="5">
        <v>5.7000000000000002E-3</v>
      </c>
      <c r="U18" s="1">
        <v>-3.9399999999999998E-2</v>
      </c>
      <c r="V18" s="1">
        <v>5.5560999999999998</v>
      </c>
    </row>
    <row r="19" spans="1:22" x14ac:dyDescent="0.25">
      <c r="A19" s="1">
        <v>1</v>
      </c>
      <c r="B19" s="9" t="s">
        <v>4789</v>
      </c>
      <c r="C19" s="2">
        <v>2202</v>
      </c>
      <c r="D19" s="3" t="s">
        <v>2652</v>
      </c>
      <c r="E19" s="9" t="s">
        <v>4790</v>
      </c>
      <c r="F19" s="9" t="s">
        <v>4791</v>
      </c>
      <c r="G19" s="1">
        <v>2045.1126999999999</v>
      </c>
      <c r="H19" s="2">
        <v>454</v>
      </c>
      <c r="I19" s="2">
        <v>4</v>
      </c>
      <c r="J19" s="1">
        <v>2045.05</v>
      </c>
      <c r="K19" s="1">
        <v>512.28549999999996</v>
      </c>
      <c r="L19" s="9" t="s">
        <v>518</v>
      </c>
      <c r="M19" s="2">
        <v>10.9</v>
      </c>
      <c r="N19" s="4">
        <v>2558.1799999999998</v>
      </c>
      <c r="O19" s="1">
        <v>-30.598172308214856</v>
      </c>
      <c r="P19" s="6">
        <v>37.299999999999997</v>
      </c>
      <c r="Q19" s="6">
        <v>23.8</v>
      </c>
      <c r="R19" s="6">
        <v>8.6999999999999993</v>
      </c>
      <c r="S19" s="6">
        <v>10.199999999999999</v>
      </c>
      <c r="T19" s="5">
        <v>1.1E-4</v>
      </c>
      <c r="U19" s="1">
        <v>-6.2700000000000006E-2</v>
      </c>
      <c r="V19" s="1">
        <v>6.3771000000000004</v>
      </c>
    </row>
    <row r="20" spans="1:22" x14ac:dyDescent="0.25">
      <c r="A20" s="1">
        <v>0.98209999999999997</v>
      </c>
      <c r="B20" s="9" t="s">
        <v>4792</v>
      </c>
      <c r="C20" s="2">
        <v>2209</v>
      </c>
      <c r="D20" s="3" t="s">
        <v>4793</v>
      </c>
      <c r="E20" s="9" t="s">
        <v>4794</v>
      </c>
      <c r="F20" s="9" t="s">
        <v>4795</v>
      </c>
      <c r="G20" s="1">
        <v>1217.6226999999999</v>
      </c>
      <c r="H20" s="2">
        <v>455</v>
      </c>
      <c r="I20" s="2">
        <v>3</v>
      </c>
      <c r="J20" s="1">
        <v>1217.5835999999999</v>
      </c>
      <c r="K20" s="1">
        <v>406.88150000000002</v>
      </c>
      <c r="L20" s="9" t="s">
        <v>4796</v>
      </c>
      <c r="M20" s="2">
        <v>6.81</v>
      </c>
      <c r="N20" s="4">
        <v>2573.0300000000002</v>
      </c>
      <c r="O20" s="1">
        <v>-32.032258368427499</v>
      </c>
      <c r="P20" s="6">
        <v>23.1</v>
      </c>
      <c r="Q20" s="6">
        <v>17.399999999999999</v>
      </c>
      <c r="R20" s="6">
        <v>6</v>
      </c>
      <c r="S20" s="6">
        <v>8.9</v>
      </c>
      <c r="T20" s="5">
        <v>0.37</v>
      </c>
      <c r="U20" s="1">
        <v>-3.9100000000000003E-2</v>
      </c>
      <c r="V20" s="1">
        <v>2.5078999999999998</v>
      </c>
    </row>
    <row r="21" spans="1:22" x14ac:dyDescent="0.25">
      <c r="A21" s="1">
        <v>0.98070000000000002</v>
      </c>
      <c r="B21" s="9" t="s">
        <v>4797</v>
      </c>
      <c r="C21" s="2">
        <v>2259</v>
      </c>
      <c r="D21" s="3" t="s">
        <v>752</v>
      </c>
      <c r="E21" s="9" t="s">
        <v>4798</v>
      </c>
      <c r="F21" s="9" t="s">
        <v>1799</v>
      </c>
      <c r="G21" s="1">
        <v>1024.5736999999999</v>
      </c>
      <c r="H21" s="2">
        <v>968</v>
      </c>
      <c r="I21" s="2">
        <v>2</v>
      </c>
      <c r="J21" s="1">
        <v>1024.5388</v>
      </c>
      <c r="K21" s="1">
        <v>513.29409999999996</v>
      </c>
      <c r="L21" s="9" t="s">
        <v>1800</v>
      </c>
      <c r="M21" s="2">
        <v>10</v>
      </c>
      <c r="N21" s="4">
        <v>2660.94</v>
      </c>
      <c r="O21" s="1">
        <v>-33.99610476722799</v>
      </c>
      <c r="P21" s="6">
        <v>45.9</v>
      </c>
      <c r="Q21" s="6">
        <v>38</v>
      </c>
      <c r="R21" s="6">
        <v>10.7</v>
      </c>
      <c r="S21" s="6">
        <v>11.3</v>
      </c>
      <c r="T21" s="5">
        <v>2.8000000000000001E-2</v>
      </c>
      <c r="U21" s="1">
        <v>-3.49E-2</v>
      </c>
      <c r="V21" s="1">
        <v>3.2248999999999999</v>
      </c>
    </row>
    <row r="22" spans="1:22" x14ac:dyDescent="0.25">
      <c r="A22" s="1">
        <v>0.98870000000000002</v>
      </c>
      <c r="B22" s="9" t="s">
        <v>4799</v>
      </c>
      <c r="C22" s="2">
        <v>2265</v>
      </c>
      <c r="D22" s="3" t="s">
        <v>154</v>
      </c>
      <c r="E22" s="9" t="s">
        <v>4455</v>
      </c>
      <c r="F22" s="9" t="s">
        <v>27</v>
      </c>
      <c r="G22" s="1">
        <v>1059.5636999999999</v>
      </c>
      <c r="H22" s="2">
        <v>311</v>
      </c>
      <c r="I22" s="2">
        <v>2</v>
      </c>
      <c r="J22" s="1">
        <v>1059.5288</v>
      </c>
      <c r="K22" s="1">
        <v>530.78909999999996</v>
      </c>
      <c r="L22" s="9" t="s">
        <v>28</v>
      </c>
      <c r="M22" s="2">
        <v>8.31</v>
      </c>
      <c r="N22" s="4">
        <v>2675.69</v>
      </c>
      <c r="O22" s="1">
        <v>-32.875580903978623</v>
      </c>
      <c r="P22" s="6">
        <v>33.5</v>
      </c>
      <c r="Q22" s="6">
        <v>26.5</v>
      </c>
      <c r="R22" s="6">
        <v>8.9</v>
      </c>
      <c r="S22" s="6">
        <v>9.4</v>
      </c>
      <c r="T22" s="5">
        <v>2.1000000000000001E-2</v>
      </c>
      <c r="U22" s="1">
        <v>-3.49E-2</v>
      </c>
      <c r="V22" s="1">
        <v>3.5748000000000002</v>
      </c>
    </row>
    <row r="23" spans="1:22" x14ac:dyDescent="0.25">
      <c r="A23" s="1">
        <v>0.99270000000000003</v>
      </c>
      <c r="B23" s="9" t="s">
        <v>4800</v>
      </c>
      <c r="C23" s="2">
        <v>2282</v>
      </c>
      <c r="D23" s="3" t="s">
        <v>740</v>
      </c>
      <c r="E23" s="9" t="s">
        <v>4801</v>
      </c>
      <c r="F23" s="9" t="s">
        <v>2160</v>
      </c>
      <c r="G23" s="1">
        <v>1280.6297</v>
      </c>
      <c r="H23" s="2">
        <v>1289</v>
      </c>
      <c r="I23" s="2">
        <v>3</v>
      </c>
      <c r="J23" s="1">
        <v>1280.5876000000001</v>
      </c>
      <c r="K23" s="1">
        <v>427.88380000000001</v>
      </c>
      <c r="L23" s="9" t="s">
        <v>2161</v>
      </c>
      <c r="M23" s="2">
        <v>9.99</v>
      </c>
      <c r="N23" s="4">
        <v>2709.29</v>
      </c>
      <c r="O23" s="1">
        <v>-32.797066243997392</v>
      </c>
      <c r="P23" s="6">
        <v>34.6</v>
      </c>
      <c r="Q23" s="6">
        <v>27.3</v>
      </c>
      <c r="R23" s="6">
        <v>10.4</v>
      </c>
      <c r="S23" s="6">
        <v>10.6</v>
      </c>
      <c r="T23" s="5">
        <v>1.4E-2</v>
      </c>
      <c r="U23" s="1">
        <v>-4.2099999999999999E-2</v>
      </c>
      <c r="V23" s="1">
        <v>4.2340999999999998</v>
      </c>
    </row>
    <row r="24" spans="1:22" x14ac:dyDescent="0.25">
      <c r="A24" s="1">
        <v>0.99560000000000004</v>
      </c>
      <c r="B24" s="9" t="s">
        <v>4802</v>
      </c>
      <c r="C24" s="2">
        <v>2286</v>
      </c>
      <c r="D24" s="3" t="s">
        <v>451</v>
      </c>
      <c r="E24" s="9" t="s">
        <v>1133</v>
      </c>
      <c r="F24" s="9" t="s">
        <v>247</v>
      </c>
      <c r="G24" s="1">
        <v>1594.6747</v>
      </c>
      <c r="H24" s="2">
        <v>457</v>
      </c>
      <c r="I24" s="2">
        <v>2</v>
      </c>
      <c r="J24" s="1">
        <v>1594.6351</v>
      </c>
      <c r="K24" s="1">
        <v>798.34460000000001</v>
      </c>
      <c r="L24" s="9" t="s">
        <v>248</v>
      </c>
      <c r="M24" s="2">
        <v>4.51</v>
      </c>
      <c r="N24" s="4">
        <v>2712.39</v>
      </c>
      <c r="O24" s="1">
        <v>-24.801320131682488</v>
      </c>
      <c r="P24" s="6">
        <v>33</v>
      </c>
      <c r="Q24" s="6">
        <v>19.8</v>
      </c>
      <c r="R24" s="6">
        <v>8.9</v>
      </c>
      <c r="S24" s="6">
        <v>8.9</v>
      </c>
      <c r="T24" s="5">
        <v>4.0999999999999999E-4</v>
      </c>
      <c r="U24" s="1">
        <v>-3.9600000000000003E-2</v>
      </c>
      <c r="V24" s="1">
        <v>5.4455999999999998</v>
      </c>
    </row>
    <row r="25" spans="1:22" x14ac:dyDescent="0.25">
      <c r="A25" s="1">
        <v>0.99070000000000003</v>
      </c>
      <c r="B25" s="9" t="s">
        <v>4803</v>
      </c>
      <c r="C25" s="2">
        <v>2301</v>
      </c>
      <c r="D25" s="3" t="s">
        <v>69</v>
      </c>
      <c r="E25" s="9" t="s">
        <v>4455</v>
      </c>
      <c r="F25" s="9" t="s">
        <v>27</v>
      </c>
      <c r="G25" s="1">
        <v>1059.5636999999999</v>
      </c>
      <c r="H25" s="2">
        <v>101</v>
      </c>
      <c r="I25" s="2">
        <v>2</v>
      </c>
      <c r="J25" s="1">
        <v>1059.5272</v>
      </c>
      <c r="K25" s="1">
        <v>530.78909999999996</v>
      </c>
      <c r="L25" s="9" t="s">
        <v>28</v>
      </c>
      <c r="M25" s="2">
        <v>8.31</v>
      </c>
      <c r="N25" s="4">
        <v>2741.64</v>
      </c>
      <c r="O25" s="1">
        <v>-34.382770859461885</v>
      </c>
      <c r="P25" s="6">
        <v>37.1</v>
      </c>
      <c r="Q25" s="6">
        <v>27.1</v>
      </c>
      <c r="R25" s="6">
        <v>9.3000000000000007</v>
      </c>
      <c r="S25" s="6">
        <v>9.9</v>
      </c>
      <c r="T25" s="5">
        <v>3.3000000000000002E-2</v>
      </c>
      <c r="U25" s="1">
        <v>-3.6499999999999998E-2</v>
      </c>
      <c r="V25" s="1">
        <v>3.6568999999999998</v>
      </c>
    </row>
    <row r="26" spans="1:22" x14ac:dyDescent="0.25">
      <c r="A26" s="1">
        <v>0.99880000000000002</v>
      </c>
      <c r="B26" s="9" t="s">
        <v>4804</v>
      </c>
      <c r="C26" s="2">
        <v>2307</v>
      </c>
      <c r="D26" s="3" t="s">
        <v>69</v>
      </c>
      <c r="E26" s="9" t="s">
        <v>4805</v>
      </c>
      <c r="F26" s="9" t="s">
        <v>4806</v>
      </c>
      <c r="G26" s="1">
        <v>1252.5617</v>
      </c>
      <c r="H26" s="2">
        <v>8</v>
      </c>
      <c r="I26" s="2">
        <v>2</v>
      </c>
      <c r="J26" s="1">
        <v>1252.5372</v>
      </c>
      <c r="K26" s="1">
        <v>627.28809999999999</v>
      </c>
      <c r="L26" s="9" t="s">
        <v>4807</v>
      </c>
      <c r="M26" s="2">
        <v>8.75</v>
      </c>
      <c r="N26" s="4">
        <v>2748.94</v>
      </c>
      <c r="O26" s="1">
        <v>-19.528506917315983</v>
      </c>
      <c r="P26" s="6">
        <v>36.9</v>
      </c>
      <c r="Q26" s="6">
        <v>30.1</v>
      </c>
      <c r="R26" s="6">
        <v>9.6</v>
      </c>
      <c r="S26" s="6">
        <v>9.4</v>
      </c>
      <c r="T26" s="5">
        <v>1.6000000000000001E-4</v>
      </c>
      <c r="U26" s="1">
        <v>-2.4500000000000001E-2</v>
      </c>
      <c r="V26" s="1">
        <v>6.0442999999999998</v>
      </c>
    </row>
    <row r="27" spans="1:22" x14ac:dyDescent="0.25">
      <c r="A27" s="1">
        <v>0.99550000000000005</v>
      </c>
      <c r="B27" s="9" t="s">
        <v>4808</v>
      </c>
      <c r="C27" s="2">
        <v>2309</v>
      </c>
      <c r="D27" s="3" t="s">
        <v>128</v>
      </c>
      <c r="E27" s="9" t="s">
        <v>4809</v>
      </c>
      <c r="F27" s="9" t="s">
        <v>4756</v>
      </c>
      <c r="G27" s="1">
        <v>1397.6837</v>
      </c>
      <c r="H27" s="2">
        <v>312</v>
      </c>
      <c r="I27" s="2">
        <v>3</v>
      </c>
      <c r="J27" s="1">
        <v>1397.646</v>
      </c>
      <c r="K27" s="1">
        <v>466.90179999999998</v>
      </c>
      <c r="L27" s="9" t="s">
        <v>4757</v>
      </c>
      <c r="M27" s="2">
        <v>12</v>
      </c>
      <c r="N27" s="4">
        <v>2756.26</v>
      </c>
      <c r="O27" s="1">
        <v>-26.915010108478199</v>
      </c>
      <c r="P27" s="6">
        <v>27.6</v>
      </c>
      <c r="Q27" s="6">
        <v>19.8</v>
      </c>
      <c r="R27" s="6">
        <v>10.1</v>
      </c>
      <c r="S27" s="6">
        <v>8.6</v>
      </c>
      <c r="T27" s="5">
        <v>3.2000000000000001E-2</v>
      </c>
      <c r="U27" s="1">
        <v>-3.7699999999999997E-2</v>
      </c>
      <c r="V27" s="1">
        <v>3.9798</v>
      </c>
    </row>
    <row r="28" spans="1:22" x14ac:dyDescent="0.25">
      <c r="A28" s="1">
        <v>0.95889999999999997</v>
      </c>
      <c r="B28" s="9" t="s">
        <v>4810</v>
      </c>
      <c r="C28" s="2">
        <v>2317</v>
      </c>
      <c r="D28" s="3" t="s">
        <v>4811</v>
      </c>
      <c r="E28" s="9" t="s">
        <v>4812</v>
      </c>
      <c r="F28" s="9" t="s">
        <v>4813</v>
      </c>
      <c r="G28" s="1">
        <v>1227.6277</v>
      </c>
      <c r="H28" s="2">
        <v>460</v>
      </c>
      <c r="I28" s="2">
        <v>3</v>
      </c>
      <c r="J28" s="1">
        <v>1227.6144999999999</v>
      </c>
      <c r="K28" s="1">
        <v>410.2165</v>
      </c>
      <c r="L28" s="9" t="s">
        <v>4814</v>
      </c>
      <c r="M28" s="2">
        <v>8.75</v>
      </c>
      <c r="N28" s="4">
        <v>2770.87</v>
      </c>
      <c r="O28" s="1">
        <v>-10.726043442913682</v>
      </c>
      <c r="P28" s="6">
        <v>24.4</v>
      </c>
      <c r="Q28" s="6">
        <v>19.600000000000001</v>
      </c>
      <c r="R28" s="6">
        <v>9.1</v>
      </c>
      <c r="S28" s="6">
        <v>12.7</v>
      </c>
      <c r="T28" s="5">
        <v>0.16</v>
      </c>
      <c r="U28" s="1">
        <v>-1.32E-2</v>
      </c>
      <c r="V28" s="1">
        <v>2.6032000000000002</v>
      </c>
    </row>
    <row r="29" spans="1:22" x14ac:dyDescent="0.25">
      <c r="A29" s="1">
        <v>0.99239999999999995</v>
      </c>
      <c r="B29" s="9" t="s">
        <v>4815</v>
      </c>
      <c r="C29" s="2">
        <v>2339</v>
      </c>
      <c r="D29" s="3" t="s">
        <v>154</v>
      </c>
      <c r="E29" s="9" t="s">
        <v>4455</v>
      </c>
      <c r="F29" s="9" t="s">
        <v>27</v>
      </c>
      <c r="G29" s="1">
        <v>1059.5636999999999</v>
      </c>
      <c r="H29" s="2">
        <v>313</v>
      </c>
      <c r="I29" s="2">
        <v>2</v>
      </c>
      <c r="J29" s="1">
        <v>1059.5314000000001</v>
      </c>
      <c r="K29" s="1">
        <v>530.78909999999996</v>
      </c>
      <c r="L29" s="9" t="s">
        <v>28</v>
      </c>
      <c r="M29" s="2">
        <v>8.31</v>
      </c>
      <c r="N29" s="4">
        <v>2807.7</v>
      </c>
      <c r="O29" s="1">
        <v>-30.426397226318329</v>
      </c>
      <c r="P29" s="6">
        <v>34.6</v>
      </c>
      <c r="Q29" s="6">
        <v>25.7</v>
      </c>
      <c r="R29" s="6">
        <v>10</v>
      </c>
      <c r="S29" s="6">
        <v>10.5</v>
      </c>
      <c r="T29" s="5">
        <v>1.7999999999999999E-2</v>
      </c>
      <c r="U29" s="1">
        <v>-3.2300000000000002E-2</v>
      </c>
      <c r="V29" s="1">
        <v>3.9144999999999999</v>
      </c>
    </row>
    <row r="30" spans="1:22" x14ac:dyDescent="0.25">
      <c r="A30" s="1">
        <v>0.99980000000000002</v>
      </c>
      <c r="B30" s="9" t="s">
        <v>4816</v>
      </c>
      <c r="C30" s="2">
        <v>2350</v>
      </c>
      <c r="D30" s="3" t="s">
        <v>4781</v>
      </c>
      <c r="E30" s="9" t="s">
        <v>26</v>
      </c>
      <c r="F30" s="9" t="s">
        <v>27</v>
      </c>
      <c r="G30" s="1">
        <v>1338.7517</v>
      </c>
      <c r="H30" s="2">
        <v>464</v>
      </c>
      <c r="I30" s="2">
        <v>3</v>
      </c>
      <c r="J30" s="1">
        <v>1338.6880000000001</v>
      </c>
      <c r="K30" s="1">
        <v>447.25779999999997</v>
      </c>
      <c r="L30" s="9" t="s">
        <v>28</v>
      </c>
      <c r="M30" s="2">
        <v>10.3</v>
      </c>
      <c r="N30" s="4">
        <v>2829.62</v>
      </c>
      <c r="O30" s="1">
        <v>-47.474484141659104</v>
      </c>
      <c r="P30" s="6">
        <v>38.799999999999997</v>
      </c>
      <c r="Q30" s="6">
        <v>27.6</v>
      </c>
      <c r="R30" s="6">
        <v>12.2</v>
      </c>
      <c r="S30" s="6">
        <v>12.5</v>
      </c>
      <c r="T30" s="5">
        <v>7.2999999999999996E-4</v>
      </c>
      <c r="U30" s="1">
        <v>-6.3700000000000007E-2</v>
      </c>
      <c r="V30" s="1">
        <v>6.5934999999999997</v>
      </c>
    </row>
    <row r="31" spans="1:22" x14ac:dyDescent="0.25">
      <c r="A31" s="1">
        <v>0.99790000000000001</v>
      </c>
      <c r="B31" s="9" t="s">
        <v>4817</v>
      </c>
      <c r="C31" s="2">
        <v>2353</v>
      </c>
      <c r="D31" s="3" t="s">
        <v>797</v>
      </c>
      <c r="E31" s="9" t="s">
        <v>1139</v>
      </c>
      <c r="F31" s="9" t="s">
        <v>1140</v>
      </c>
      <c r="G31" s="1">
        <v>1432.6947</v>
      </c>
      <c r="H31" s="2">
        <v>465</v>
      </c>
      <c r="I31" s="2">
        <v>3</v>
      </c>
      <c r="J31" s="1">
        <v>1432.6492000000001</v>
      </c>
      <c r="K31" s="1">
        <v>478.57220000000001</v>
      </c>
      <c r="L31" s="9" t="s">
        <v>745</v>
      </c>
      <c r="M31" s="2">
        <v>5.51</v>
      </c>
      <c r="N31" s="4">
        <v>2836.95</v>
      </c>
      <c r="O31" s="1">
        <v>-31.691491203765427</v>
      </c>
      <c r="P31" s="6">
        <v>30.6</v>
      </c>
      <c r="Q31" s="6">
        <v>22.9</v>
      </c>
      <c r="R31" s="6">
        <v>10.5</v>
      </c>
      <c r="S31" s="6">
        <v>9.8000000000000007</v>
      </c>
      <c r="T31" s="5">
        <v>3.9E-2</v>
      </c>
      <c r="U31" s="1">
        <v>-4.5499999999999999E-2</v>
      </c>
      <c r="V31" s="1">
        <v>3.5257999999999998</v>
      </c>
    </row>
    <row r="32" spans="1:22" x14ac:dyDescent="0.25">
      <c r="A32" s="1">
        <v>0.9879</v>
      </c>
      <c r="B32" s="9" t="s">
        <v>4818</v>
      </c>
      <c r="C32" s="2">
        <v>2362</v>
      </c>
      <c r="D32" s="3" t="s">
        <v>83</v>
      </c>
      <c r="E32" s="9" t="s">
        <v>4819</v>
      </c>
      <c r="F32" s="9" t="s">
        <v>4820</v>
      </c>
      <c r="G32" s="1">
        <v>874.38170000000002</v>
      </c>
      <c r="H32" s="2">
        <v>9</v>
      </c>
      <c r="I32" s="2">
        <v>2</v>
      </c>
      <c r="J32" s="1">
        <v>874.35940000000005</v>
      </c>
      <c r="K32" s="1">
        <v>438.19810000000001</v>
      </c>
      <c r="L32" s="9" t="s">
        <v>4821</v>
      </c>
      <c r="M32" s="2">
        <v>4.71</v>
      </c>
      <c r="N32" s="4">
        <v>2851.57</v>
      </c>
      <c r="O32" s="1">
        <v>-25.445112610027291</v>
      </c>
      <c r="P32" s="6">
        <v>28.5</v>
      </c>
      <c r="Q32" s="6">
        <v>20.100000000000001</v>
      </c>
      <c r="R32" s="6">
        <v>10.5</v>
      </c>
      <c r="S32" s="6">
        <v>10.199999999999999</v>
      </c>
      <c r="T32" s="5">
        <v>2.1000000000000001E-2</v>
      </c>
      <c r="U32" s="1">
        <v>-2.23E-2</v>
      </c>
      <c r="V32" s="1">
        <v>4.5186999999999999</v>
      </c>
    </row>
    <row r="33" spans="1:22" x14ac:dyDescent="0.25">
      <c r="A33" s="1">
        <v>0.99870000000000003</v>
      </c>
      <c r="B33" s="9" t="s">
        <v>4822</v>
      </c>
      <c r="C33" s="2">
        <v>2386</v>
      </c>
      <c r="D33" s="3" t="s">
        <v>245</v>
      </c>
      <c r="E33" s="9" t="s">
        <v>39</v>
      </c>
      <c r="F33" s="9" t="s">
        <v>27</v>
      </c>
      <c r="G33" s="1">
        <v>1537.8477</v>
      </c>
      <c r="H33" s="2">
        <v>314</v>
      </c>
      <c r="I33" s="2">
        <v>3</v>
      </c>
      <c r="J33" s="1">
        <v>1537.7981</v>
      </c>
      <c r="K33" s="1">
        <v>513.6232</v>
      </c>
      <c r="L33" s="9" t="s">
        <v>28</v>
      </c>
      <c r="M33" s="2">
        <v>10.3</v>
      </c>
      <c r="N33" s="4">
        <v>2895.41</v>
      </c>
      <c r="O33" s="1">
        <v>-32.189615526193784</v>
      </c>
      <c r="P33" s="6">
        <v>33.700000000000003</v>
      </c>
      <c r="Q33" s="6">
        <v>23.5</v>
      </c>
      <c r="R33" s="6">
        <v>12.3</v>
      </c>
      <c r="S33" s="6">
        <v>12.6</v>
      </c>
      <c r="T33" s="5">
        <v>4.4999999999999997E-3</v>
      </c>
      <c r="U33" s="1">
        <v>-4.9599999999999998E-2</v>
      </c>
      <c r="V33" s="1">
        <v>5.0673000000000004</v>
      </c>
    </row>
    <row r="34" spans="1:22" x14ac:dyDescent="0.25">
      <c r="A34" s="1">
        <v>0.99629999999999996</v>
      </c>
      <c r="B34" s="9" t="s">
        <v>4823</v>
      </c>
      <c r="C34" s="2">
        <v>2387</v>
      </c>
      <c r="D34" s="3" t="s">
        <v>4824</v>
      </c>
      <c r="E34" s="9" t="s">
        <v>4825</v>
      </c>
      <c r="F34" s="9" t="s">
        <v>4826</v>
      </c>
      <c r="G34" s="1">
        <v>2281.0317</v>
      </c>
      <c r="H34" s="2">
        <v>970</v>
      </c>
      <c r="I34" s="2">
        <v>4</v>
      </c>
      <c r="J34" s="1">
        <v>2281.0054</v>
      </c>
      <c r="K34" s="1">
        <v>571.26520000000005</v>
      </c>
      <c r="L34" s="9" t="s">
        <v>4827</v>
      </c>
      <c r="M34" s="2">
        <v>3.93</v>
      </c>
      <c r="N34" s="4">
        <v>2895.41</v>
      </c>
      <c r="O34" s="1">
        <v>-11.509540577651151</v>
      </c>
      <c r="P34" s="6">
        <v>40.4</v>
      </c>
      <c r="Q34" s="6">
        <v>29.3</v>
      </c>
      <c r="R34" s="6">
        <v>11.2</v>
      </c>
      <c r="S34" s="6">
        <v>12.6</v>
      </c>
      <c r="T34" s="5">
        <v>9.1000000000000004E-3</v>
      </c>
      <c r="U34" s="1">
        <v>-2.63E-2</v>
      </c>
      <c r="V34" s="1">
        <v>3.3754</v>
      </c>
    </row>
    <row r="35" spans="1:22" x14ac:dyDescent="0.25">
      <c r="A35" s="1">
        <v>0.96279999999999999</v>
      </c>
      <c r="B35" s="9" t="s">
        <v>4828</v>
      </c>
      <c r="C35" s="2">
        <v>2394</v>
      </c>
      <c r="D35" s="3" t="s">
        <v>520</v>
      </c>
      <c r="E35" s="9" t="s">
        <v>4829</v>
      </c>
      <c r="F35" s="9" t="s">
        <v>4830</v>
      </c>
      <c r="G35" s="1">
        <v>1368.6786999999999</v>
      </c>
      <c r="H35" s="2">
        <v>467</v>
      </c>
      <c r="I35" s="2">
        <v>2</v>
      </c>
      <c r="J35" s="1">
        <v>1368.5716</v>
      </c>
      <c r="K35" s="1">
        <v>685.34659999999997</v>
      </c>
      <c r="L35" s="9" t="s">
        <v>4831</v>
      </c>
      <c r="M35" s="2">
        <v>5.47</v>
      </c>
      <c r="N35" s="4">
        <v>2910.06</v>
      </c>
      <c r="O35" s="1">
        <v>-78.135646985043778</v>
      </c>
      <c r="P35" s="6">
        <v>31.2</v>
      </c>
      <c r="Q35" s="6">
        <v>28.2</v>
      </c>
      <c r="R35" s="6">
        <v>10.1</v>
      </c>
      <c r="S35" s="6">
        <v>10.4</v>
      </c>
      <c r="T35" s="5">
        <v>1.4999999999999999E-2</v>
      </c>
      <c r="U35" s="1">
        <v>-0.1071</v>
      </c>
      <c r="V35" s="1">
        <v>2.6903999999999999</v>
      </c>
    </row>
    <row r="36" spans="1:22" x14ac:dyDescent="0.25">
      <c r="A36" s="1">
        <v>0.99960000000000004</v>
      </c>
      <c r="B36" s="9" t="s">
        <v>4832</v>
      </c>
      <c r="C36" s="2">
        <v>2434</v>
      </c>
      <c r="D36" s="3" t="s">
        <v>4833</v>
      </c>
      <c r="E36" s="9" t="s">
        <v>4834</v>
      </c>
      <c r="F36" s="9" t="s">
        <v>4835</v>
      </c>
      <c r="G36" s="1">
        <v>2640.1626999999999</v>
      </c>
      <c r="H36" s="2">
        <v>470</v>
      </c>
      <c r="I36" s="2">
        <v>4</v>
      </c>
      <c r="J36" s="1">
        <v>2640.1129000000001</v>
      </c>
      <c r="K36" s="1">
        <v>661.048</v>
      </c>
      <c r="L36" s="9" t="s">
        <v>1606</v>
      </c>
      <c r="M36" s="2">
        <v>8.0399999999999991</v>
      </c>
      <c r="N36" s="4">
        <v>2983.31</v>
      </c>
      <c r="O36" s="1">
        <v>-18.83373068218949</v>
      </c>
      <c r="P36" s="6">
        <v>35.799999999999997</v>
      </c>
      <c r="Q36" s="6">
        <v>21.5</v>
      </c>
      <c r="R36" s="6">
        <v>12.6</v>
      </c>
      <c r="S36" s="6">
        <v>6.9</v>
      </c>
      <c r="T36" s="5">
        <v>5.5000000000000002E-5</v>
      </c>
      <c r="U36" s="1">
        <v>-4.9799999999999997E-2</v>
      </c>
      <c r="V36" s="1">
        <v>5.6138000000000003</v>
      </c>
    </row>
    <row r="37" spans="1:22" x14ac:dyDescent="0.25">
      <c r="A37" s="1">
        <v>0.99950000000000006</v>
      </c>
      <c r="B37" s="9" t="s">
        <v>4836</v>
      </c>
      <c r="C37" s="2">
        <v>2469</v>
      </c>
      <c r="D37" s="3" t="s">
        <v>1887</v>
      </c>
      <c r="E37" s="9" t="s">
        <v>52</v>
      </c>
      <c r="F37" s="9" t="s">
        <v>53</v>
      </c>
      <c r="G37" s="1">
        <v>1307.6216999999999</v>
      </c>
      <c r="H37" s="2">
        <v>105</v>
      </c>
      <c r="I37" s="2">
        <v>2</v>
      </c>
      <c r="J37" s="1">
        <v>1307.5889999999999</v>
      </c>
      <c r="K37" s="1">
        <v>654.81809999999996</v>
      </c>
      <c r="L37" s="9" t="s">
        <v>54</v>
      </c>
      <c r="M37" s="2">
        <v>8.1999999999999993</v>
      </c>
      <c r="N37" s="4">
        <v>3048.94</v>
      </c>
      <c r="O37" s="1">
        <v>-24.968766135206099</v>
      </c>
      <c r="P37" s="6">
        <v>57.3</v>
      </c>
      <c r="Q37" s="6">
        <v>38.700000000000003</v>
      </c>
      <c r="R37" s="6">
        <v>8.9</v>
      </c>
      <c r="S37" s="6">
        <v>10.6</v>
      </c>
      <c r="T37" s="5">
        <v>4.8000000000000001E-5</v>
      </c>
      <c r="U37" s="1">
        <v>-3.27E-2</v>
      </c>
      <c r="V37" s="1">
        <v>7.0739000000000001</v>
      </c>
    </row>
    <row r="38" spans="1:22" x14ac:dyDescent="0.25">
      <c r="A38" s="1">
        <v>1</v>
      </c>
      <c r="B38" s="9" t="s">
        <v>4837</v>
      </c>
      <c r="C38" s="2">
        <v>2474</v>
      </c>
      <c r="D38" s="3" t="s">
        <v>4838</v>
      </c>
      <c r="E38" s="9" t="s">
        <v>4839</v>
      </c>
      <c r="F38" s="9" t="s">
        <v>27</v>
      </c>
      <c r="G38" s="1">
        <v>2034.1226999999999</v>
      </c>
      <c r="H38" s="2">
        <v>471</v>
      </c>
      <c r="I38" s="2">
        <v>4</v>
      </c>
      <c r="J38" s="1">
        <v>2034.0545</v>
      </c>
      <c r="K38" s="1">
        <v>509.53800000000001</v>
      </c>
      <c r="L38" s="9" t="s">
        <v>28</v>
      </c>
      <c r="M38" s="2">
        <v>11.26</v>
      </c>
      <c r="N38" s="4">
        <v>3056.27</v>
      </c>
      <c r="O38" s="1">
        <v>-33.461684898869173</v>
      </c>
      <c r="P38" s="6">
        <v>39.9</v>
      </c>
      <c r="Q38" s="6">
        <v>23.4</v>
      </c>
      <c r="R38" s="6">
        <v>11.6</v>
      </c>
      <c r="S38" s="6">
        <v>12.6</v>
      </c>
      <c r="T38" s="5">
        <v>1.5999999999999999E-5</v>
      </c>
      <c r="U38" s="1">
        <v>-6.8199999999999997E-2</v>
      </c>
      <c r="V38" s="1">
        <v>7.5625</v>
      </c>
    </row>
    <row r="39" spans="1:22" x14ac:dyDescent="0.25">
      <c r="A39" s="1">
        <v>0.99990000000000001</v>
      </c>
      <c r="B39" s="9" t="s">
        <v>4840</v>
      </c>
      <c r="C39" s="2">
        <v>2485</v>
      </c>
      <c r="D39" s="3" t="s">
        <v>3139</v>
      </c>
      <c r="E39" s="9" t="s">
        <v>4841</v>
      </c>
      <c r="F39" s="9" t="s">
        <v>97</v>
      </c>
      <c r="G39" s="1">
        <v>1498.6986999999999</v>
      </c>
      <c r="H39" s="2">
        <v>971</v>
      </c>
      <c r="I39" s="2">
        <v>3</v>
      </c>
      <c r="J39" s="1">
        <v>1498.6541</v>
      </c>
      <c r="K39" s="1">
        <v>500.57350000000002</v>
      </c>
      <c r="L39" s="9" t="s">
        <v>98</v>
      </c>
      <c r="M39" s="2">
        <v>6.26</v>
      </c>
      <c r="N39" s="4">
        <v>3078.34</v>
      </c>
      <c r="O39" s="1">
        <v>-29.699268272624632</v>
      </c>
      <c r="P39" s="6">
        <v>43.5</v>
      </c>
      <c r="Q39" s="6">
        <v>27.9</v>
      </c>
      <c r="R39" s="6">
        <v>14.1</v>
      </c>
      <c r="S39" s="6">
        <v>13.2</v>
      </c>
      <c r="T39" s="5">
        <v>7.7999999999999999E-5</v>
      </c>
      <c r="U39" s="1">
        <v>-4.4600000000000001E-2</v>
      </c>
      <c r="V39" s="1">
        <v>7.4360999999999997</v>
      </c>
    </row>
    <row r="40" spans="1:22" x14ac:dyDescent="0.25">
      <c r="A40" s="1">
        <v>0.99950000000000006</v>
      </c>
      <c r="B40" s="9" t="s">
        <v>4842</v>
      </c>
      <c r="C40" s="2">
        <v>2505</v>
      </c>
      <c r="D40" s="3" t="s">
        <v>1845</v>
      </c>
      <c r="E40" s="9" t="s">
        <v>3086</v>
      </c>
      <c r="F40" s="9" t="s">
        <v>4843</v>
      </c>
      <c r="G40" s="1">
        <v>1342.7176999999999</v>
      </c>
      <c r="H40" s="2">
        <v>473</v>
      </c>
      <c r="I40" s="2">
        <v>3</v>
      </c>
      <c r="J40" s="1">
        <v>1342.6729</v>
      </c>
      <c r="K40" s="1">
        <v>448.57979999999998</v>
      </c>
      <c r="L40" s="9" t="s">
        <v>412</v>
      </c>
      <c r="M40" s="2">
        <v>9.5</v>
      </c>
      <c r="N40" s="4">
        <v>3114.92</v>
      </c>
      <c r="O40" s="1">
        <v>-33.290249211697301</v>
      </c>
      <c r="P40" s="6">
        <v>31.3</v>
      </c>
      <c r="Q40" s="6">
        <v>22.8</v>
      </c>
      <c r="R40" s="6">
        <v>5.5</v>
      </c>
      <c r="S40" s="6">
        <v>10.199999999999999</v>
      </c>
      <c r="T40" s="5">
        <v>1.2999999999999999E-2</v>
      </c>
      <c r="U40" s="1">
        <v>-4.48E-2</v>
      </c>
      <c r="V40" s="1">
        <v>4.4564000000000004</v>
      </c>
    </row>
    <row r="41" spans="1:22" x14ac:dyDescent="0.25">
      <c r="A41" s="1">
        <v>0.98150000000000004</v>
      </c>
      <c r="B41" s="9" t="s">
        <v>4844</v>
      </c>
      <c r="C41" s="2">
        <v>2509</v>
      </c>
      <c r="D41" s="3" t="s">
        <v>128</v>
      </c>
      <c r="E41" s="9" t="s">
        <v>1891</v>
      </c>
      <c r="F41" s="9" t="s">
        <v>1832</v>
      </c>
      <c r="G41" s="1">
        <v>1469.7297000000001</v>
      </c>
      <c r="H41" s="2">
        <v>319</v>
      </c>
      <c r="I41" s="2">
        <v>3</v>
      </c>
      <c r="J41" s="1">
        <v>1469.6727000000001</v>
      </c>
      <c r="K41" s="1">
        <v>490.91719999999998</v>
      </c>
      <c r="L41" s="9" t="s">
        <v>518</v>
      </c>
      <c r="M41" s="2">
        <v>9.99</v>
      </c>
      <c r="N41" s="4">
        <v>3122.2</v>
      </c>
      <c r="O41" s="1">
        <v>-38.703064386417914</v>
      </c>
      <c r="P41" s="6">
        <v>25.1</v>
      </c>
      <c r="Q41" s="6">
        <v>18.8</v>
      </c>
      <c r="R41" s="6">
        <v>6.2</v>
      </c>
      <c r="S41" s="6">
        <v>9.1</v>
      </c>
      <c r="T41" s="5">
        <v>0.13</v>
      </c>
      <c r="U41" s="1">
        <v>-5.7000000000000002E-2</v>
      </c>
      <c r="V41" s="1">
        <v>2.9439000000000002</v>
      </c>
    </row>
    <row r="42" spans="1:22" x14ac:dyDescent="0.25">
      <c r="A42" s="1">
        <v>0.99239999999999995</v>
      </c>
      <c r="B42" s="9" t="s">
        <v>4845</v>
      </c>
      <c r="C42" s="2">
        <v>2517</v>
      </c>
      <c r="D42" s="3" t="s">
        <v>154</v>
      </c>
      <c r="E42" s="9" t="s">
        <v>1914</v>
      </c>
      <c r="F42" s="9" t="s">
        <v>1915</v>
      </c>
      <c r="G42" s="1">
        <v>1093.5436999999999</v>
      </c>
      <c r="H42" s="2">
        <v>107</v>
      </c>
      <c r="I42" s="2">
        <v>2</v>
      </c>
      <c r="J42" s="1">
        <v>1093.5183999999999</v>
      </c>
      <c r="K42" s="1">
        <v>547.77909999999997</v>
      </c>
      <c r="L42" s="9" t="s">
        <v>1916</v>
      </c>
      <c r="M42" s="2">
        <v>8.75</v>
      </c>
      <c r="N42" s="4">
        <v>3136.79</v>
      </c>
      <c r="O42" s="1">
        <v>-23.093250545703551</v>
      </c>
      <c r="P42" s="6">
        <v>32.700000000000003</v>
      </c>
      <c r="Q42" s="6">
        <v>23.6</v>
      </c>
      <c r="R42" s="6">
        <v>8.3000000000000007</v>
      </c>
      <c r="S42" s="6">
        <v>8.9</v>
      </c>
      <c r="T42" s="5">
        <v>2.5999999999999999E-2</v>
      </c>
      <c r="U42" s="1">
        <v>-2.53E-2</v>
      </c>
      <c r="V42" s="1">
        <v>3.8307000000000002</v>
      </c>
    </row>
    <row r="43" spans="1:22" x14ac:dyDescent="0.25">
      <c r="A43" s="1">
        <v>0.97499999999999998</v>
      </c>
      <c r="B43" s="9" t="s">
        <v>4846</v>
      </c>
      <c r="C43" s="2">
        <v>2529</v>
      </c>
      <c r="D43" s="3" t="s">
        <v>69</v>
      </c>
      <c r="E43" s="9" t="s">
        <v>4847</v>
      </c>
      <c r="F43" s="9" t="s">
        <v>4848</v>
      </c>
      <c r="G43" s="1">
        <v>1127.5646999999999</v>
      </c>
      <c r="H43" s="2">
        <v>474</v>
      </c>
      <c r="I43" s="2">
        <v>2</v>
      </c>
      <c r="J43" s="1">
        <v>1127.4561000000001</v>
      </c>
      <c r="K43" s="1">
        <v>564.78959999999995</v>
      </c>
      <c r="L43" s="9" t="s">
        <v>4849</v>
      </c>
      <c r="M43" s="2">
        <v>6.22</v>
      </c>
      <c r="N43" s="4">
        <v>3158.72</v>
      </c>
      <c r="O43" s="1">
        <v>-96.14199694895234</v>
      </c>
      <c r="P43" s="6">
        <v>43.2</v>
      </c>
      <c r="Q43" s="6">
        <v>34.1</v>
      </c>
      <c r="R43" s="6">
        <v>12.4</v>
      </c>
      <c r="S43" s="6">
        <v>12.9</v>
      </c>
      <c r="T43" s="5">
        <v>6.5000000000000002E-2</v>
      </c>
      <c r="U43" s="1">
        <v>-0.1086</v>
      </c>
      <c r="V43" s="1">
        <v>2.9813000000000001</v>
      </c>
    </row>
    <row r="44" spans="1:22" x14ac:dyDescent="0.25">
      <c r="A44" s="1">
        <v>0.95679999999999998</v>
      </c>
      <c r="B44" s="9" t="s">
        <v>4850</v>
      </c>
      <c r="C44" s="2">
        <v>2545</v>
      </c>
      <c r="D44" s="3" t="s">
        <v>1845</v>
      </c>
      <c r="E44" s="9" t="s">
        <v>1891</v>
      </c>
      <c r="F44" s="9" t="s">
        <v>1832</v>
      </c>
      <c r="G44" s="1">
        <v>1469.7297000000001</v>
      </c>
      <c r="H44" s="2">
        <v>932</v>
      </c>
      <c r="I44" s="2">
        <v>3</v>
      </c>
      <c r="J44" s="1">
        <v>1469.6485</v>
      </c>
      <c r="K44" s="1">
        <v>490.91719999999998</v>
      </c>
      <c r="L44" s="9" t="s">
        <v>518</v>
      </c>
      <c r="M44" s="2">
        <v>9.99</v>
      </c>
      <c r="N44" s="4">
        <v>3190.02</v>
      </c>
      <c r="O44" s="1">
        <v>-55.134891722405868</v>
      </c>
      <c r="P44" s="6">
        <v>27.5</v>
      </c>
      <c r="Q44" s="6">
        <v>22</v>
      </c>
      <c r="R44" s="6">
        <v>6.4</v>
      </c>
      <c r="S44" s="6">
        <v>9</v>
      </c>
      <c r="T44" s="5">
        <v>6.2E-2</v>
      </c>
      <c r="U44" s="1">
        <v>-8.1199999999999994E-2</v>
      </c>
      <c r="V44" s="1">
        <v>3.0828000000000002</v>
      </c>
    </row>
    <row r="45" spans="1:22" x14ac:dyDescent="0.25">
      <c r="A45" s="1">
        <v>0.99390000000000001</v>
      </c>
      <c r="B45" s="9" t="s">
        <v>4851</v>
      </c>
      <c r="C45" s="2">
        <v>2562</v>
      </c>
      <c r="D45" s="3" t="s">
        <v>41</v>
      </c>
      <c r="E45" s="9" t="s">
        <v>62</v>
      </c>
      <c r="F45" s="9" t="s">
        <v>1146</v>
      </c>
      <c r="G45" s="1">
        <v>1674.7746999999999</v>
      </c>
      <c r="H45" s="2">
        <v>269</v>
      </c>
      <c r="I45" s="2">
        <v>3</v>
      </c>
      <c r="J45" s="1">
        <v>1674.7493999999999</v>
      </c>
      <c r="K45" s="1">
        <v>559.26549999999997</v>
      </c>
      <c r="L45" s="9" t="s">
        <v>714</v>
      </c>
      <c r="M45" s="2">
        <v>6.76</v>
      </c>
      <c r="N45" s="4">
        <v>3221.53</v>
      </c>
      <c r="O45" s="1">
        <v>-15.079301929644028</v>
      </c>
      <c r="P45" s="6">
        <v>30.4</v>
      </c>
      <c r="Q45" s="6">
        <v>20.3</v>
      </c>
      <c r="R45" s="6">
        <v>8</v>
      </c>
      <c r="S45" s="6">
        <v>8</v>
      </c>
      <c r="T45" s="5">
        <v>9.5999999999999992E-3</v>
      </c>
      <c r="U45" s="1">
        <v>-2.53E-2</v>
      </c>
      <c r="V45" s="1">
        <v>4.3148</v>
      </c>
    </row>
    <row r="46" spans="1:22" x14ac:dyDescent="0.25">
      <c r="A46" s="1">
        <v>0.99709999999999999</v>
      </c>
      <c r="B46" s="9" t="s">
        <v>4852</v>
      </c>
      <c r="C46" s="2">
        <v>2565</v>
      </c>
      <c r="D46" s="3" t="s">
        <v>41</v>
      </c>
      <c r="E46" s="9" t="s">
        <v>62</v>
      </c>
      <c r="F46" s="9" t="s">
        <v>63</v>
      </c>
      <c r="G46" s="1">
        <v>1674.7746999999999</v>
      </c>
      <c r="H46" s="2">
        <v>476</v>
      </c>
      <c r="I46" s="2">
        <v>3</v>
      </c>
      <c r="J46" s="1">
        <v>1674.7247</v>
      </c>
      <c r="K46" s="1">
        <v>559.26549999999997</v>
      </c>
      <c r="L46" s="9" t="s">
        <v>64</v>
      </c>
      <c r="M46" s="2">
        <v>6.76</v>
      </c>
      <c r="N46" s="4">
        <v>3224.68</v>
      </c>
      <c r="O46" s="1">
        <v>-29.800991955818244</v>
      </c>
      <c r="P46" s="6">
        <v>30.9</v>
      </c>
      <c r="Q46" s="6">
        <v>20.7</v>
      </c>
      <c r="R46" s="6">
        <v>9.1999999999999993</v>
      </c>
      <c r="S46" s="6">
        <v>8.1999999999999993</v>
      </c>
      <c r="T46" s="5">
        <v>9.1000000000000004E-3</v>
      </c>
      <c r="U46" s="1">
        <v>-0.05</v>
      </c>
      <c r="V46" s="1">
        <v>4.3314000000000004</v>
      </c>
    </row>
    <row r="47" spans="1:22" x14ac:dyDescent="0.25">
      <c r="A47" s="1">
        <v>0.98670000000000002</v>
      </c>
      <c r="B47" s="9" t="s">
        <v>4853</v>
      </c>
      <c r="C47" s="2">
        <v>2589</v>
      </c>
      <c r="D47" s="3" t="s">
        <v>2118</v>
      </c>
      <c r="E47" s="9" t="s">
        <v>4854</v>
      </c>
      <c r="F47" s="9" t="s">
        <v>156</v>
      </c>
      <c r="G47" s="1">
        <v>1151.4737</v>
      </c>
      <c r="H47" s="2">
        <v>804</v>
      </c>
      <c r="I47" s="2">
        <v>2</v>
      </c>
      <c r="J47" s="1">
        <v>1151.4372000000001</v>
      </c>
      <c r="K47" s="1">
        <v>576.7441</v>
      </c>
      <c r="L47" s="9" t="s">
        <v>157</v>
      </c>
      <c r="M47" s="2">
        <v>6.75</v>
      </c>
      <c r="N47" s="4">
        <v>3270.78</v>
      </c>
      <c r="O47" s="1">
        <v>-31.643149882244138</v>
      </c>
      <c r="P47" s="6">
        <v>37.799999999999997</v>
      </c>
      <c r="Q47" s="6">
        <v>32.5</v>
      </c>
      <c r="R47" s="6">
        <v>8.6</v>
      </c>
      <c r="S47" s="6">
        <v>8.9</v>
      </c>
      <c r="T47" s="5">
        <v>1.7000000000000001E-2</v>
      </c>
      <c r="U47" s="1">
        <v>-3.6499999999999998E-2</v>
      </c>
      <c r="V47" s="1">
        <v>3.4981</v>
      </c>
    </row>
    <row r="48" spans="1:22" x14ac:dyDescent="0.25">
      <c r="A48" s="1">
        <v>0.95279999999999998</v>
      </c>
      <c r="B48" s="9" t="s">
        <v>4855</v>
      </c>
      <c r="C48" s="2">
        <v>2594</v>
      </c>
      <c r="D48" s="3" t="s">
        <v>69</v>
      </c>
      <c r="E48" s="9" t="s">
        <v>70</v>
      </c>
      <c r="F48" s="9" t="s">
        <v>71</v>
      </c>
      <c r="G48" s="1">
        <v>1108.5337</v>
      </c>
      <c r="H48" s="2">
        <v>975</v>
      </c>
      <c r="I48" s="2">
        <v>2</v>
      </c>
      <c r="J48" s="1">
        <v>1108.5116</v>
      </c>
      <c r="K48" s="1">
        <v>555.27409999999998</v>
      </c>
      <c r="L48" s="9" t="s">
        <v>72</v>
      </c>
      <c r="M48" s="2">
        <v>8.59</v>
      </c>
      <c r="N48" s="4">
        <v>3275.93</v>
      </c>
      <c r="O48" s="1">
        <v>-19.900081779431098</v>
      </c>
      <c r="P48" s="6">
        <v>37.4</v>
      </c>
      <c r="Q48" s="6">
        <v>29.5</v>
      </c>
      <c r="R48" s="6">
        <v>10.1</v>
      </c>
      <c r="S48" s="6">
        <v>9.8000000000000007</v>
      </c>
      <c r="T48" s="5">
        <v>0.14000000000000001</v>
      </c>
      <c r="U48" s="1">
        <v>-2.2100000000000002E-2</v>
      </c>
      <c r="V48" s="1">
        <v>2.5752000000000002</v>
      </c>
    </row>
    <row r="49" spans="1:22" x14ac:dyDescent="0.25">
      <c r="A49" s="1">
        <v>0.98819999999999997</v>
      </c>
      <c r="B49" s="9" t="s">
        <v>4856</v>
      </c>
      <c r="C49" s="2">
        <v>2622</v>
      </c>
      <c r="D49" s="3" t="s">
        <v>178</v>
      </c>
      <c r="E49" s="9" t="s">
        <v>4857</v>
      </c>
      <c r="F49" s="9" t="s">
        <v>4858</v>
      </c>
      <c r="G49" s="1">
        <v>1028.5507</v>
      </c>
      <c r="H49" s="2">
        <v>478</v>
      </c>
      <c r="I49" s="2">
        <v>3</v>
      </c>
      <c r="J49" s="1">
        <v>1028.5136</v>
      </c>
      <c r="K49" s="1">
        <v>343.85750000000002</v>
      </c>
      <c r="L49" s="9" t="s">
        <v>4859</v>
      </c>
      <c r="M49" s="2">
        <v>10</v>
      </c>
      <c r="N49" s="4">
        <v>3327.16</v>
      </c>
      <c r="O49" s="1">
        <v>-35.964510492476293</v>
      </c>
      <c r="P49" s="6">
        <v>27.1</v>
      </c>
      <c r="Q49" s="6">
        <v>21.7</v>
      </c>
      <c r="R49" s="6">
        <v>9.8000000000000007</v>
      </c>
      <c r="S49" s="6">
        <v>9.4</v>
      </c>
      <c r="T49" s="5">
        <v>0.11</v>
      </c>
      <c r="U49" s="1">
        <v>-3.7100000000000001E-2</v>
      </c>
      <c r="V49" s="1">
        <v>3.3748</v>
      </c>
    </row>
    <row r="50" spans="1:22" x14ac:dyDescent="0.25">
      <c r="A50" s="1">
        <v>0.99960000000000004</v>
      </c>
      <c r="B50" s="9" t="s">
        <v>4860</v>
      </c>
      <c r="C50" s="2">
        <v>2657</v>
      </c>
      <c r="D50" s="3" t="s">
        <v>100</v>
      </c>
      <c r="E50" s="9" t="s">
        <v>720</v>
      </c>
      <c r="F50" s="9" t="s">
        <v>721</v>
      </c>
      <c r="G50" s="1">
        <v>1323.7666999999999</v>
      </c>
      <c r="H50" s="2">
        <v>480</v>
      </c>
      <c r="I50" s="2">
        <v>3</v>
      </c>
      <c r="J50" s="1">
        <v>1323.7132999999999</v>
      </c>
      <c r="K50" s="1">
        <v>442.26280000000003</v>
      </c>
      <c r="L50" s="9" t="s">
        <v>118</v>
      </c>
      <c r="M50" s="2">
        <v>8.6</v>
      </c>
      <c r="N50" s="4">
        <v>3393.26</v>
      </c>
      <c r="O50" s="1">
        <v>-40.247563213546336</v>
      </c>
      <c r="P50" s="6">
        <v>31.9</v>
      </c>
      <c r="Q50" s="6">
        <v>22.5</v>
      </c>
      <c r="R50" s="6">
        <v>11</v>
      </c>
      <c r="S50" s="6">
        <v>8.5</v>
      </c>
      <c r="T50" s="5">
        <v>1.2999999999999999E-2</v>
      </c>
      <c r="U50" s="1">
        <v>-5.3400000000000003E-2</v>
      </c>
      <c r="V50" s="1">
        <v>4.5956999999999999</v>
      </c>
    </row>
    <row r="51" spans="1:22" x14ac:dyDescent="0.25">
      <c r="A51" s="1">
        <v>1</v>
      </c>
      <c r="B51" s="9" t="s">
        <v>4861</v>
      </c>
      <c r="C51" s="2">
        <v>2665</v>
      </c>
      <c r="D51" s="3" t="s">
        <v>4862</v>
      </c>
      <c r="E51" s="9" t="s">
        <v>4863</v>
      </c>
      <c r="F51" s="9" t="s">
        <v>3692</v>
      </c>
      <c r="G51" s="1">
        <v>2321.1876999999999</v>
      </c>
      <c r="H51" s="2">
        <v>482</v>
      </c>
      <c r="I51" s="2">
        <v>4</v>
      </c>
      <c r="J51" s="1">
        <v>2321.1361000000002</v>
      </c>
      <c r="K51" s="1">
        <v>581.30420000000004</v>
      </c>
      <c r="L51" s="9" t="s">
        <v>161</v>
      </c>
      <c r="M51" s="2">
        <v>8.64</v>
      </c>
      <c r="N51" s="4">
        <v>3407.86</v>
      </c>
      <c r="O51" s="1">
        <v>-22.19147909132602</v>
      </c>
      <c r="P51" s="6">
        <v>43.5</v>
      </c>
      <c r="Q51" s="6">
        <v>22.8</v>
      </c>
      <c r="R51" s="6">
        <v>11.9</v>
      </c>
      <c r="S51" s="6">
        <v>12.9</v>
      </c>
      <c r="T51" s="5">
        <v>3.9999999999999998E-6</v>
      </c>
      <c r="U51" s="1">
        <v>-5.16E-2</v>
      </c>
      <c r="V51" s="1">
        <v>7.3677999999999999</v>
      </c>
    </row>
    <row r="52" spans="1:22" x14ac:dyDescent="0.25">
      <c r="A52" s="1">
        <v>0.95550000000000002</v>
      </c>
      <c r="B52" s="9" t="s">
        <v>4864</v>
      </c>
      <c r="C52" s="2">
        <v>2674</v>
      </c>
      <c r="D52" s="3" t="s">
        <v>4865</v>
      </c>
      <c r="E52" s="9" t="s">
        <v>4866</v>
      </c>
      <c r="F52" s="9" t="s">
        <v>4867</v>
      </c>
      <c r="G52" s="1">
        <v>2197.0826999999999</v>
      </c>
      <c r="H52" s="2">
        <v>1294</v>
      </c>
      <c r="I52" s="2">
        <v>3</v>
      </c>
      <c r="J52" s="1">
        <v>2196.915</v>
      </c>
      <c r="K52" s="1">
        <v>733.3682</v>
      </c>
      <c r="L52" s="9" t="s">
        <v>4868</v>
      </c>
      <c r="M52" s="2">
        <v>3.71</v>
      </c>
      <c r="N52" s="4">
        <v>3426.94</v>
      </c>
      <c r="O52" s="1">
        <v>-76.223648639251053</v>
      </c>
      <c r="P52" s="6">
        <v>26.9</v>
      </c>
      <c r="Q52" s="6">
        <v>19.5</v>
      </c>
      <c r="R52" s="6">
        <v>7.4</v>
      </c>
      <c r="S52" s="6">
        <v>7.2</v>
      </c>
      <c r="T52" s="5">
        <v>4.1000000000000002E-2</v>
      </c>
      <c r="U52" s="1">
        <v>-0.16769999999999999</v>
      </c>
      <c r="V52" s="1">
        <v>2.9278</v>
      </c>
    </row>
    <row r="53" spans="1:22" x14ac:dyDescent="0.25">
      <c r="A53" s="1">
        <v>0.99829999999999997</v>
      </c>
      <c r="B53" s="9" t="s">
        <v>4869</v>
      </c>
      <c r="C53" s="2">
        <v>2693</v>
      </c>
      <c r="D53" s="3" t="s">
        <v>792</v>
      </c>
      <c r="E53" s="9" t="s">
        <v>724</v>
      </c>
      <c r="F53" s="9" t="s">
        <v>647</v>
      </c>
      <c r="G53" s="1">
        <v>1439.8497</v>
      </c>
      <c r="H53" s="2">
        <v>112</v>
      </c>
      <c r="I53" s="2">
        <v>3</v>
      </c>
      <c r="J53" s="1">
        <v>1439.7944</v>
      </c>
      <c r="K53" s="1">
        <v>480.9572</v>
      </c>
      <c r="L53" s="9" t="s">
        <v>118</v>
      </c>
      <c r="M53" s="2">
        <v>8.48</v>
      </c>
      <c r="N53" s="4">
        <v>3459.42</v>
      </c>
      <c r="O53" s="1">
        <v>-38.326348650843222</v>
      </c>
      <c r="P53" s="6">
        <v>28.4</v>
      </c>
      <c r="Q53" s="6">
        <v>20.399999999999999</v>
      </c>
      <c r="R53" s="6">
        <v>3.6</v>
      </c>
      <c r="S53" s="6">
        <v>10.4</v>
      </c>
      <c r="T53" s="5">
        <v>5.3999999999999999E-2</v>
      </c>
      <c r="U53" s="1">
        <v>-5.5300000000000002E-2</v>
      </c>
      <c r="V53" s="1">
        <v>3.6587000000000001</v>
      </c>
    </row>
    <row r="54" spans="1:22" x14ac:dyDescent="0.25">
      <c r="A54" s="1">
        <v>1</v>
      </c>
      <c r="B54" s="9" t="s">
        <v>4870</v>
      </c>
      <c r="C54" s="2">
        <v>2702</v>
      </c>
      <c r="D54" s="3" t="s">
        <v>1872</v>
      </c>
      <c r="E54" s="9" t="s">
        <v>4871</v>
      </c>
      <c r="F54" s="9" t="s">
        <v>313</v>
      </c>
      <c r="G54" s="1">
        <v>1595.8377</v>
      </c>
      <c r="H54" s="2">
        <v>487</v>
      </c>
      <c r="I54" s="2">
        <v>4</v>
      </c>
      <c r="J54" s="1">
        <v>1595.7935</v>
      </c>
      <c r="K54" s="1">
        <v>399.9667</v>
      </c>
      <c r="L54" s="9" t="s">
        <v>314</v>
      </c>
      <c r="M54" s="2">
        <v>8.48</v>
      </c>
      <c r="N54" s="4">
        <v>3474.12</v>
      </c>
      <c r="O54" s="1">
        <v>-27.627299972722732</v>
      </c>
      <c r="P54" s="6">
        <v>37.299999999999997</v>
      </c>
      <c r="Q54" s="6">
        <v>24.7</v>
      </c>
      <c r="R54" s="6">
        <v>7.9</v>
      </c>
      <c r="S54" s="6">
        <v>11</v>
      </c>
      <c r="T54" s="5">
        <v>7.5000000000000002E-4</v>
      </c>
      <c r="U54" s="1">
        <v>-4.4200000000000003E-2</v>
      </c>
      <c r="V54" s="1">
        <v>6.0651000000000002</v>
      </c>
    </row>
    <row r="55" spans="1:22" x14ac:dyDescent="0.25">
      <c r="A55" s="1">
        <v>0.998</v>
      </c>
      <c r="B55" s="9" t="s">
        <v>4872</v>
      </c>
      <c r="C55" s="2">
        <v>2734</v>
      </c>
      <c r="D55" s="3" t="s">
        <v>128</v>
      </c>
      <c r="E55" s="9" t="s">
        <v>3086</v>
      </c>
      <c r="F55" s="9" t="s">
        <v>4843</v>
      </c>
      <c r="G55" s="1">
        <v>1342.7176999999999</v>
      </c>
      <c r="H55" s="2">
        <v>798</v>
      </c>
      <c r="I55" s="2">
        <v>3</v>
      </c>
      <c r="J55" s="1">
        <v>1342.6760999999999</v>
      </c>
      <c r="K55" s="1">
        <v>448.57979999999998</v>
      </c>
      <c r="L55" s="9" t="s">
        <v>412</v>
      </c>
      <c r="M55" s="2">
        <v>9.5</v>
      </c>
      <c r="N55" s="4">
        <v>3537.05</v>
      </c>
      <c r="O55" s="1">
        <v>-30.912374268004633</v>
      </c>
      <c r="P55" s="6">
        <v>31</v>
      </c>
      <c r="Q55" s="6">
        <v>22.5</v>
      </c>
      <c r="R55" s="6">
        <v>8.6</v>
      </c>
      <c r="S55" s="6">
        <v>10.9</v>
      </c>
      <c r="T55" s="5">
        <v>9.1000000000000004E-3</v>
      </c>
      <c r="U55" s="1">
        <v>-4.1599999999999998E-2</v>
      </c>
      <c r="V55" s="1">
        <v>4.6872999999999996</v>
      </c>
    </row>
    <row r="56" spans="1:22" x14ac:dyDescent="0.25">
      <c r="A56" s="1">
        <v>0.99950000000000006</v>
      </c>
      <c r="B56" s="9" t="s">
        <v>4873</v>
      </c>
      <c r="C56" s="2">
        <v>2747</v>
      </c>
      <c r="D56" s="3" t="s">
        <v>163</v>
      </c>
      <c r="E56" s="9" t="s">
        <v>4874</v>
      </c>
      <c r="F56" s="9" t="s">
        <v>27</v>
      </c>
      <c r="G56" s="1">
        <v>1708.7547</v>
      </c>
      <c r="H56" s="2">
        <v>491</v>
      </c>
      <c r="I56" s="2">
        <v>3</v>
      </c>
      <c r="J56" s="1">
        <v>1708.7106000000001</v>
      </c>
      <c r="K56" s="1">
        <v>570.59220000000005</v>
      </c>
      <c r="L56" s="9" t="s">
        <v>28</v>
      </c>
      <c r="M56" s="2">
        <v>5.51</v>
      </c>
      <c r="N56" s="4">
        <v>3554.77</v>
      </c>
      <c r="O56" s="1">
        <v>-25.762707586959653</v>
      </c>
      <c r="P56" s="6">
        <v>33.5</v>
      </c>
      <c r="Q56" s="6">
        <v>22.9</v>
      </c>
      <c r="R56" s="6">
        <v>12.1</v>
      </c>
      <c r="S56" s="6">
        <v>9.9</v>
      </c>
      <c r="T56" s="5">
        <v>4.0000000000000001E-3</v>
      </c>
      <c r="U56" s="1">
        <v>-4.41E-2</v>
      </c>
      <c r="V56" s="1">
        <v>4.8426999999999998</v>
      </c>
    </row>
    <row r="57" spans="1:22" x14ac:dyDescent="0.25">
      <c r="A57" s="1">
        <v>0.99719999999999998</v>
      </c>
      <c r="B57" s="9" t="s">
        <v>4875</v>
      </c>
      <c r="C57" s="2">
        <v>2773</v>
      </c>
      <c r="D57" s="3" t="s">
        <v>183</v>
      </c>
      <c r="E57" s="9" t="s">
        <v>79</v>
      </c>
      <c r="F57" s="9" t="s">
        <v>80</v>
      </c>
      <c r="G57" s="1">
        <v>1140.5237</v>
      </c>
      <c r="H57" s="2">
        <v>16</v>
      </c>
      <c r="I57" s="2">
        <v>2</v>
      </c>
      <c r="J57" s="1">
        <v>1140.4870000000001</v>
      </c>
      <c r="K57" s="1">
        <v>571.26909999999998</v>
      </c>
      <c r="L57" s="9" t="s">
        <v>81</v>
      </c>
      <c r="M57" s="2">
        <v>5.47</v>
      </c>
      <c r="N57" s="4">
        <v>3605.88</v>
      </c>
      <c r="O57" s="1">
        <v>-32.12146429764887</v>
      </c>
      <c r="P57" s="6">
        <v>35.799999999999997</v>
      </c>
      <c r="Q57" s="6">
        <v>25.3</v>
      </c>
      <c r="R57" s="6">
        <v>10.199999999999999</v>
      </c>
      <c r="S57" s="6">
        <v>11.8</v>
      </c>
      <c r="T57" s="5">
        <v>2.9E-4</v>
      </c>
      <c r="U57" s="1">
        <v>-3.6700000000000003E-2</v>
      </c>
      <c r="V57" s="1">
        <v>6.0053999999999998</v>
      </c>
    </row>
    <row r="58" spans="1:22" x14ac:dyDescent="0.25">
      <c r="A58" s="1">
        <v>0.98519999999999996</v>
      </c>
      <c r="B58" s="9" t="s">
        <v>4876</v>
      </c>
      <c r="C58" s="2">
        <v>2775</v>
      </c>
      <c r="D58" s="3" t="s">
        <v>396</v>
      </c>
      <c r="E58" s="9" t="s">
        <v>4877</v>
      </c>
      <c r="F58" s="9" t="s">
        <v>1478</v>
      </c>
      <c r="G58" s="1">
        <v>1269.5847000000001</v>
      </c>
      <c r="H58" s="2">
        <v>114</v>
      </c>
      <c r="I58" s="2">
        <v>2</v>
      </c>
      <c r="J58" s="1">
        <v>1269.5355</v>
      </c>
      <c r="K58" s="1">
        <v>635.79960000000005</v>
      </c>
      <c r="L58" s="9" t="s">
        <v>1479</v>
      </c>
      <c r="M58" s="2">
        <v>8.17</v>
      </c>
      <c r="N58" s="4">
        <v>3605.88</v>
      </c>
      <c r="O58" s="1">
        <v>-38.691436735726164</v>
      </c>
      <c r="P58" s="6">
        <v>42.8</v>
      </c>
      <c r="Q58" s="6">
        <v>33.700000000000003</v>
      </c>
      <c r="R58" s="6">
        <v>8.1999999999999993</v>
      </c>
      <c r="S58" s="6">
        <v>10.7</v>
      </c>
      <c r="T58" s="5">
        <v>3.6999999999999998E-2</v>
      </c>
      <c r="U58" s="1">
        <v>-4.9200000000000001E-2</v>
      </c>
      <c r="V58" s="1">
        <v>3.2923</v>
      </c>
    </row>
    <row r="59" spans="1:22" x14ac:dyDescent="0.25">
      <c r="A59" s="1">
        <v>0.99929999999999997</v>
      </c>
      <c r="B59" s="9" t="s">
        <v>4878</v>
      </c>
      <c r="C59" s="2">
        <v>2798</v>
      </c>
      <c r="D59" s="3" t="s">
        <v>93</v>
      </c>
      <c r="E59" s="9" t="s">
        <v>4879</v>
      </c>
      <c r="F59" s="9" t="s">
        <v>151</v>
      </c>
      <c r="G59" s="1">
        <v>1336.6077</v>
      </c>
      <c r="H59" s="2">
        <v>494</v>
      </c>
      <c r="I59" s="2">
        <v>2</v>
      </c>
      <c r="J59" s="1">
        <v>1336.5681999999999</v>
      </c>
      <c r="K59" s="1">
        <v>669.31110000000001</v>
      </c>
      <c r="L59" s="9" t="s">
        <v>152</v>
      </c>
      <c r="M59" s="2">
        <v>6.25</v>
      </c>
      <c r="N59" s="4">
        <v>3649.98</v>
      </c>
      <c r="O59" s="1">
        <v>-29.507952281084236</v>
      </c>
      <c r="P59" s="6">
        <v>48.9</v>
      </c>
      <c r="Q59" s="6">
        <v>30.6</v>
      </c>
      <c r="R59" s="6">
        <v>10.7</v>
      </c>
      <c r="S59" s="6">
        <v>11.1</v>
      </c>
      <c r="T59" s="5">
        <v>1.5999999999999999E-5</v>
      </c>
      <c r="U59" s="1">
        <v>-3.95E-2</v>
      </c>
      <c r="V59" s="1">
        <v>7.5327000000000002</v>
      </c>
    </row>
    <row r="60" spans="1:22" x14ac:dyDescent="0.25">
      <c r="A60" s="1">
        <v>0.97609999999999997</v>
      </c>
      <c r="B60" s="9" t="s">
        <v>4880</v>
      </c>
      <c r="C60" s="2">
        <v>2802</v>
      </c>
      <c r="D60" s="3" t="s">
        <v>343</v>
      </c>
      <c r="E60" s="9" t="s">
        <v>4881</v>
      </c>
      <c r="F60" s="9" t="s">
        <v>4882</v>
      </c>
      <c r="G60" s="1">
        <v>909.48069999999996</v>
      </c>
      <c r="H60" s="2">
        <v>953</v>
      </c>
      <c r="I60" s="2">
        <v>2</v>
      </c>
      <c r="J60" s="1">
        <v>909.4153</v>
      </c>
      <c r="K60" s="1">
        <v>455.74759999999998</v>
      </c>
      <c r="L60" s="9" t="s">
        <v>4883</v>
      </c>
      <c r="M60" s="2">
        <v>4.5999999999999996</v>
      </c>
      <c r="N60" s="4">
        <v>3661.56</v>
      </c>
      <c r="O60" s="1">
        <v>-71.750240703406902</v>
      </c>
      <c r="P60" s="6">
        <v>25.5</v>
      </c>
      <c r="Q60" s="6">
        <v>18.3</v>
      </c>
      <c r="R60" s="6">
        <v>7.8</v>
      </c>
      <c r="S60" s="6">
        <v>8.6</v>
      </c>
      <c r="T60" s="5">
        <v>0.12</v>
      </c>
      <c r="U60" s="1">
        <v>-6.54E-2</v>
      </c>
      <c r="V60" s="1">
        <v>3.0367000000000002</v>
      </c>
    </row>
    <row r="61" spans="1:22" x14ac:dyDescent="0.25">
      <c r="A61" s="1">
        <v>0.97030000000000005</v>
      </c>
      <c r="B61" s="9" t="s">
        <v>4884</v>
      </c>
      <c r="C61" s="2">
        <v>2807</v>
      </c>
      <c r="D61" s="3" t="s">
        <v>752</v>
      </c>
      <c r="E61" s="9" t="s">
        <v>4885</v>
      </c>
      <c r="F61" s="9" t="s">
        <v>67</v>
      </c>
      <c r="G61" s="1">
        <v>1070.5907</v>
      </c>
      <c r="H61" s="2">
        <v>1216</v>
      </c>
      <c r="I61" s="2">
        <v>2</v>
      </c>
      <c r="J61" s="1">
        <v>1070.5491</v>
      </c>
      <c r="K61" s="1">
        <v>536.30259999999998</v>
      </c>
      <c r="L61" s="9" t="s">
        <v>28</v>
      </c>
      <c r="M61" s="2">
        <v>11</v>
      </c>
      <c r="N61" s="4">
        <v>3670.91</v>
      </c>
      <c r="O61" s="1">
        <v>-38.784074513157307</v>
      </c>
      <c r="P61" s="6">
        <v>45.2</v>
      </c>
      <c r="Q61" s="6">
        <v>34.5</v>
      </c>
      <c r="R61" s="6">
        <v>10.5</v>
      </c>
      <c r="S61" s="6">
        <v>11</v>
      </c>
      <c r="T61" s="5">
        <v>0.05</v>
      </c>
      <c r="U61" s="1">
        <v>-4.1599999999999998E-2</v>
      </c>
      <c r="V61" s="1">
        <v>3.2603</v>
      </c>
    </row>
    <row r="62" spans="1:22" x14ac:dyDescent="0.25">
      <c r="A62" s="1">
        <v>0.97330000000000005</v>
      </c>
      <c r="B62" s="9" t="s">
        <v>4886</v>
      </c>
      <c r="C62" s="2">
        <v>2877</v>
      </c>
      <c r="D62" s="3" t="s">
        <v>2910</v>
      </c>
      <c r="E62" s="9" t="s">
        <v>4887</v>
      </c>
      <c r="F62" s="9" t="s">
        <v>4888</v>
      </c>
      <c r="G62" s="1">
        <v>1859.0546999999999</v>
      </c>
      <c r="H62" s="2">
        <v>498</v>
      </c>
      <c r="I62" s="2">
        <v>4</v>
      </c>
      <c r="J62" s="1">
        <v>1858.9983999999999</v>
      </c>
      <c r="K62" s="1">
        <v>465.77100000000002</v>
      </c>
      <c r="L62" s="9" t="s">
        <v>4889</v>
      </c>
      <c r="M62" s="2">
        <v>9.6999999999999993</v>
      </c>
      <c r="N62" s="4">
        <v>3796.59</v>
      </c>
      <c r="O62" s="1">
        <v>-30.218712629167555</v>
      </c>
      <c r="P62" s="6">
        <v>28.1</v>
      </c>
      <c r="Q62" s="6">
        <v>21.6</v>
      </c>
      <c r="R62" s="6">
        <v>10.5</v>
      </c>
      <c r="S62" s="6">
        <v>10.7</v>
      </c>
      <c r="T62" s="5">
        <v>3.2000000000000001E-2</v>
      </c>
      <c r="U62" s="1">
        <v>-5.6300000000000003E-2</v>
      </c>
      <c r="V62" s="1">
        <v>3.1720000000000002</v>
      </c>
    </row>
    <row r="63" spans="1:22" x14ac:dyDescent="0.25">
      <c r="A63" s="1">
        <v>0.99990000000000001</v>
      </c>
      <c r="B63" s="9" t="s">
        <v>4890</v>
      </c>
      <c r="C63" s="2">
        <v>2938</v>
      </c>
      <c r="D63" s="3" t="s">
        <v>779</v>
      </c>
      <c r="E63" s="9" t="s">
        <v>4891</v>
      </c>
      <c r="F63" s="9" t="s">
        <v>982</v>
      </c>
      <c r="G63" s="1">
        <v>1409.6757</v>
      </c>
      <c r="H63" s="2">
        <v>505</v>
      </c>
      <c r="I63" s="2">
        <v>3</v>
      </c>
      <c r="J63" s="1">
        <v>1409.6316999999999</v>
      </c>
      <c r="K63" s="1">
        <v>470.89920000000001</v>
      </c>
      <c r="L63" s="9" t="s">
        <v>983</v>
      </c>
      <c r="M63" s="2">
        <v>8.5</v>
      </c>
      <c r="N63" s="4">
        <v>3906.5</v>
      </c>
      <c r="O63" s="1">
        <v>-31.146085333478304</v>
      </c>
      <c r="P63" s="6">
        <v>34</v>
      </c>
      <c r="Q63" s="6">
        <v>19.600000000000001</v>
      </c>
      <c r="R63" s="6">
        <v>9.8000000000000007</v>
      </c>
      <c r="S63" s="6">
        <v>10</v>
      </c>
      <c r="T63" s="5">
        <v>5.5999999999999995E-4</v>
      </c>
      <c r="U63" s="1">
        <v>-4.3999999999999997E-2</v>
      </c>
      <c r="V63" s="1">
        <v>7.2691999999999997</v>
      </c>
    </row>
    <row r="64" spans="1:22" x14ac:dyDescent="0.25">
      <c r="A64" s="1">
        <v>0.99980000000000002</v>
      </c>
      <c r="B64" s="9" t="s">
        <v>4892</v>
      </c>
      <c r="C64" s="2">
        <v>2945</v>
      </c>
      <c r="D64" s="3" t="s">
        <v>4893</v>
      </c>
      <c r="E64" s="9" t="s">
        <v>4894</v>
      </c>
      <c r="F64" s="9" t="s">
        <v>67</v>
      </c>
      <c r="G64" s="1">
        <v>2161.1747</v>
      </c>
      <c r="H64" s="2">
        <v>988</v>
      </c>
      <c r="I64" s="2">
        <v>4</v>
      </c>
      <c r="J64" s="1">
        <v>2161.1122</v>
      </c>
      <c r="K64" s="1">
        <v>541.30100000000004</v>
      </c>
      <c r="L64" s="9" t="s">
        <v>28</v>
      </c>
      <c r="M64" s="2">
        <v>9.5299999999999994</v>
      </c>
      <c r="N64" s="4">
        <v>3921.2</v>
      </c>
      <c r="O64" s="1">
        <v>-28.865640373840062</v>
      </c>
      <c r="P64" s="6">
        <v>44.8</v>
      </c>
      <c r="Q64" s="6">
        <v>30.6</v>
      </c>
      <c r="R64" s="6">
        <v>11.8</v>
      </c>
      <c r="S64" s="6">
        <v>12.9</v>
      </c>
      <c r="T64" s="5">
        <v>2.5999999999999998E-4</v>
      </c>
      <c r="U64" s="1">
        <v>-6.25E-2</v>
      </c>
      <c r="V64" s="1">
        <v>5.7416999999999998</v>
      </c>
    </row>
    <row r="65" spans="1:22" x14ac:dyDescent="0.25">
      <c r="A65" s="1">
        <v>0.99939999999999996</v>
      </c>
      <c r="B65" s="9" t="s">
        <v>4895</v>
      </c>
      <c r="C65" s="2">
        <v>2955</v>
      </c>
      <c r="D65" s="3" t="s">
        <v>4716</v>
      </c>
      <c r="E65" s="9" t="s">
        <v>4896</v>
      </c>
      <c r="F65" s="9" t="s">
        <v>143</v>
      </c>
      <c r="G65" s="1">
        <v>2244.3757000000001</v>
      </c>
      <c r="H65" s="2">
        <v>506</v>
      </c>
      <c r="I65" s="2">
        <v>4</v>
      </c>
      <c r="J65" s="1">
        <v>2244.3087999999998</v>
      </c>
      <c r="K65" s="1">
        <v>562.10119999999995</v>
      </c>
      <c r="L65" s="9" t="s">
        <v>144</v>
      </c>
      <c r="M65" s="2">
        <v>10.3</v>
      </c>
      <c r="N65" s="4">
        <v>3935.95</v>
      </c>
      <c r="O65" s="1">
        <v>-29.754428561974251</v>
      </c>
      <c r="P65" s="6">
        <v>36.6</v>
      </c>
      <c r="Q65" s="6">
        <v>25.2</v>
      </c>
      <c r="R65" s="6">
        <v>9.6</v>
      </c>
      <c r="S65" s="6">
        <v>10</v>
      </c>
      <c r="T65" s="5">
        <v>8.0000000000000004E-4</v>
      </c>
      <c r="U65" s="1">
        <v>-6.6900000000000001E-2</v>
      </c>
      <c r="V65" s="1">
        <v>5.1699000000000002</v>
      </c>
    </row>
    <row r="66" spans="1:22" x14ac:dyDescent="0.25">
      <c r="A66" s="1">
        <v>0.97909999999999997</v>
      </c>
      <c r="B66" s="9" t="s">
        <v>4897</v>
      </c>
      <c r="C66" s="2">
        <v>2974</v>
      </c>
      <c r="D66" s="3" t="s">
        <v>657</v>
      </c>
      <c r="E66" s="9" t="s">
        <v>4898</v>
      </c>
      <c r="F66" s="9" t="s">
        <v>517</v>
      </c>
      <c r="G66" s="1">
        <v>1206.6796999999999</v>
      </c>
      <c r="H66" s="2">
        <v>1357</v>
      </c>
      <c r="I66" s="2">
        <v>3</v>
      </c>
      <c r="J66" s="1">
        <v>1206.627</v>
      </c>
      <c r="K66" s="1">
        <v>403.23379999999997</v>
      </c>
      <c r="L66" s="9" t="s">
        <v>518</v>
      </c>
      <c r="M66" s="2">
        <v>8.6</v>
      </c>
      <c r="N66" s="4">
        <v>3972.6</v>
      </c>
      <c r="O66" s="1">
        <v>-43.564469711285774</v>
      </c>
      <c r="P66" s="6">
        <v>28.8</v>
      </c>
      <c r="Q66" s="6">
        <v>24.2</v>
      </c>
      <c r="R66" s="6">
        <v>10.4</v>
      </c>
      <c r="S66" s="6">
        <v>10.8</v>
      </c>
      <c r="T66" s="5">
        <v>7.3999999999999996E-2</v>
      </c>
      <c r="U66" s="1">
        <v>-5.2699999999999997E-2</v>
      </c>
      <c r="V66" s="1">
        <v>3.0005999999999999</v>
      </c>
    </row>
    <row r="67" spans="1:22" x14ac:dyDescent="0.25">
      <c r="A67" s="1">
        <v>0.99929999999999997</v>
      </c>
      <c r="B67" s="9" t="s">
        <v>4899</v>
      </c>
      <c r="C67" s="2">
        <v>3005</v>
      </c>
      <c r="D67" s="3" t="s">
        <v>245</v>
      </c>
      <c r="E67" s="9" t="s">
        <v>1971</v>
      </c>
      <c r="F67" s="9" t="s">
        <v>1972</v>
      </c>
      <c r="G67" s="1">
        <v>1551.8626999999999</v>
      </c>
      <c r="H67" s="2">
        <v>508</v>
      </c>
      <c r="I67" s="2">
        <v>3</v>
      </c>
      <c r="J67" s="1">
        <v>1551.8085000000001</v>
      </c>
      <c r="K67" s="1">
        <v>518.29480000000001</v>
      </c>
      <c r="L67" s="9" t="s">
        <v>1969</v>
      </c>
      <c r="M67" s="2">
        <v>9.99</v>
      </c>
      <c r="N67" s="4">
        <v>4031.46</v>
      </c>
      <c r="O67" s="1">
        <v>-34.85789683143004</v>
      </c>
      <c r="P67" s="6">
        <v>31.6</v>
      </c>
      <c r="Q67" s="6">
        <v>22.4</v>
      </c>
      <c r="R67" s="6">
        <v>9.6</v>
      </c>
      <c r="S67" s="6">
        <v>11.3</v>
      </c>
      <c r="T67" s="5">
        <v>1.9E-3</v>
      </c>
      <c r="U67" s="1">
        <v>-5.4199999999999998E-2</v>
      </c>
      <c r="V67" s="1">
        <v>5.4984999999999999</v>
      </c>
    </row>
    <row r="68" spans="1:22" x14ac:dyDescent="0.25">
      <c r="A68" s="1">
        <v>0.99909999999999999</v>
      </c>
      <c r="B68" s="9" t="s">
        <v>4900</v>
      </c>
      <c r="C68" s="2">
        <v>3013</v>
      </c>
      <c r="D68" s="3" t="s">
        <v>105</v>
      </c>
      <c r="E68" s="9" t="s">
        <v>106</v>
      </c>
      <c r="F68" s="9" t="s">
        <v>107</v>
      </c>
      <c r="G68" s="1">
        <v>1624.6177</v>
      </c>
      <c r="H68" s="2">
        <v>994</v>
      </c>
      <c r="I68" s="2">
        <v>2</v>
      </c>
      <c r="J68" s="1">
        <v>1624.5732</v>
      </c>
      <c r="K68" s="1">
        <v>813.31610000000001</v>
      </c>
      <c r="L68" s="9" t="s">
        <v>108</v>
      </c>
      <c r="M68" s="2">
        <v>6.49</v>
      </c>
      <c r="N68" s="4">
        <v>4046.21</v>
      </c>
      <c r="O68" s="1">
        <v>-27.357137034419949</v>
      </c>
      <c r="P68" s="6">
        <v>47.4</v>
      </c>
      <c r="Q68" s="6">
        <v>28.7</v>
      </c>
      <c r="R68" s="6">
        <v>8.5</v>
      </c>
      <c r="S68" s="6">
        <v>11.1</v>
      </c>
      <c r="T68" s="5">
        <v>9.3000000000000007E-6</v>
      </c>
      <c r="U68" s="1">
        <v>-4.4499999999999998E-2</v>
      </c>
      <c r="V68" s="1">
        <v>7.0411999999999999</v>
      </c>
    </row>
    <row r="69" spans="1:22" x14ac:dyDescent="0.25">
      <c r="A69" s="1">
        <v>0.996</v>
      </c>
      <c r="B69" s="9" t="s">
        <v>4901</v>
      </c>
      <c r="C69" s="2">
        <v>3018</v>
      </c>
      <c r="D69" s="3" t="s">
        <v>779</v>
      </c>
      <c r="E69" s="9" t="s">
        <v>101</v>
      </c>
      <c r="F69" s="9" t="s">
        <v>102</v>
      </c>
      <c r="G69" s="1">
        <v>1462.8217</v>
      </c>
      <c r="H69" s="2">
        <v>123</v>
      </c>
      <c r="I69" s="2">
        <v>3</v>
      </c>
      <c r="J69" s="1">
        <v>1462.7587000000001</v>
      </c>
      <c r="K69" s="1">
        <v>488.61450000000002</v>
      </c>
      <c r="L69" s="9" t="s">
        <v>103</v>
      </c>
      <c r="M69" s="2">
        <v>9.5299999999999994</v>
      </c>
      <c r="N69" s="4">
        <v>4053.56</v>
      </c>
      <c r="O69" s="1">
        <v>-42.978667231529151</v>
      </c>
      <c r="P69" s="6">
        <v>34.700000000000003</v>
      </c>
      <c r="Q69" s="6">
        <v>28</v>
      </c>
      <c r="R69" s="6">
        <v>9.9</v>
      </c>
      <c r="S69" s="6">
        <v>9.6999999999999993</v>
      </c>
      <c r="T69" s="5">
        <v>0.01</v>
      </c>
      <c r="U69" s="1">
        <v>-6.3E-2</v>
      </c>
      <c r="V69" s="1">
        <v>4.1414</v>
      </c>
    </row>
    <row r="70" spans="1:22" x14ac:dyDescent="0.25">
      <c r="A70" s="1">
        <v>0.99429999999999996</v>
      </c>
      <c r="B70" s="9" t="s">
        <v>4902</v>
      </c>
      <c r="C70" s="2">
        <v>3041</v>
      </c>
      <c r="D70" s="3" t="s">
        <v>38</v>
      </c>
      <c r="E70" s="9" t="s">
        <v>1971</v>
      </c>
      <c r="F70" s="9" t="s">
        <v>1972</v>
      </c>
      <c r="G70" s="1">
        <v>1551.8626999999999</v>
      </c>
      <c r="H70" s="2">
        <v>512</v>
      </c>
      <c r="I70" s="2">
        <v>3</v>
      </c>
      <c r="J70" s="1">
        <v>1551.8021000000001</v>
      </c>
      <c r="K70" s="1">
        <v>518.29480000000001</v>
      </c>
      <c r="L70" s="9" t="s">
        <v>1969</v>
      </c>
      <c r="M70" s="2">
        <v>9.99</v>
      </c>
      <c r="N70" s="4">
        <v>4097.6099999999997</v>
      </c>
      <c r="O70" s="1">
        <v>-38.973958449901481</v>
      </c>
      <c r="P70" s="6">
        <v>30.2</v>
      </c>
      <c r="Q70" s="6">
        <v>22</v>
      </c>
      <c r="R70" s="6">
        <v>9.4</v>
      </c>
      <c r="S70" s="6">
        <v>11.6</v>
      </c>
      <c r="T70" s="5">
        <v>2.7E-2</v>
      </c>
      <c r="U70" s="1">
        <v>-6.0600000000000001E-2</v>
      </c>
      <c r="V70" s="1">
        <v>3.8530000000000002</v>
      </c>
    </row>
    <row r="71" spans="1:22" x14ac:dyDescent="0.25">
      <c r="A71" s="1">
        <v>0.99960000000000004</v>
      </c>
      <c r="B71" s="9" t="s">
        <v>4903</v>
      </c>
      <c r="C71" s="2">
        <v>3043</v>
      </c>
      <c r="D71" s="3" t="s">
        <v>770</v>
      </c>
      <c r="E71" s="9" t="s">
        <v>4904</v>
      </c>
      <c r="F71" s="9" t="s">
        <v>4905</v>
      </c>
      <c r="G71" s="1">
        <v>1601.8597</v>
      </c>
      <c r="H71" s="2">
        <v>124</v>
      </c>
      <c r="I71" s="2">
        <v>3</v>
      </c>
      <c r="J71" s="1">
        <v>1601.8236999999999</v>
      </c>
      <c r="K71" s="1">
        <v>534.96050000000002</v>
      </c>
      <c r="L71" s="9" t="s">
        <v>4906</v>
      </c>
      <c r="M71" s="2">
        <v>8.57</v>
      </c>
      <c r="N71" s="4">
        <v>4097.6099999999997</v>
      </c>
      <c r="O71" s="1">
        <v>-22.431562704162268</v>
      </c>
      <c r="P71" s="6">
        <v>34.9</v>
      </c>
      <c r="Q71" s="6">
        <v>24.7</v>
      </c>
      <c r="R71" s="6">
        <v>10.7</v>
      </c>
      <c r="S71" s="6">
        <v>5.6</v>
      </c>
      <c r="T71" s="5">
        <v>3.3E-4</v>
      </c>
      <c r="U71" s="1">
        <v>-3.5999999999999997E-2</v>
      </c>
      <c r="V71" s="1">
        <v>6.0472000000000001</v>
      </c>
    </row>
    <row r="72" spans="1:22" x14ac:dyDescent="0.25">
      <c r="A72" s="1">
        <v>0.97509999999999997</v>
      </c>
      <c r="B72" s="9" t="s">
        <v>4907</v>
      </c>
      <c r="C72" s="2">
        <v>3061</v>
      </c>
      <c r="D72" s="3" t="s">
        <v>1977</v>
      </c>
      <c r="E72" s="9" t="s">
        <v>2985</v>
      </c>
      <c r="F72" s="9" t="s">
        <v>151</v>
      </c>
      <c r="G72" s="1">
        <v>2011.0767000000001</v>
      </c>
      <c r="H72" s="2">
        <v>790</v>
      </c>
      <c r="I72" s="2">
        <v>3</v>
      </c>
      <c r="J72" s="1">
        <v>2011.0213000000001</v>
      </c>
      <c r="K72" s="1">
        <v>671.36620000000005</v>
      </c>
      <c r="L72" s="9" t="s">
        <v>152</v>
      </c>
      <c r="M72" s="2">
        <v>8.59</v>
      </c>
      <c r="N72" s="4">
        <v>4136.55</v>
      </c>
      <c r="O72" s="1">
        <v>-27.506101240525162</v>
      </c>
      <c r="P72" s="6">
        <v>35.799999999999997</v>
      </c>
      <c r="Q72" s="6">
        <v>26.7</v>
      </c>
      <c r="R72" s="6">
        <v>12.9</v>
      </c>
      <c r="S72" s="6">
        <v>8.5</v>
      </c>
      <c r="T72" s="5">
        <v>4.7000000000000002E-3</v>
      </c>
      <c r="U72" s="1">
        <v>-5.5399999999999998E-2</v>
      </c>
      <c r="V72" s="1">
        <v>3.8256999999999999</v>
      </c>
    </row>
    <row r="73" spans="1:22" x14ac:dyDescent="0.25">
      <c r="A73" s="1">
        <v>0.99939999999999996</v>
      </c>
      <c r="B73" s="9" t="s">
        <v>4908</v>
      </c>
      <c r="C73" s="2">
        <v>3062</v>
      </c>
      <c r="D73" s="3" t="s">
        <v>2045</v>
      </c>
      <c r="E73" s="9" t="s">
        <v>111</v>
      </c>
      <c r="F73" s="9" t="s">
        <v>112</v>
      </c>
      <c r="G73" s="1">
        <v>1460.6747</v>
      </c>
      <c r="H73" s="2">
        <v>514</v>
      </c>
      <c r="I73" s="2">
        <v>2</v>
      </c>
      <c r="J73" s="1">
        <v>1460.6360999999999</v>
      </c>
      <c r="K73" s="1">
        <v>731.34460000000001</v>
      </c>
      <c r="L73" s="9" t="s">
        <v>113</v>
      </c>
      <c r="M73" s="2">
        <v>6.13</v>
      </c>
      <c r="N73" s="4">
        <v>4134.37</v>
      </c>
      <c r="O73" s="1">
        <v>-26.389748416820197</v>
      </c>
      <c r="P73" s="6">
        <v>51.5</v>
      </c>
      <c r="Q73" s="6">
        <v>26.8</v>
      </c>
      <c r="R73" s="6">
        <v>13.3</v>
      </c>
      <c r="S73" s="6">
        <v>13.7</v>
      </c>
      <c r="T73" s="5">
        <v>8.5000000000000006E-5</v>
      </c>
      <c r="U73" s="1">
        <v>-3.8600000000000002E-2</v>
      </c>
      <c r="V73" s="1">
        <v>6.9443999999999999</v>
      </c>
    </row>
    <row r="74" spans="1:22" x14ac:dyDescent="0.25">
      <c r="A74" s="1">
        <v>0.98609999999999998</v>
      </c>
      <c r="B74" s="9" t="s">
        <v>4909</v>
      </c>
      <c r="C74" s="2">
        <v>3089</v>
      </c>
      <c r="D74" s="3" t="s">
        <v>298</v>
      </c>
      <c r="E74" s="9" t="s">
        <v>4910</v>
      </c>
      <c r="F74" s="9" t="s">
        <v>27</v>
      </c>
      <c r="G74" s="1">
        <v>1137.5857000000001</v>
      </c>
      <c r="H74" s="2">
        <v>517</v>
      </c>
      <c r="I74" s="2">
        <v>2</v>
      </c>
      <c r="J74" s="1">
        <v>1137.5485000000001</v>
      </c>
      <c r="K74" s="1">
        <v>569.80010000000004</v>
      </c>
      <c r="L74" s="9" t="s">
        <v>28</v>
      </c>
      <c r="M74" s="2">
        <v>8.59</v>
      </c>
      <c r="N74" s="4">
        <v>4185.72</v>
      </c>
      <c r="O74" s="1">
        <v>-32.643026914175685</v>
      </c>
      <c r="P74" s="6">
        <v>31.5</v>
      </c>
      <c r="Q74" s="6">
        <v>26.4</v>
      </c>
      <c r="R74" s="6">
        <v>7.1</v>
      </c>
      <c r="S74" s="6">
        <v>7.3</v>
      </c>
      <c r="T74" s="5">
        <v>2.4E-2</v>
      </c>
      <c r="U74" s="1">
        <v>-3.7199999999999997E-2</v>
      </c>
      <c r="V74" s="1">
        <v>3.4257</v>
      </c>
    </row>
    <row r="75" spans="1:22" x14ac:dyDescent="0.25">
      <c r="A75" s="1">
        <v>0.99609999999999999</v>
      </c>
      <c r="B75" s="9" t="s">
        <v>4911</v>
      </c>
      <c r="C75" s="2">
        <v>3090</v>
      </c>
      <c r="D75" s="3" t="s">
        <v>280</v>
      </c>
      <c r="E75" s="9" t="s">
        <v>1210</v>
      </c>
      <c r="F75" s="9" t="s">
        <v>411</v>
      </c>
      <c r="G75" s="1">
        <v>1401.6777</v>
      </c>
      <c r="H75" s="2">
        <v>996</v>
      </c>
      <c r="I75" s="2">
        <v>2</v>
      </c>
      <c r="J75" s="1">
        <v>1401.6397999999999</v>
      </c>
      <c r="K75" s="1">
        <v>701.84609999999998</v>
      </c>
      <c r="L75" s="9" t="s">
        <v>412</v>
      </c>
      <c r="M75" s="2">
        <v>4.71</v>
      </c>
      <c r="N75" s="4">
        <v>4185.72</v>
      </c>
      <c r="O75" s="1">
        <v>-27.000221273581207</v>
      </c>
      <c r="P75" s="6">
        <v>44.1</v>
      </c>
      <c r="Q75" s="6">
        <v>30.1</v>
      </c>
      <c r="R75" s="6">
        <v>12.3</v>
      </c>
      <c r="S75" s="6">
        <v>12.4</v>
      </c>
      <c r="T75" s="5">
        <v>1.6000000000000001E-3</v>
      </c>
      <c r="U75" s="1">
        <v>-3.7900000000000003E-2</v>
      </c>
      <c r="V75" s="1">
        <v>4.6656000000000004</v>
      </c>
    </row>
    <row r="76" spans="1:22" x14ac:dyDescent="0.25">
      <c r="A76" s="1">
        <v>0.99329999999999996</v>
      </c>
      <c r="B76" s="9" t="s">
        <v>4912</v>
      </c>
      <c r="C76" s="2">
        <v>3098</v>
      </c>
      <c r="D76" s="3" t="s">
        <v>1977</v>
      </c>
      <c r="E76" s="9" t="s">
        <v>2985</v>
      </c>
      <c r="F76" s="9" t="s">
        <v>151</v>
      </c>
      <c r="G76" s="1">
        <v>2011.0767000000001</v>
      </c>
      <c r="H76" s="2">
        <v>518</v>
      </c>
      <c r="I76" s="2">
        <v>3</v>
      </c>
      <c r="J76" s="1">
        <v>2011.0136</v>
      </c>
      <c r="K76" s="1">
        <v>671.36620000000005</v>
      </c>
      <c r="L76" s="9" t="s">
        <v>152</v>
      </c>
      <c r="M76" s="2">
        <v>8.59</v>
      </c>
      <c r="N76" s="4">
        <v>4200.42</v>
      </c>
      <c r="O76" s="1">
        <v>-31.329151412944729</v>
      </c>
      <c r="P76" s="6">
        <v>37.799999999999997</v>
      </c>
      <c r="Q76" s="6">
        <v>27.9</v>
      </c>
      <c r="R76" s="6">
        <v>13.1</v>
      </c>
      <c r="S76" s="6">
        <v>6.4</v>
      </c>
      <c r="T76" s="5">
        <v>2.8999999999999998E-3</v>
      </c>
      <c r="U76" s="1">
        <v>-6.3100000000000003E-2</v>
      </c>
      <c r="V76" s="1">
        <v>4.0827</v>
      </c>
    </row>
    <row r="77" spans="1:22" x14ac:dyDescent="0.25">
      <c r="A77" s="1">
        <v>0.98099999999999998</v>
      </c>
      <c r="B77" s="9" t="s">
        <v>4913</v>
      </c>
      <c r="C77" s="2">
        <v>3126</v>
      </c>
      <c r="D77" s="3" t="s">
        <v>423</v>
      </c>
      <c r="E77" s="9" t="s">
        <v>1210</v>
      </c>
      <c r="F77" s="9" t="s">
        <v>1211</v>
      </c>
      <c r="G77" s="1">
        <v>1401.6777</v>
      </c>
      <c r="H77" s="2">
        <v>793</v>
      </c>
      <c r="I77" s="2">
        <v>2</v>
      </c>
      <c r="J77" s="1">
        <v>1401.6274000000001</v>
      </c>
      <c r="K77" s="1">
        <v>701.84609999999998</v>
      </c>
      <c r="L77" s="9" t="s">
        <v>412</v>
      </c>
      <c r="M77" s="2">
        <v>4.71</v>
      </c>
      <c r="N77" s="4">
        <v>4256.16</v>
      </c>
      <c r="O77" s="1">
        <v>-35.834066756230463</v>
      </c>
      <c r="P77" s="6">
        <v>36.6</v>
      </c>
      <c r="Q77" s="6">
        <v>23.8</v>
      </c>
      <c r="R77" s="6">
        <v>11</v>
      </c>
      <c r="S77" s="6">
        <v>11.8</v>
      </c>
      <c r="T77" s="5">
        <v>7.7999999999999996E-3</v>
      </c>
      <c r="U77" s="1">
        <v>-5.0299999999999997E-2</v>
      </c>
      <c r="V77" s="1">
        <v>4.1058000000000003</v>
      </c>
    </row>
    <row r="78" spans="1:22" x14ac:dyDescent="0.25">
      <c r="A78" s="1">
        <v>0.99909999999999999</v>
      </c>
      <c r="B78" s="9" t="s">
        <v>4914</v>
      </c>
      <c r="C78" s="2">
        <v>3131</v>
      </c>
      <c r="D78" s="3" t="s">
        <v>255</v>
      </c>
      <c r="E78" s="9" t="s">
        <v>121</v>
      </c>
      <c r="F78" s="9" t="s">
        <v>122</v>
      </c>
      <c r="G78" s="1">
        <v>1737.9807000000001</v>
      </c>
      <c r="H78" s="2">
        <v>520</v>
      </c>
      <c r="I78" s="2">
        <v>3</v>
      </c>
      <c r="J78" s="1">
        <v>1737.905</v>
      </c>
      <c r="K78" s="1">
        <v>580.33420000000001</v>
      </c>
      <c r="L78" s="9" t="s">
        <v>123</v>
      </c>
      <c r="M78" s="2">
        <v>9.99</v>
      </c>
      <c r="N78" s="4">
        <v>4259.2299999999996</v>
      </c>
      <c r="O78" s="1">
        <v>-43.480693251118637</v>
      </c>
      <c r="P78" s="6">
        <v>42</v>
      </c>
      <c r="Q78" s="6">
        <v>33.4</v>
      </c>
      <c r="R78" s="6">
        <v>10.7</v>
      </c>
      <c r="S78" s="6">
        <v>12.9</v>
      </c>
      <c r="T78" s="5">
        <v>4.4000000000000002E-4</v>
      </c>
      <c r="U78" s="1">
        <v>-7.5700000000000003E-2</v>
      </c>
      <c r="V78" s="1">
        <v>5.2484999999999999</v>
      </c>
    </row>
    <row r="79" spans="1:22" x14ac:dyDescent="0.25">
      <c r="A79" s="1">
        <v>0.99990000000000001</v>
      </c>
      <c r="B79" s="9" t="s">
        <v>4915</v>
      </c>
      <c r="C79" s="2">
        <v>3145</v>
      </c>
      <c r="D79" s="3" t="s">
        <v>775</v>
      </c>
      <c r="E79" s="9" t="s">
        <v>126</v>
      </c>
      <c r="F79" s="9" t="s">
        <v>122</v>
      </c>
      <c r="G79" s="1">
        <v>1867.0237</v>
      </c>
      <c r="H79" s="2">
        <v>521</v>
      </c>
      <c r="I79" s="2">
        <v>3</v>
      </c>
      <c r="J79" s="1">
        <v>1866.9608000000001</v>
      </c>
      <c r="K79" s="1">
        <v>623.34849999999994</v>
      </c>
      <c r="L79" s="9" t="s">
        <v>123</v>
      </c>
      <c r="M79" s="2">
        <v>8.59</v>
      </c>
      <c r="N79" s="4">
        <v>4288.4799999999996</v>
      </c>
      <c r="O79" s="1">
        <v>-33.635545231386082</v>
      </c>
      <c r="P79" s="6">
        <v>51.2</v>
      </c>
      <c r="Q79" s="6">
        <v>27.8</v>
      </c>
      <c r="R79" s="6">
        <v>10.5</v>
      </c>
      <c r="S79" s="6">
        <v>12.9</v>
      </c>
      <c r="T79" s="5">
        <v>2.4000000000000001E-5</v>
      </c>
      <c r="U79" s="1">
        <v>-6.2899999999999998E-2</v>
      </c>
      <c r="V79" s="1">
        <v>7.8038999999999996</v>
      </c>
    </row>
    <row r="80" spans="1:22" x14ac:dyDescent="0.25">
      <c r="A80" s="1">
        <v>0.99980000000000002</v>
      </c>
      <c r="B80" s="9" t="s">
        <v>4916</v>
      </c>
      <c r="C80" s="2">
        <v>3150</v>
      </c>
      <c r="D80" s="3" t="s">
        <v>2012</v>
      </c>
      <c r="E80" s="9" t="s">
        <v>134</v>
      </c>
      <c r="F80" s="9" t="s">
        <v>122</v>
      </c>
      <c r="G80" s="1">
        <v>1996.0667000000001</v>
      </c>
      <c r="H80" s="2">
        <v>522</v>
      </c>
      <c r="I80" s="2">
        <v>3</v>
      </c>
      <c r="J80" s="1">
        <v>1996.0256999999999</v>
      </c>
      <c r="K80" s="1">
        <v>666.36279999999999</v>
      </c>
      <c r="L80" s="9" t="s">
        <v>123</v>
      </c>
      <c r="M80" s="2">
        <v>6.33</v>
      </c>
      <c r="N80" s="4">
        <v>4295.83</v>
      </c>
      <c r="O80" s="1">
        <v>-20.509348160891737</v>
      </c>
      <c r="P80" s="6">
        <v>47.6</v>
      </c>
      <c r="Q80" s="6">
        <v>29.1</v>
      </c>
      <c r="R80" s="6">
        <v>10.7</v>
      </c>
      <c r="S80" s="6">
        <v>12.9</v>
      </c>
      <c r="T80" s="5">
        <v>2.0999999999999999E-5</v>
      </c>
      <c r="U80" s="1">
        <v>-4.1000000000000002E-2</v>
      </c>
      <c r="V80" s="1">
        <v>7.31</v>
      </c>
    </row>
    <row r="81" spans="1:22" x14ac:dyDescent="0.25">
      <c r="A81" s="1">
        <v>0.99960000000000004</v>
      </c>
      <c r="B81" s="9" t="s">
        <v>4917</v>
      </c>
      <c r="C81" s="2">
        <v>3151</v>
      </c>
      <c r="D81" s="3" t="s">
        <v>321</v>
      </c>
      <c r="E81" s="9" t="s">
        <v>4918</v>
      </c>
      <c r="F81" s="9" t="s">
        <v>1812</v>
      </c>
      <c r="G81" s="1">
        <v>1718.8847000000001</v>
      </c>
      <c r="H81" s="2">
        <v>334</v>
      </c>
      <c r="I81" s="2">
        <v>3</v>
      </c>
      <c r="J81" s="1">
        <v>1718.8585</v>
      </c>
      <c r="K81" s="1">
        <v>573.96879999999999</v>
      </c>
      <c r="L81" s="9" t="s">
        <v>1813</v>
      </c>
      <c r="M81" s="2">
        <v>8.1999999999999993</v>
      </c>
      <c r="N81" s="4">
        <v>4295.83</v>
      </c>
      <c r="O81" s="1">
        <v>-15.215693489495134</v>
      </c>
      <c r="P81" s="6">
        <v>36.9</v>
      </c>
      <c r="Q81" s="6">
        <v>24.1</v>
      </c>
      <c r="R81" s="6">
        <v>11.2</v>
      </c>
      <c r="S81" s="6">
        <v>11.9</v>
      </c>
      <c r="T81" s="5">
        <v>4.0000000000000002E-4</v>
      </c>
      <c r="U81" s="1">
        <v>-2.6200000000000001E-2</v>
      </c>
      <c r="V81" s="1">
        <v>6.4641999999999999</v>
      </c>
    </row>
    <row r="82" spans="1:22" x14ac:dyDescent="0.25">
      <c r="A82" s="1">
        <v>0.99280000000000002</v>
      </c>
      <c r="B82" s="9" t="s">
        <v>4919</v>
      </c>
      <c r="C82" s="2">
        <v>3186</v>
      </c>
      <c r="D82" s="3" t="s">
        <v>201</v>
      </c>
      <c r="E82" s="9" t="s">
        <v>4169</v>
      </c>
      <c r="F82" s="9" t="s">
        <v>27</v>
      </c>
      <c r="G82" s="1">
        <v>1245.6427000000001</v>
      </c>
      <c r="H82" s="2">
        <v>524</v>
      </c>
      <c r="I82" s="2">
        <v>2</v>
      </c>
      <c r="J82" s="1">
        <v>1245.6025</v>
      </c>
      <c r="K82" s="1">
        <v>623.82860000000005</v>
      </c>
      <c r="L82" s="9" t="s">
        <v>28</v>
      </c>
      <c r="M82" s="2">
        <v>8.59</v>
      </c>
      <c r="N82" s="4">
        <v>4361.79</v>
      </c>
      <c r="O82" s="1">
        <v>-32.220388741394665</v>
      </c>
      <c r="P82" s="6">
        <v>44</v>
      </c>
      <c r="Q82" s="6">
        <v>30.7</v>
      </c>
      <c r="R82" s="6">
        <v>9</v>
      </c>
      <c r="S82" s="6">
        <v>9.4</v>
      </c>
      <c r="T82" s="5">
        <v>1.7999999999999999E-2</v>
      </c>
      <c r="U82" s="1">
        <v>-4.02E-2</v>
      </c>
      <c r="V82" s="1">
        <v>3.9620000000000002</v>
      </c>
    </row>
    <row r="83" spans="1:22" x14ac:dyDescent="0.25">
      <c r="A83" s="1">
        <v>0.99850000000000005</v>
      </c>
      <c r="B83" s="9" t="s">
        <v>4920</v>
      </c>
      <c r="C83" s="2">
        <v>3202</v>
      </c>
      <c r="D83" s="3" t="s">
        <v>115</v>
      </c>
      <c r="E83" s="9" t="s">
        <v>2566</v>
      </c>
      <c r="F83" s="9" t="s">
        <v>415</v>
      </c>
      <c r="G83" s="1">
        <v>1588.8126999999999</v>
      </c>
      <c r="H83" s="2">
        <v>526</v>
      </c>
      <c r="I83" s="2">
        <v>2</v>
      </c>
      <c r="J83" s="1">
        <v>1588.7641000000001</v>
      </c>
      <c r="K83" s="1">
        <v>795.41359999999997</v>
      </c>
      <c r="L83" s="9" t="s">
        <v>416</v>
      </c>
      <c r="M83" s="2">
        <v>6.25</v>
      </c>
      <c r="N83" s="4">
        <v>4391.24</v>
      </c>
      <c r="O83" s="1">
        <v>-30.550143975411032</v>
      </c>
      <c r="P83" s="6">
        <v>45.4</v>
      </c>
      <c r="Q83" s="6">
        <v>28.2</v>
      </c>
      <c r="R83" s="6">
        <v>11.4</v>
      </c>
      <c r="S83" s="6">
        <v>10.3</v>
      </c>
      <c r="T83" s="5">
        <v>1.1E-4</v>
      </c>
      <c r="U83" s="1">
        <v>-4.8599999999999997E-2</v>
      </c>
      <c r="V83" s="1">
        <v>6.1261000000000001</v>
      </c>
    </row>
    <row r="84" spans="1:22" x14ac:dyDescent="0.25">
      <c r="A84" s="1">
        <v>0.997</v>
      </c>
      <c r="B84" s="9" t="s">
        <v>4921</v>
      </c>
      <c r="C84" s="2">
        <v>3221</v>
      </c>
      <c r="D84" s="3" t="s">
        <v>201</v>
      </c>
      <c r="E84" s="9" t="s">
        <v>4169</v>
      </c>
      <c r="F84" s="9" t="s">
        <v>27</v>
      </c>
      <c r="G84" s="1">
        <v>1245.6427000000001</v>
      </c>
      <c r="H84" s="2">
        <v>527</v>
      </c>
      <c r="I84" s="2">
        <v>2</v>
      </c>
      <c r="J84" s="1">
        <v>1245.5994000000001</v>
      </c>
      <c r="K84" s="1">
        <v>623.82860000000005</v>
      </c>
      <c r="L84" s="9" t="s">
        <v>28</v>
      </c>
      <c r="M84" s="2">
        <v>8.59</v>
      </c>
      <c r="N84" s="4">
        <v>4427.8900000000003</v>
      </c>
      <c r="O84" s="1">
        <v>-34.705045584636544</v>
      </c>
      <c r="P84" s="6">
        <v>44.1</v>
      </c>
      <c r="Q84" s="6">
        <v>30.7</v>
      </c>
      <c r="R84" s="6">
        <v>9</v>
      </c>
      <c r="S84" s="6">
        <v>9.4</v>
      </c>
      <c r="T84" s="5">
        <v>3.7000000000000002E-3</v>
      </c>
      <c r="U84" s="1">
        <v>-4.3299999999999998E-2</v>
      </c>
      <c r="V84" s="1">
        <v>4.7705000000000002</v>
      </c>
    </row>
    <row r="85" spans="1:22" x14ac:dyDescent="0.25">
      <c r="A85" s="1">
        <v>0.98499999999999999</v>
      </c>
      <c r="B85" s="9" t="s">
        <v>4922</v>
      </c>
      <c r="C85" s="2">
        <v>3231</v>
      </c>
      <c r="D85" s="3" t="s">
        <v>298</v>
      </c>
      <c r="E85" s="9" t="s">
        <v>4923</v>
      </c>
      <c r="F85" s="9" t="s">
        <v>216</v>
      </c>
      <c r="G85" s="1">
        <v>1058.5217</v>
      </c>
      <c r="H85" s="2">
        <v>528</v>
      </c>
      <c r="I85" s="2">
        <v>2</v>
      </c>
      <c r="J85" s="1">
        <v>1058.4928</v>
      </c>
      <c r="K85" s="1">
        <v>530.2681</v>
      </c>
      <c r="L85" s="9" t="s">
        <v>91</v>
      </c>
      <c r="M85" s="2">
        <v>6.73</v>
      </c>
      <c r="N85" s="4">
        <v>4442.54</v>
      </c>
      <c r="O85" s="1">
        <v>-27.250366371275209</v>
      </c>
      <c r="P85" s="6">
        <v>36.4</v>
      </c>
      <c r="Q85" s="6">
        <v>30.9</v>
      </c>
      <c r="R85" s="6">
        <v>6.3</v>
      </c>
      <c r="S85" s="6">
        <v>10.9</v>
      </c>
      <c r="T85" s="5">
        <v>2.4E-2</v>
      </c>
      <c r="U85" s="1">
        <v>-2.8899999999999999E-2</v>
      </c>
      <c r="V85" s="1">
        <v>3.3645999999999998</v>
      </c>
    </row>
    <row r="86" spans="1:22" x14ac:dyDescent="0.25">
      <c r="A86" s="1">
        <v>1</v>
      </c>
      <c r="B86" s="9" t="s">
        <v>4924</v>
      </c>
      <c r="C86" s="2">
        <v>3235</v>
      </c>
      <c r="D86" s="3" t="s">
        <v>1175</v>
      </c>
      <c r="E86" s="9" t="s">
        <v>169</v>
      </c>
      <c r="F86" s="9" t="s">
        <v>170</v>
      </c>
      <c r="G86" s="1">
        <v>1967.8857</v>
      </c>
      <c r="H86" s="2">
        <v>529</v>
      </c>
      <c r="I86" s="2">
        <v>3</v>
      </c>
      <c r="J86" s="1">
        <v>1967.8447000000001</v>
      </c>
      <c r="K86" s="1">
        <v>656.9692</v>
      </c>
      <c r="L86" s="9" t="s">
        <v>64</v>
      </c>
      <c r="M86" s="2">
        <v>4.3099999999999996</v>
      </c>
      <c r="N86" s="4">
        <v>4449.8500000000004</v>
      </c>
      <c r="O86" s="1">
        <v>-20.802598762113458</v>
      </c>
      <c r="P86" s="6">
        <v>42.4</v>
      </c>
      <c r="Q86" s="6">
        <v>22.6</v>
      </c>
      <c r="R86" s="6">
        <v>13</v>
      </c>
      <c r="S86" s="6">
        <v>6.5</v>
      </c>
      <c r="T86" s="5">
        <v>8.4999999999999999E-6</v>
      </c>
      <c r="U86" s="1">
        <v>-4.1000000000000002E-2</v>
      </c>
      <c r="V86" s="1">
        <v>7.9051999999999998</v>
      </c>
    </row>
    <row r="87" spans="1:22" x14ac:dyDescent="0.25">
      <c r="A87" s="1">
        <v>0.99939999999999996</v>
      </c>
      <c r="B87" s="9" t="s">
        <v>4925</v>
      </c>
      <c r="C87" s="2">
        <v>3237</v>
      </c>
      <c r="D87" s="3" t="s">
        <v>168</v>
      </c>
      <c r="E87" s="9" t="s">
        <v>2007</v>
      </c>
      <c r="F87" s="9" t="s">
        <v>3179</v>
      </c>
      <c r="G87" s="1">
        <v>1981.9016999999999</v>
      </c>
      <c r="H87" s="2">
        <v>530</v>
      </c>
      <c r="I87" s="2">
        <v>3</v>
      </c>
      <c r="J87" s="1">
        <v>1981.8534999999999</v>
      </c>
      <c r="K87" s="1">
        <v>661.64120000000003</v>
      </c>
      <c r="L87" s="9" t="s">
        <v>714</v>
      </c>
      <c r="M87" s="2">
        <v>4.4400000000000004</v>
      </c>
      <c r="N87" s="4">
        <v>4457.1499999999996</v>
      </c>
      <c r="O87" s="1">
        <v>-24.283050491212858</v>
      </c>
      <c r="P87" s="6">
        <v>36.799999999999997</v>
      </c>
      <c r="Q87" s="6">
        <v>23.8</v>
      </c>
      <c r="R87" s="6">
        <v>13.3</v>
      </c>
      <c r="S87" s="6">
        <v>7.5</v>
      </c>
      <c r="T87" s="5">
        <v>2.5000000000000001E-3</v>
      </c>
      <c r="U87" s="1">
        <v>-4.82E-2</v>
      </c>
      <c r="V87" s="1">
        <v>4.6897000000000002</v>
      </c>
    </row>
    <row r="88" spans="1:22" x14ac:dyDescent="0.25">
      <c r="A88" s="1">
        <v>0.99150000000000005</v>
      </c>
      <c r="B88" s="9" t="s">
        <v>4926</v>
      </c>
      <c r="C88" s="2">
        <v>3251</v>
      </c>
      <c r="D88" s="3" t="s">
        <v>275</v>
      </c>
      <c r="E88" s="9" t="s">
        <v>4927</v>
      </c>
      <c r="F88" s="9" t="s">
        <v>4928</v>
      </c>
      <c r="G88" s="1">
        <v>1389.6847</v>
      </c>
      <c r="H88" s="2">
        <v>1304</v>
      </c>
      <c r="I88" s="2">
        <v>3</v>
      </c>
      <c r="J88" s="1">
        <v>1389.6094000000001</v>
      </c>
      <c r="K88" s="1">
        <v>464.2355</v>
      </c>
      <c r="L88" s="9" t="s">
        <v>4929</v>
      </c>
      <c r="M88" s="2">
        <v>4</v>
      </c>
      <c r="N88" s="4">
        <v>4485.47</v>
      </c>
      <c r="O88" s="1">
        <v>-54.067386057292047</v>
      </c>
      <c r="P88" s="6">
        <v>35.5</v>
      </c>
      <c r="Q88" s="6">
        <v>29.6</v>
      </c>
      <c r="R88" s="6">
        <v>11.1</v>
      </c>
      <c r="S88" s="6">
        <v>9.9</v>
      </c>
      <c r="T88" s="5">
        <v>6.1000000000000004E-3</v>
      </c>
      <c r="U88" s="1">
        <v>-7.5300000000000006E-2</v>
      </c>
      <c r="V88" s="1">
        <v>4.1036999999999999</v>
      </c>
    </row>
    <row r="89" spans="1:22" x14ac:dyDescent="0.25">
      <c r="A89" s="1">
        <v>0.99829999999999997</v>
      </c>
      <c r="B89" s="9" t="s">
        <v>4930</v>
      </c>
      <c r="C89" s="2">
        <v>3285</v>
      </c>
      <c r="D89" s="3" t="s">
        <v>396</v>
      </c>
      <c r="E89" s="9" t="s">
        <v>155</v>
      </c>
      <c r="F89" s="9" t="s">
        <v>156</v>
      </c>
      <c r="G89" s="1">
        <v>1064.5287000000001</v>
      </c>
      <c r="H89" s="2">
        <v>1001</v>
      </c>
      <c r="I89" s="2">
        <v>2</v>
      </c>
      <c r="J89" s="1">
        <v>1064.4960000000001</v>
      </c>
      <c r="K89" s="1">
        <v>533.27160000000003</v>
      </c>
      <c r="L89" s="9" t="s">
        <v>157</v>
      </c>
      <c r="M89" s="2">
        <v>6.46</v>
      </c>
      <c r="N89" s="4">
        <v>4545.25</v>
      </c>
      <c r="O89" s="1">
        <v>-30.659798871719399</v>
      </c>
      <c r="P89" s="6">
        <v>42.3</v>
      </c>
      <c r="Q89" s="6">
        <v>30.6</v>
      </c>
      <c r="R89" s="6">
        <v>10.9</v>
      </c>
      <c r="S89" s="6">
        <v>11.5</v>
      </c>
      <c r="T89" s="5">
        <v>1.0999999999999999E-2</v>
      </c>
      <c r="U89" s="1">
        <v>-3.27E-2</v>
      </c>
      <c r="V89" s="1">
        <v>4.2804000000000002</v>
      </c>
    </row>
    <row r="90" spans="1:22" x14ac:dyDescent="0.25">
      <c r="A90" s="1">
        <v>0.99970000000000003</v>
      </c>
      <c r="B90" s="9" t="s">
        <v>4931</v>
      </c>
      <c r="C90" s="2">
        <v>3290</v>
      </c>
      <c r="D90" s="3" t="s">
        <v>100</v>
      </c>
      <c r="E90" s="9" t="s">
        <v>793</v>
      </c>
      <c r="F90" s="9" t="s">
        <v>794</v>
      </c>
      <c r="G90" s="1">
        <v>1354.7856999999999</v>
      </c>
      <c r="H90" s="2">
        <v>532</v>
      </c>
      <c r="I90" s="2">
        <v>3</v>
      </c>
      <c r="J90" s="1">
        <v>1354.7260000000001</v>
      </c>
      <c r="K90" s="1">
        <v>452.60250000000002</v>
      </c>
      <c r="L90" s="9" t="s">
        <v>795</v>
      </c>
      <c r="M90" s="2">
        <v>5.51</v>
      </c>
      <c r="N90" s="4">
        <v>4552.55</v>
      </c>
      <c r="O90" s="1">
        <v>-43.967940963649113</v>
      </c>
      <c r="P90" s="6">
        <v>35.1</v>
      </c>
      <c r="Q90" s="6">
        <v>24.8</v>
      </c>
      <c r="R90" s="6">
        <v>10.9</v>
      </c>
      <c r="S90" s="6">
        <v>11.1</v>
      </c>
      <c r="T90" s="5">
        <v>8.6E-3</v>
      </c>
      <c r="U90" s="1">
        <v>-5.9700000000000003E-2</v>
      </c>
      <c r="V90" s="1">
        <v>4.8375000000000004</v>
      </c>
    </row>
    <row r="91" spans="1:22" x14ac:dyDescent="0.25">
      <c r="A91" s="1">
        <v>0.96009999999999995</v>
      </c>
      <c r="B91" s="9" t="s">
        <v>4932</v>
      </c>
      <c r="C91" s="2">
        <v>3298</v>
      </c>
      <c r="D91" s="3" t="s">
        <v>797</v>
      </c>
      <c r="E91" s="9" t="s">
        <v>4933</v>
      </c>
      <c r="F91" s="9" t="s">
        <v>27</v>
      </c>
      <c r="G91" s="1">
        <v>1497.8017</v>
      </c>
      <c r="H91" s="2">
        <v>534</v>
      </c>
      <c r="I91" s="2">
        <v>3</v>
      </c>
      <c r="J91" s="1">
        <v>1497.7338999999999</v>
      </c>
      <c r="K91" s="1">
        <v>500.27449999999999</v>
      </c>
      <c r="L91" s="9" t="s">
        <v>28</v>
      </c>
      <c r="M91" s="2">
        <v>8.6300000000000008</v>
      </c>
      <c r="N91" s="4">
        <v>4567.3</v>
      </c>
      <c r="O91" s="1">
        <v>-45.175198815850095</v>
      </c>
      <c r="P91" s="6">
        <v>27.4</v>
      </c>
      <c r="Q91" s="6">
        <v>21.7</v>
      </c>
      <c r="R91" s="6">
        <v>3.7</v>
      </c>
      <c r="S91" s="6">
        <v>9.1999999999999993</v>
      </c>
      <c r="T91" s="5">
        <v>0.52</v>
      </c>
      <c r="U91" s="1">
        <v>-6.7799999999999999E-2</v>
      </c>
      <c r="V91" s="1">
        <v>1.7786</v>
      </c>
    </row>
    <row r="92" spans="1:22" x14ac:dyDescent="0.25">
      <c r="A92" s="1">
        <v>0.98839999999999995</v>
      </c>
      <c r="B92" s="9" t="s">
        <v>4934</v>
      </c>
      <c r="C92" s="2">
        <v>3314</v>
      </c>
      <c r="D92" s="3" t="s">
        <v>723</v>
      </c>
      <c r="E92" s="9" t="s">
        <v>4935</v>
      </c>
      <c r="F92" s="9" t="s">
        <v>27</v>
      </c>
      <c r="G92" s="1">
        <v>1393.8117</v>
      </c>
      <c r="H92" s="2">
        <v>536</v>
      </c>
      <c r="I92" s="2">
        <v>3</v>
      </c>
      <c r="J92" s="1">
        <v>1393.6881000000001</v>
      </c>
      <c r="K92" s="1">
        <v>465.6112</v>
      </c>
      <c r="L92" s="9" t="s">
        <v>28</v>
      </c>
      <c r="M92" s="2">
        <v>9.6999999999999993</v>
      </c>
      <c r="N92" s="4">
        <v>4596.5600000000004</v>
      </c>
      <c r="O92" s="1">
        <v>-88.48584398313443</v>
      </c>
      <c r="P92" s="6">
        <v>23.4</v>
      </c>
      <c r="Q92" s="6">
        <v>18</v>
      </c>
      <c r="R92" s="6">
        <v>3.1</v>
      </c>
      <c r="S92" s="6">
        <v>9.6</v>
      </c>
      <c r="T92" s="5">
        <v>5.0999999999999997E-2</v>
      </c>
      <c r="U92" s="1">
        <v>-0.1236</v>
      </c>
      <c r="V92" s="1">
        <v>3.3860999999999999</v>
      </c>
    </row>
    <row r="93" spans="1:22" x14ac:dyDescent="0.25">
      <c r="A93" s="1">
        <v>0.99470000000000003</v>
      </c>
      <c r="B93" s="9" t="s">
        <v>4936</v>
      </c>
      <c r="C93" s="2">
        <v>3321</v>
      </c>
      <c r="D93" s="3" t="s">
        <v>149</v>
      </c>
      <c r="E93" s="9" t="s">
        <v>150</v>
      </c>
      <c r="F93" s="9" t="s">
        <v>151</v>
      </c>
      <c r="G93" s="1">
        <v>1282.7646999999999</v>
      </c>
      <c r="H93" s="2">
        <v>801</v>
      </c>
      <c r="I93" s="2">
        <v>3</v>
      </c>
      <c r="J93" s="1">
        <v>1282.7155</v>
      </c>
      <c r="K93" s="1">
        <v>428.59550000000002</v>
      </c>
      <c r="L93" s="9" t="s">
        <v>152</v>
      </c>
      <c r="M93" s="2">
        <v>6.81</v>
      </c>
      <c r="N93" s="4">
        <v>4613.3900000000003</v>
      </c>
      <c r="O93" s="1">
        <v>-38.264517476268416</v>
      </c>
      <c r="P93" s="6">
        <v>37.299999999999997</v>
      </c>
      <c r="Q93" s="6">
        <v>26.6</v>
      </c>
      <c r="R93" s="6">
        <v>11.6</v>
      </c>
      <c r="S93" s="6">
        <v>10</v>
      </c>
      <c r="T93" s="5">
        <v>0.04</v>
      </c>
      <c r="U93" s="1">
        <v>-4.9200000000000001E-2</v>
      </c>
      <c r="V93" s="1">
        <v>3.8708999999999998</v>
      </c>
    </row>
    <row r="94" spans="1:22" x14ac:dyDescent="0.25">
      <c r="A94" s="1">
        <v>1</v>
      </c>
      <c r="B94" s="9" t="s">
        <v>4937</v>
      </c>
      <c r="C94" s="2">
        <v>3334</v>
      </c>
      <c r="D94" s="3" t="s">
        <v>469</v>
      </c>
      <c r="E94" s="9" t="s">
        <v>812</v>
      </c>
      <c r="F94" s="9" t="s">
        <v>216</v>
      </c>
      <c r="G94" s="1">
        <v>1936.9717000000001</v>
      </c>
      <c r="H94" s="2">
        <v>538</v>
      </c>
      <c r="I94" s="2">
        <v>3</v>
      </c>
      <c r="J94" s="1">
        <v>1936.9395999999999</v>
      </c>
      <c r="K94" s="1">
        <v>646.66449999999998</v>
      </c>
      <c r="L94" s="9" t="s">
        <v>91</v>
      </c>
      <c r="M94" s="2">
        <v>6.75</v>
      </c>
      <c r="N94" s="4">
        <v>4633.26</v>
      </c>
      <c r="O94" s="1">
        <v>-16.546447191704509</v>
      </c>
      <c r="P94" s="6">
        <v>45</v>
      </c>
      <c r="Q94" s="6">
        <v>22.7</v>
      </c>
      <c r="R94" s="6">
        <v>7</v>
      </c>
      <c r="S94" s="6">
        <v>11.2</v>
      </c>
      <c r="T94" s="5">
        <v>1.8E-7</v>
      </c>
      <c r="U94" s="1">
        <v>-3.2099999999999997E-2</v>
      </c>
      <c r="V94" s="1">
        <v>10.1371</v>
      </c>
    </row>
    <row r="95" spans="1:22" x14ac:dyDescent="0.25">
      <c r="A95" s="1">
        <v>0.96550000000000002</v>
      </c>
      <c r="B95" s="9" t="s">
        <v>4938</v>
      </c>
      <c r="C95" s="2">
        <v>3337</v>
      </c>
      <c r="D95" s="3" t="s">
        <v>779</v>
      </c>
      <c r="E95" s="9" t="s">
        <v>4939</v>
      </c>
      <c r="F95" s="9" t="s">
        <v>902</v>
      </c>
      <c r="G95" s="1">
        <v>1535.7507000000001</v>
      </c>
      <c r="H95" s="2">
        <v>930</v>
      </c>
      <c r="I95" s="2">
        <v>3</v>
      </c>
      <c r="J95" s="1">
        <v>1535.7041999999999</v>
      </c>
      <c r="K95" s="1">
        <v>512.92420000000004</v>
      </c>
      <c r="L95" s="9" t="s">
        <v>412</v>
      </c>
      <c r="M95" s="2">
        <v>6.17</v>
      </c>
      <c r="N95" s="4">
        <v>4642.79</v>
      </c>
      <c r="O95" s="1">
        <v>-30.218890042622281</v>
      </c>
      <c r="P95" s="6">
        <v>35.4</v>
      </c>
      <c r="Q95" s="6">
        <v>29.2</v>
      </c>
      <c r="R95" s="6">
        <v>9</v>
      </c>
      <c r="S95" s="6">
        <v>11.3</v>
      </c>
      <c r="T95" s="5">
        <v>2.1000000000000001E-2</v>
      </c>
      <c r="U95" s="1">
        <v>-4.65E-2</v>
      </c>
      <c r="V95" s="1">
        <v>3.5857999999999999</v>
      </c>
    </row>
    <row r="96" spans="1:22" x14ac:dyDescent="0.25">
      <c r="A96" s="1">
        <v>0.99990000000000001</v>
      </c>
      <c r="B96" s="9" t="s">
        <v>4940</v>
      </c>
      <c r="C96" s="2">
        <v>3373</v>
      </c>
      <c r="D96" s="3" t="s">
        <v>3001</v>
      </c>
      <c r="E96" s="9" t="s">
        <v>3193</v>
      </c>
      <c r="F96" s="9" t="s">
        <v>3194</v>
      </c>
      <c r="G96" s="1">
        <v>2412.3337000000001</v>
      </c>
      <c r="H96" s="2">
        <v>541</v>
      </c>
      <c r="I96" s="2">
        <v>4</v>
      </c>
      <c r="J96" s="1">
        <v>2412.2583</v>
      </c>
      <c r="K96" s="1">
        <v>604.09069999999997</v>
      </c>
      <c r="L96" s="9" t="s">
        <v>3195</v>
      </c>
      <c r="M96" s="2">
        <v>8.43</v>
      </c>
      <c r="N96" s="4">
        <v>4706.76</v>
      </c>
      <c r="O96" s="1">
        <v>-31.20392351678316</v>
      </c>
      <c r="P96" s="6">
        <v>46</v>
      </c>
      <c r="Q96" s="6">
        <v>27.9</v>
      </c>
      <c r="R96" s="6">
        <v>12.3</v>
      </c>
      <c r="S96" s="6">
        <v>6.3</v>
      </c>
      <c r="T96" s="5">
        <v>7.7999999999999999E-6</v>
      </c>
      <c r="U96" s="1">
        <v>-7.5399999999999995E-2</v>
      </c>
      <c r="V96" s="1">
        <v>7.0503999999999998</v>
      </c>
    </row>
    <row r="97" spans="1:22" x14ac:dyDescent="0.25">
      <c r="A97" s="1">
        <v>0.99370000000000003</v>
      </c>
      <c r="B97" s="9" t="s">
        <v>4941</v>
      </c>
      <c r="C97" s="2">
        <v>3374</v>
      </c>
      <c r="D97" s="3" t="s">
        <v>245</v>
      </c>
      <c r="E97" s="9" t="s">
        <v>815</v>
      </c>
      <c r="F97" s="9" t="s">
        <v>484</v>
      </c>
      <c r="G97" s="1">
        <v>1482.7936999999999</v>
      </c>
      <c r="H97" s="2">
        <v>1004</v>
      </c>
      <c r="I97" s="2">
        <v>3</v>
      </c>
      <c r="J97" s="1">
        <v>1482.7197000000001</v>
      </c>
      <c r="K97" s="1">
        <v>495.27179999999998</v>
      </c>
      <c r="L97" s="9" t="s">
        <v>485</v>
      </c>
      <c r="M97" s="2">
        <v>6.77</v>
      </c>
      <c r="N97" s="4">
        <v>4706.76</v>
      </c>
      <c r="O97" s="1">
        <v>-49.80430274178071</v>
      </c>
      <c r="P97" s="6">
        <v>34.6</v>
      </c>
      <c r="Q97" s="6">
        <v>27.1</v>
      </c>
      <c r="R97" s="6">
        <v>10.9</v>
      </c>
      <c r="S97" s="6">
        <v>10.4</v>
      </c>
      <c r="T97" s="5">
        <v>2.1999999999999999E-2</v>
      </c>
      <c r="U97" s="1">
        <v>-7.3999999999999996E-2</v>
      </c>
      <c r="V97" s="1">
        <v>3.6551</v>
      </c>
    </row>
    <row r="98" spans="1:22" x14ac:dyDescent="0.25">
      <c r="A98" s="1">
        <v>0.99139999999999995</v>
      </c>
      <c r="B98" s="9" t="s">
        <v>4942</v>
      </c>
      <c r="C98" s="2">
        <v>3385</v>
      </c>
      <c r="D98" s="3" t="s">
        <v>4943</v>
      </c>
      <c r="E98" s="9" t="s">
        <v>3203</v>
      </c>
      <c r="F98" s="9" t="s">
        <v>3194</v>
      </c>
      <c r="G98" s="1">
        <v>2541.3766999999998</v>
      </c>
      <c r="H98" s="2">
        <v>544</v>
      </c>
      <c r="I98" s="2">
        <v>4</v>
      </c>
      <c r="J98" s="1">
        <v>2541.2217000000001</v>
      </c>
      <c r="K98" s="1">
        <v>636.35149999999999</v>
      </c>
      <c r="L98" s="9" t="s">
        <v>3195</v>
      </c>
      <c r="M98" s="2">
        <v>6.35</v>
      </c>
      <c r="N98" s="4">
        <v>4728.8100000000004</v>
      </c>
      <c r="O98" s="1">
        <v>-60.894018478780986</v>
      </c>
      <c r="P98" s="6">
        <v>36.200000000000003</v>
      </c>
      <c r="Q98" s="6">
        <v>26.5</v>
      </c>
      <c r="R98" s="6">
        <v>12.2</v>
      </c>
      <c r="S98" s="6">
        <v>6.4</v>
      </c>
      <c r="T98" s="5">
        <v>3.2000000000000002E-3</v>
      </c>
      <c r="U98" s="1">
        <v>-0.155</v>
      </c>
      <c r="V98" s="1">
        <v>3.7921</v>
      </c>
    </row>
    <row r="99" spans="1:22" x14ac:dyDescent="0.25">
      <c r="A99" s="1">
        <v>0.9778</v>
      </c>
      <c r="B99" s="9" t="s">
        <v>4944</v>
      </c>
      <c r="C99" s="2">
        <v>3405</v>
      </c>
      <c r="D99" s="3" t="s">
        <v>154</v>
      </c>
      <c r="E99" s="9" t="s">
        <v>821</v>
      </c>
      <c r="F99" s="9" t="s">
        <v>80</v>
      </c>
      <c r="G99" s="1">
        <v>1123.5947000000001</v>
      </c>
      <c r="H99" s="2">
        <v>878</v>
      </c>
      <c r="I99" s="2">
        <v>2</v>
      </c>
      <c r="J99" s="1">
        <v>1123.5600999999999</v>
      </c>
      <c r="K99" s="1">
        <v>562.80460000000005</v>
      </c>
      <c r="L99" s="9" t="s">
        <v>81</v>
      </c>
      <c r="M99" s="2">
        <v>8.56</v>
      </c>
      <c r="N99" s="4">
        <v>4767.8</v>
      </c>
      <c r="O99" s="1">
        <v>-30.7389100941961</v>
      </c>
      <c r="P99" s="6">
        <v>35.6</v>
      </c>
      <c r="Q99" s="6">
        <v>27.9</v>
      </c>
      <c r="R99" s="6">
        <v>10.5</v>
      </c>
      <c r="S99" s="6">
        <v>10.5</v>
      </c>
      <c r="T99" s="5">
        <v>5.6000000000000001E-2</v>
      </c>
      <c r="U99" s="1">
        <v>-3.4599999999999999E-2</v>
      </c>
      <c r="V99" s="1">
        <v>3.0908000000000002</v>
      </c>
    </row>
    <row r="100" spans="1:22" x14ac:dyDescent="0.25">
      <c r="A100" s="1">
        <v>0.99909999999999999</v>
      </c>
      <c r="B100" s="9" t="s">
        <v>4945</v>
      </c>
      <c r="C100" s="2">
        <v>3427</v>
      </c>
      <c r="D100" s="3" t="s">
        <v>2518</v>
      </c>
      <c r="E100" s="9" t="s">
        <v>194</v>
      </c>
      <c r="F100" s="9" t="s">
        <v>1262</v>
      </c>
      <c r="G100" s="1">
        <v>1531.8647000000001</v>
      </c>
      <c r="H100" s="2">
        <v>1007</v>
      </c>
      <c r="I100" s="2">
        <v>2</v>
      </c>
      <c r="J100" s="1">
        <v>1531.8279</v>
      </c>
      <c r="K100" s="1">
        <v>766.93960000000004</v>
      </c>
      <c r="L100" s="9" t="s">
        <v>1263</v>
      </c>
      <c r="M100" s="2">
        <v>10</v>
      </c>
      <c r="N100" s="4">
        <v>4802.2700000000004</v>
      </c>
      <c r="O100" s="1">
        <v>-23.991459040581553</v>
      </c>
      <c r="P100" s="6">
        <v>65.400000000000006</v>
      </c>
      <c r="Q100" s="6">
        <v>45.4</v>
      </c>
      <c r="R100" s="6">
        <v>11.5</v>
      </c>
      <c r="S100" s="6">
        <v>11.6</v>
      </c>
      <c r="T100" s="5">
        <v>2.5000000000000002E-6</v>
      </c>
      <c r="U100" s="1">
        <v>-3.6799999999999999E-2</v>
      </c>
      <c r="V100" s="1">
        <v>7.2236000000000002</v>
      </c>
    </row>
    <row r="101" spans="1:22" x14ac:dyDescent="0.25">
      <c r="A101" s="1">
        <v>0.96279999999999999</v>
      </c>
      <c r="B101" s="9" t="s">
        <v>4946</v>
      </c>
      <c r="C101" s="2">
        <v>3450</v>
      </c>
      <c r="D101" s="3" t="s">
        <v>702</v>
      </c>
      <c r="E101" s="9" t="s">
        <v>823</v>
      </c>
      <c r="F101" s="9" t="s">
        <v>508</v>
      </c>
      <c r="G101" s="1">
        <v>1386.6857</v>
      </c>
      <c r="H101" s="2">
        <v>546</v>
      </c>
      <c r="I101" s="2">
        <v>2</v>
      </c>
      <c r="J101" s="1">
        <v>1386.6505</v>
      </c>
      <c r="K101" s="1">
        <v>694.3501</v>
      </c>
      <c r="L101" s="9" t="s">
        <v>509</v>
      </c>
      <c r="M101" s="2">
        <v>6.14</v>
      </c>
      <c r="N101" s="4">
        <v>4846.42</v>
      </c>
      <c r="O101" s="1">
        <v>-25.347443602298036</v>
      </c>
      <c r="P101" s="6">
        <v>36.700000000000003</v>
      </c>
      <c r="Q101" s="6">
        <v>28</v>
      </c>
      <c r="R101" s="6">
        <v>12.9</v>
      </c>
      <c r="S101" s="6">
        <v>12.2</v>
      </c>
      <c r="T101" s="5">
        <v>5.0999999999999997E-2</v>
      </c>
      <c r="U101" s="1">
        <v>-3.5200000000000002E-2</v>
      </c>
      <c r="V101" s="1">
        <v>2.9792000000000001</v>
      </c>
    </row>
    <row r="102" spans="1:22" x14ac:dyDescent="0.25">
      <c r="A102" s="1">
        <v>0.99890000000000001</v>
      </c>
      <c r="B102" s="9" t="s">
        <v>4947</v>
      </c>
      <c r="C102" s="2">
        <v>3466</v>
      </c>
      <c r="D102" s="3" t="s">
        <v>220</v>
      </c>
      <c r="E102" s="9" t="s">
        <v>4201</v>
      </c>
      <c r="F102" s="9" t="s">
        <v>1262</v>
      </c>
      <c r="G102" s="1">
        <v>1316.7737</v>
      </c>
      <c r="H102" s="2">
        <v>1009</v>
      </c>
      <c r="I102" s="2">
        <v>2</v>
      </c>
      <c r="J102" s="1">
        <v>1316.7335</v>
      </c>
      <c r="K102" s="1">
        <v>659.39409999999998</v>
      </c>
      <c r="L102" s="9" t="s">
        <v>1263</v>
      </c>
      <c r="M102" s="2">
        <v>10</v>
      </c>
      <c r="N102" s="4">
        <v>4875.7700000000004</v>
      </c>
      <c r="O102" s="1">
        <v>-30.482529340192762</v>
      </c>
      <c r="P102" s="6">
        <v>58.7</v>
      </c>
      <c r="Q102" s="6">
        <v>40</v>
      </c>
      <c r="R102" s="6">
        <v>11.2</v>
      </c>
      <c r="S102" s="6">
        <v>11.6</v>
      </c>
      <c r="T102" s="5">
        <v>7.2000000000000002E-5</v>
      </c>
      <c r="U102" s="1">
        <v>-4.02E-2</v>
      </c>
      <c r="V102" s="1">
        <v>6.5385</v>
      </c>
    </row>
    <row r="103" spans="1:22" x14ac:dyDescent="0.25">
      <c r="A103" s="1">
        <v>0.98250000000000004</v>
      </c>
      <c r="B103" s="9" t="s">
        <v>4948</v>
      </c>
      <c r="C103" s="2">
        <v>3469</v>
      </c>
      <c r="D103" s="3" t="s">
        <v>154</v>
      </c>
      <c r="E103" s="9" t="s">
        <v>4949</v>
      </c>
      <c r="F103" s="9" t="s">
        <v>267</v>
      </c>
      <c r="G103" s="1">
        <v>1146.5027</v>
      </c>
      <c r="H103" s="2">
        <v>1232</v>
      </c>
      <c r="I103" s="2">
        <v>2</v>
      </c>
      <c r="J103" s="1">
        <v>1146.4802</v>
      </c>
      <c r="K103" s="1">
        <v>574.2586</v>
      </c>
      <c r="L103" s="9" t="s">
        <v>268</v>
      </c>
      <c r="M103" s="2">
        <v>9.76</v>
      </c>
      <c r="N103" s="4">
        <v>4885.3</v>
      </c>
      <c r="O103" s="1">
        <v>-19.59047718223114</v>
      </c>
      <c r="P103" s="6">
        <v>35</v>
      </c>
      <c r="Q103" s="6">
        <v>25.6</v>
      </c>
      <c r="R103" s="6">
        <v>7.5</v>
      </c>
      <c r="S103" s="6">
        <v>10.9</v>
      </c>
      <c r="T103" s="5">
        <v>2.5999999999999999E-2</v>
      </c>
      <c r="U103" s="1">
        <v>-2.2499999999999999E-2</v>
      </c>
      <c r="V103" s="1">
        <v>3.7789000000000001</v>
      </c>
    </row>
    <row r="104" spans="1:22" x14ac:dyDescent="0.25">
      <c r="A104" s="1">
        <v>0.99590000000000001</v>
      </c>
      <c r="B104" s="9" t="s">
        <v>4950</v>
      </c>
      <c r="C104" s="2">
        <v>3486</v>
      </c>
      <c r="D104" s="3" t="s">
        <v>285</v>
      </c>
      <c r="E104" s="9" t="s">
        <v>4951</v>
      </c>
      <c r="F104" s="9" t="s">
        <v>4952</v>
      </c>
      <c r="G104" s="1">
        <v>1560.7127</v>
      </c>
      <c r="H104" s="2">
        <v>134</v>
      </c>
      <c r="I104" s="2">
        <v>2</v>
      </c>
      <c r="J104" s="1">
        <v>1560.6783</v>
      </c>
      <c r="K104" s="1">
        <v>781.36360000000002</v>
      </c>
      <c r="L104" s="9" t="s">
        <v>4953</v>
      </c>
      <c r="M104" s="2">
        <v>4.8499999999999996</v>
      </c>
      <c r="N104" s="4">
        <v>4912.43</v>
      </c>
      <c r="O104" s="1">
        <v>-22.01279916289932</v>
      </c>
      <c r="P104" s="6">
        <v>43.2</v>
      </c>
      <c r="Q104" s="6">
        <v>29.5</v>
      </c>
      <c r="R104" s="6">
        <v>7.9</v>
      </c>
      <c r="S104" s="6">
        <v>8.6999999999999993</v>
      </c>
      <c r="T104" s="5">
        <v>1.6000000000000001E-3</v>
      </c>
      <c r="U104" s="1">
        <v>-3.44E-2</v>
      </c>
      <c r="V104" s="1">
        <v>4.8381999999999996</v>
      </c>
    </row>
    <row r="105" spans="1:22" x14ac:dyDescent="0.25">
      <c r="A105" s="1">
        <v>0.98019999999999996</v>
      </c>
      <c r="B105" s="9" t="s">
        <v>4954</v>
      </c>
      <c r="C105" s="2">
        <v>3501</v>
      </c>
      <c r="D105" s="3" t="s">
        <v>201</v>
      </c>
      <c r="E105" s="9" t="s">
        <v>846</v>
      </c>
      <c r="F105" s="9" t="s">
        <v>117</v>
      </c>
      <c r="G105" s="1">
        <v>1273.7317</v>
      </c>
      <c r="H105" s="2">
        <v>548</v>
      </c>
      <c r="I105" s="2">
        <v>2</v>
      </c>
      <c r="J105" s="1">
        <v>1273.6881000000001</v>
      </c>
      <c r="K105" s="1">
        <v>637.87310000000002</v>
      </c>
      <c r="L105" s="9" t="s">
        <v>118</v>
      </c>
      <c r="M105" s="2">
        <v>8.59</v>
      </c>
      <c r="N105" s="4">
        <v>4941.68</v>
      </c>
      <c r="O105" s="1">
        <v>-34.176076714945339</v>
      </c>
      <c r="P105" s="6">
        <v>43.4</v>
      </c>
      <c r="Q105" s="6">
        <v>31.9</v>
      </c>
      <c r="R105" s="6">
        <v>8.4</v>
      </c>
      <c r="S105" s="6">
        <v>9.3000000000000007</v>
      </c>
      <c r="T105" s="5">
        <v>6.0999999999999999E-2</v>
      </c>
      <c r="U105" s="1">
        <v>-4.36E-2</v>
      </c>
      <c r="V105" s="1">
        <v>3.1558000000000002</v>
      </c>
    </row>
    <row r="106" spans="1:22" x14ac:dyDescent="0.25">
      <c r="A106" s="1">
        <v>0.99980000000000002</v>
      </c>
      <c r="B106" s="9" t="s">
        <v>4955</v>
      </c>
      <c r="C106" s="2">
        <v>3505</v>
      </c>
      <c r="D106" s="3" t="s">
        <v>349</v>
      </c>
      <c r="E106" s="9" t="s">
        <v>207</v>
      </c>
      <c r="F106" s="9" t="s">
        <v>97</v>
      </c>
      <c r="G106" s="1">
        <v>1882.9607000000001</v>
      </c>
      <c r="H106" s="2">
        <v>550</v>
      </c>
      <c r="I106" s="2">
        <v>3</v>
      </c>
      <c r="J106" s="1">
        <v>1882.91</v>
      </c>
      <c r="K106" s="1">
        <v>628.66079999999999</v>
      </c>
      <c r="L106" s="9" t="s">
        <v>98</v>
      </c>
      <c r="M106" s="2">
        <v>6.77</v>
      </c>
      <c r="N106" s="4">
        <v>4949.03</v>
      </c>
      <c r="O106" s="1">
        <v>-26.882541427746094</v>
      </c>
      <c r="P106" s="6">
        <v>36.200000000000003</v>
      </c>
      <c r="Q106" s="6">
        <v>21.2</v>
      </c>
      <c r="R106" s="6">
        <v>11.7</v>
      </c>
      <c r="S106" s="6">
        <v>7.5</v>
      </c>
      <c r="T106" s="5">
        <v>4.5000000000000003E-5</v>
      </c>
      <c r="U106" s="1">
        <v>-5.0700000000000002E-2</v>
      </c>
      <c r="V106" s="1">
        <v>7.5083000000000002</v>
      </c>
    </row>
    <row r="107" spans="1:22" x14ac:dyDescent="0.25">
      <c r="A107" s="1">
        <v>0.99939999999999996</v>
      </c>
      <c r="B107" s="9" t="s">
        <v>4956</v>
      </c>
      <c r="C107" s="2">
        <v>3525</v>
      </c>
      <c r="D107" s="3" t="s">
        <v>255</v>
      </c>
      <c r="E107" s="9" t="s">
        <v>218</v>
      </c>
      <c r="F107" s="9" t="s">
        <v>156</v>
      </c>
      <c r="G107" s="1">
        <v>1698.0117</v>
      </c>
      <c r="H107" s="2">
        <v>552</v>
      </c>
      <c r="I107" s="2">
        <v>3</v>
      </c>
      <c r="J107" s="1">
        <v>1697.9576</v>
      </c>
      <c r="K107" s="1">
        <v>567.01120000000003</v>
      </c>
      <c r="L107" s="9" t="s">
        <v>157</v>
      </c>
      <c r="M107" s="2">
        <v>9.6999999999999993</v>
      </c>
      <c r="N107" s="4">
        <v>4985.83</v>
      </c>
      <c r="O107" s="1">
        <v>-31.804192462747356</v>
      </c>
      <c r="P107" s="6">
        <v>38.4</v>
      </c>
      <c r="Q107" s="6">
        <v>26.4</v>
      </c>
      <c r="R107" s="6">
        <v>11</v>
      </c>
      <c r="S107" s="6">
        <v>12.6</v>
      </c>
      <c r="T107" s="5">
        <v>6.8000000000000005E-4</v>
      </c>
      <c r="U107" s="1">
        <v>-5.4100000000000002E-2</v>
      </c>
      <c r="V107" s="1">
        <v>5.58</v>
      </c>
    </row>
    <row r="108" spans="1:22" x14ac:dyDescent="0.25">
      <c r="A108" s="1">
        <v>0.98929999999999996</v>
      </c>
      <c r="B108" s="9" t="s">
        <v>4957</v>
      </c>
      <c r="C108" s="2">
        <v>3537</v>
      </c>
      <c r="D108" s="3" t="s">
        <v>201</v>
      </c>
      <c r="E108" s="9" t="s">
        <v>846</v>
      </c>
      <c r="F108" s="9" t="s">
        <v>117</v>
      </c>
      <c r="G108" s="1">
        <v>1273.7317</v>
      </c>
      <c r="H108" s="2">
        <v>554</v>
      </c>
      <c r="I108" s="2">
        <v>2</v>
      </c>
      <c r="J108" s="1">
        <v>1273.6858</v>
      </c>
      <c r="K108" s="1">
        <v>637.87310000000002</v>
      </c>
      <c r="L108" s="9" t="s">
        <v>118</v>
      </c>
      <c r="M108" s="2">
        <v>8.59</v>
      </c>
      <c r="N108" s="4">
        <v>5007.93</v>
      </c>
      <c r="O108" s="1">
        <v>-35.978943147155761</v>
      </c>
      <c r="P108" s="6">
        <v>43.2</v>
      </c>
      <c r="Q108" s="6">
        <v>29.1</v>
      </c>
      <c r="R108" s="6">
        <v>8.1999999999999993</v>
      </c>
      <c r="S108" s="6">
        <v>9.3000000000000007</v>
      </c>
      <c r="T108" s="5">
        <v>4.3999999999999997E-2</v>
      </c>
      <c r="U108" s="1">
        <v>-4.5900000000000003E-2</v>
      </c>
      <c r="V108" s="1">
        <v>3.6318000000000001</v>
      </c>
    </row>
    <row r="109" spans="1:22" x14ac:dyDescent="0.25">
      <c r="A109" s="1">
        <v>0.99709999999999999</v>
      </c>
      <c r="B109" s="9" t="s">
        <v>4958</v>
      </c>
      <c r="C109" s="2">
        <v>3542</v>
      </c>
      <c r="D109" s="3" t="s">
        <v>214</v>
      </c>
      <c r="E109" s="9" t="s">
        <v>843</v>
      </c>
      <c r="F109" s="9" t="s">
        <v>844</v>
      </c>
      <c r="G109" s="1">
        <v>1325.6727000000001</v>
      </c>
      <c r="H109" s="2">
        <v>135</v>
      </c>
      <c r="I109" s="2">
        <v>2</v>
      </c>
      <c r="J109" s="1">
        <v>1325.6377</v>
      </c>
      <c r="K109" s="1">
        <v>663.84360000000004</v>
      </c>
      <c r="L109" s="9" t="s">
        <v>745</v>
      </c>
      <c r="M109" s="2">
        <v>8.59</v>
      </c>
      <c r="N109" s="4">
        <v>5015.2299999999996</v>
      </c>
      <c r="O109" s="1">
        <v>-26.361630962473694</v>
      </c>
      <c r="P109" s="6">
        <v>50.4</v>
      </c>
      <c r="Q109" s="6">
        <v>33</v>
      </c>
      <c r="R109" s="6">
        <v>8.1</v>
      </c>
      <c r="S109" s="6">
        <v>8.9</v>
      </c>
      <c r="T109" s="5">
        <v>4.1999999999999997E-3</v>
      </c>
      <c r="U109" s="1">
        <v>-3.5000000000000003E-2</v>
      </c>
      <c r="V109" s="1">
        <v>4.7055999999999996</v>
      </c>
    </row>
    <row r="110" spans="1:22" x14ac:dyDescent="0.25">
      <c r="A110" s="1">
        <v>0.99250000000000005</v>
      </c>
      <c r="B110" s="9" t="s">
        <v>4959</v>
      </c>
      <c r="C110" s="2">
        <v>3554</v>
      </c>
      <c r="D110" s="3" t="s">
        <v>621</v>
      </c>
      <c r="E110" s="9" t="s">
        <v>848</v>
      </c>
      <c r="F110" s="9" t="s">
        <v>112</v>
      </c>
      <c r="G110" s="1">
        <v>1253.7417</v>
      </c>
      <c r="H110" s="2">
        <v>1233</v>
      </c>
      <c r="I110" s="2">
        <v>2</v>
      </c>
      <c r="J110" s="1">
        <v>1253.6764000000001</v>
      </c>
      <c r="K110" s="1">
        <v>627.87810000000002</v>
      </c>
      <c r="L110" s="9" t="s">
        <v>113</v>
      </c>
      <c r="M110" s="2">
        <v>8.59</v>
      </c>
      <c r="N110" s="4">
        <v>5041.5200000000004</v>
      </c>
      <c r="O110" s="1">
        <v>-52.000539595185749</v>
      </c>
      <c r="P110" s="6">
        <v>35.6</v>
      </c>
      <c r="Q110" s="6">
        <v>28.8</v>
      </c>
      <c r="R110" s="6">
        <v>11.7</v>
      </c>
      <c r="S110" s="6">
        <v>11.3</v>
      </c>
      <c r="T110" s="5">
        <v>5.1999999999999998E-2</v>
      </c>
      <c r="U110" s="1">
        <v>-6.5299999999999997E-2</v>
      </c>
      <c r="V110" s="1">
        <v>2.8622999999999998</v>
      </c>
    </row>
    <row r="111" spans="1:22" x14ac:dyDescent="0.25">
      <c r="A111" s="1">
        <v>0.99850000000000005</v>
      </c>
      <c r="B111" s="9" t="s">
        <v>4960</v>
      </c>
      <c r="C111" s="2">
        <v>3555</v>
      </c>
      <c r="D111" s="3" t="s">
        <v>250</v>
      </c>
      <c r="E111" s="9" t="s">
        <v>225</v>
      </c>
      <c r="F111" s="9" t="s">
        <v>80</v>
      </c>
      <c r="G111" s="1">
        <v>1119.5717</v>
      </c>
      <c r="H111" s="2">
        <v>30</v>
      </c>
      <c r="I111" s="2">
        <v>2</v>
      </c>
      <c r="J111" s="1">
        <v>1119.5288</v>
      </c>
      <c r="K111" s="1">
        <v>560.79309999999998</v>
      </c>
      <c r="L111" s="9" t="s">
        <v>81</v>
      </c>
      <c r="M111" s="2">
        <v>6.4</v>
      </c>
      <c r="N111" s="4">
        <v>5037.24</v>
      </c>
      <c r="O111" s="1">
        <v>-38.249400714809084</v>
      </c>
      <c r="P111" s="6">
        <v>27.1</v>
      </c>
      <c r="Q111" s="6">
        <v>16.600000000000001</v>
      </c>
      <c r="R111" s="6">
        <v>8.8000000000000007</v>
      </c>
      <c r="S111" s="6">
        <v>9.1</v>
      </c>
      <c r="T111" s="5">
        <v>2.5999999999999999E-3</v>
      </c>
      <c r="U111" s="1">
        <v>-4.2900000000000001E-2</v>
      </c>
      <c r="V111" s="1">
        <v>5.641</v>
      </c>
    </row>
    <row r="112" spans="1:22" x14ac:dyDescent="0.25">
      <c r="A112" s="1">
        <v>0.99980000000000002</v>
      </c>
      <c r="B112" s="9" t="s">
        <v>4961</v>
      </c>
      <c r="C112" s="2">
        <v>3557</v>
      </c>
      <c r="D112" s="3" t="s">
        <v>3192</v>
      </c>
      <c r="E112" s="9" t="s">
        <v>210</v>
      </c>
      <c r="F112" s="9" t="s">
        <v>211</v>
      </c>
      <c r="G112" s="1">
        <v>2500.3687</v>
      </c>
      <c r="H112" s="2">
        <v>555</v>
      </c>
      <c r="I112" s="2">
        <v>4</v>
      </c>
      <c r="J112" s="1">
        <v>2500.3220000000001</v>
      </c>
      <c r="K112" s="1">
        <v>626.09950000000003</v>
      </c>
      <c r="L112" s="9" t="s">
        <v>212</v>
      </c>
      <c r="M112" s="2">
        <v>8.19</v>
      </c>
      <c r="N112" s="4">
        <v>5044.67</v>
      </c>
      <c r="O112" s="1">
        <v>-18.647195853055305</v>
      </c>
      <c r="P112" s="6">
        <v>47.2</v>
      </c>
      <c r="Q112" s="6">
        <v>27.4</v>
      </c>
      <c r="R112" s="6">
        <v>11.3</v>
      </c>
      <c r="S112" s="6">
        <v>10.9</v>
      </c>
      <c r="T112" s="5">
        <v>5.1999999999999997E-5</v>
      </c>
      <c r="U112" s="1">
        <v>-4.6699999999999998E-2</v>
      </c>
      <c r="V112" s="1">
        <v>6.3358999999999996</v>
      </c>
    </row>
    <row r="113" spans="1:22" x14ac:dyDescent="0.25">
      <c r="A113" s="1">
        <v>0.99550000000000005</v>
      </c>
      <c r="B113" s="9" t="s">
        <v>4962</v>
      </c>
      <c r="C113" s="2">
        <v>3561</v>
      </c>
      <c r="D113" s="3" t="s">
        <v>2708</v>
      </c>
      <c r="E113" s="9" t="s">
        <v>228</v>
      </c>
      <c r="F113" s="9" t="s">
        <v>4963</v>
      </c>
      <c r="G113" s="1">
        <v>1064.4537</v>
      </c>
      <c r="H113" s="2">
        <v>556</v>
      </c>
      <c r="I113" s="2">
        <v>2</v>
      </c>
      <c r="J113" s="1">
        <v>1064.4235000000001</v>
      </c>
      <c r="K113" s="1">
        <v>533.23410000000001</v>
      </c>
      <c r="L113" s="9" t="s">
        <v>152</v>
      </c>
      <c r="M113" s="2">
        <v>6.73</v>
      </c>
      <c r="N113" s="4">
        <v>5052.04</v>
      </c>
      <c r="O113" s="1">
        <v>-28.317768874871284</v>
      </c>
      <c r="P113" s="6">
        <v>27.5</v>
      </c>
      <c r="Q113" s="6">
        <v>21.1</v>
      </c>
      <c r="R113" s="6">
        <v>7.7</v>
      </c>
      <c r="S113" s="6">
        <v>11.3</v>
      </c>
      <c r="T113" s="5">
        <v>8.8999999999999999E-3</v>
      </c>
      <c r="U113" s="1">
        <v>-3.0200000000000001E-2</v>
      </c>
      <c r="V113" s="1">
        <v>4.3875000000000002</v>
      </c>
    </row>
    <row r="114" spans="1:22" x14ac:dyDescent="0.25">
      <c r="A114" s="1">
        <v>0.99890000000000001</v>
      </c>
      <c r="B114" s="9" t="s">
        <v>4964</v>
      </c>
      <c r="C114" s="2">
        <v>3591</v>
      </c>
      <c r="D114" s="3" t="s">
        <v>2657</v>
      </c>
      <c r="E114" s="9" t="s">
        <v>4965</v>
      </c>
      <c r="F114" s="9" t="s">
        <v>247</v>
      </c>
      <c r="G114" s="1">
        <v>1598.7437</v>
      </c>
      <c r="H114" s="2">
        <v>1020</v>
      </c>
      <c r="I114" s="2">
        <v>2</v>
      </c>
      <c r="J114" s="1">
        <v>1598.7109</v>
      </c>
      <c r="K114" s="1">
        <v>800.37909999999999</v>
      </c>
      <c r="L114" s="9" t="s">
        <v>248</v>
      </c>
      <c r="M114" s="2">
        <v>4.8899999999999997</v>
      </c>
      <c r="N114" s="4">
        <v>5103.4399999999996</v>
      </c>
      <c r="O114" s="1">
        <v>-20.490290163748654</v>
      </c>
      <c r="P114" s="6">
        <v>61</v>
      </c>
      <c r="Q114" s="6">
        <v>31.7</v>
      </c>
      <c r="R114" s="6">
        <v>11</v>
      </c>
      <c r="S114" s="6">
        <v>10.8</v>
      </c>
      <c r="T114" s="5">
        <v>1.9999999999999999E-7</v>
      </c>
      <c r="U114" s="1">
        <v>-3.2800000000000003E-2</v>
      </c>
      <c r="V114" s="1">
        <v>9.3765000000000001</v>
      </c>
    </row>
    <row r="115" spans="1:22" x14ac:dyDescent="0.25">
      <c r="A115" s="1">
        <v>0.99539999999999995</v>
      </c>
      <c r="B115" s="9" t="s">
        <v>4966</v>
      </c>
      <c r="C115" s="2">
        <v>3597</v>
      </c>
      <c r="D115" s="3" t="s">
        <v>227</v>
      </c>
      <c r="E115" s="9" t="s">
        <v>228</v>
      </c>
      <c r="F115" s="9" t="s">
        <v>229</v>
      </c>
      <c r="G115" s="1">
        <v>1064.4537</v>
      </c>
      <c r="H115" s="2">
        <v>346</v>
      </c>
      <c r="I115" s="2">
        <v>2</v>
      </c>
      <c r="J115" s="1">
        <v>1064.4201</v>
      </c>
      <c r="K115" s="1">
        <v>533.23410000000001</v>
      </c>
      <c r="L115" s="9" t="s">
        <v>123</v>
      </c>
      <c r="M115" s="2">
        <v>6.73</v>
      </c>
      <c r="N115" s="4">
        <v>5118.04</v>
      </c>
      <c r="O115" s="1">
        <v>-31.505862059459439</v>
      </c>
      <c r="P115" s="6">
        <v>22.2</v>
      </c>
      <c r="Q115" s="6">
        <v>16.3</v>
      </c>
      <c r="R115" s="6">
        <v>6.7</v>
      </c>
      <c r="S115" s="6">
        <v>9.1</v>
      </c>
      <c r="T115" s="5">
        <v>1.2E-2</v>
      </c>
      <c r="U115" s="1">
        <v>-3.3599999999999998E-2</v>
      </c>
      <c r="V115" s="1">
        <v>4.4053000000000004</v>
      </c>
    </row>
    <row r="116" spans="1:22" x14ac:dyDescent="0.25">
      <c r="A116" s="1">
        <v>0.95589999999999997</v>
      </c>
      <c r="B116" s="9" t="s">
        <v>4967</v>
      </c>
      <c r="C116" s="2">
        <v>3625</v>
      </c>
      <c r="D116" s="3" t="s">
        <v>168</v>
      </c>
      <c r="E116" s="9" t="s">
        <v>1317</v>
      </c>
      <c r="F116" s="9" t="s">
        <v>391</v>
      </c>
      <c r="G116" s="1">
        <v>2116.0987</v>
      </c>
      <c r="H116" s="2">
        <v>136</v>
      </c>
      <c r="I116" s="2">
        <v>3</v>
      </c>
      <c r="J116" s="1">
        <v>2116.0470999999998</v>
      </c>
      <c r="K116" s="1">
        <v>706.37350000000004</v>
      </c>
      <c r="L116" s="9" t="s">
        <v>364</v>
      </c>
      <c r="M116" s="2">
        <v>8.59</v>
      </c>
      <c r="N116" s="4">
        <v>5169.5200000000004</v>
      </c>
      <c r="O116" s="1">
        <v>-24.349724331391254</v>
      </c>
      <c r="P116" s="6">
        <v>37.799999999999997</v>
      </c>
      <c r="Q116" s="6">
        <v>28.5</v>
      </c>
      <c r="R116" s="6">
        <v>8.8000000000000007</v>
      </c>
      <c r="S116" s="6">
        <v>11.6</v>
      </c>
      <c r="T116" s="5">
        <v>4.2999999999999997E-2</v>
      </c>
      <c r="U116" s="1">
        <v>-5.16E-2</v>
      </c>
      <c r="V116" s="1">
        <v>2.8431000000000002</v>
      </c>
    </row>
    <row r="117" spans="1:22" x14ac:dyDescent="0.25">
      <c r="A117" s="1">
        <v>0.99050000000000005</v>
      </c>
      <c r="B117" s="9" t="s">
        <v>4968</v>
      </c>
      <c r="C117" s="2">
        <v>3637</v>
      </c>
      <c r="D117" s="3" t="s">
        <v>4969</v>
      </c>
      <c r="E117" s="9" t="s">
        <v>4970</v>
      </c>
      <c r="F117" s="9" t="s">
        <v>1122</v>
      </c>
      <c r="G117" s="1">
        <v>2019.0456999999999</v>
      </c>
      <c r="H117" s="2">
        <v>560</v>
      </c>
      <c r="I117" s="2">
        <v>3</v>
      </c>
      <c r="J117" s="1">
        <v>2019.0054</v>
      </c>
      <c r="K117" s="1">
        <v>674.02250000000004</v>
      </c>
      <c r="L117" s="9" t="s">
        <v>456</v>
      </c>
      <c r="M117" s="2">
        <v>8.59</v>
      </c>
      <c r="N117" s="4">
        <v>5191.49</v>
      </c>
      <c r="O117" s="1">
        <v>-19.930096299950424</v>
      </c>
      <c r="P117" s="6">
        <v>32.5</v>
      </c>
      <c r="Q117" s="6">
        <v>23.6</v>
      </c>
      <c r="R117" s="6">
        <v>9.3000000000000007</v>
      </c>
      <c r="S117" s="6">
        <v>7.1</v>
      </c>
      <c r="T117" s="5">
        <v>8.3999999999999995E-3</v>
      </c>
      <c r="U117" s="1">
        <v>-4.0300000000000002E-2</v>
      </c>
      <c r="V117" s="1">
        <v>3.8468</v>
      </c>
    </row>
    <row r="118" spans="1:22" x14ac:dyDescent="0.25">
      <c r="A118" s="1">
        <v>0.99319999999999997</v>
      </c>
      <c r="B118" s="9" t="s">
        <v>4971</v>
      </c>
      <c r="C118" s="2">
        <v>3655</v>
      </c>
      <c r="D118" s="3" t="s">
        <v>326</v>
      </c>
      <c r="E118" s="9" t="s">
        <v>4572</v>
      </c>
      <c r="F118" s="9" t="s">
        <v>647</v>
      </c>
      <c r="G118" s="1">
        <v>1132.5617</v>
      </c>
      <c r="H118" s="2">
        <v>942</v>
      </c>
      <c r="I118" s="2">
        <v>2</v>
      </c>
      <c r="J118" s="1">
        <v>1132.5286000000001</v>
      </c>
      <c r="K118" s="1">
        <v>567.28809999999999</v>
      </c>
      <c r="L118" s="9" t="s">
        <v>118</v>
      </c>
      <c r="M118" s="2">
        <v>6.21</v>
      </c>
      <c r="N118" s="4">
        <v>5227.13</v>
      </c>
      <c r="O118" s="1">
        <v>-29.173888893491682</v>
      </c>
      <c r="P118" s="6">
        <v>42.5</v>
      </c>
      <c r="Q118" s="6">
        <v>29.9</v>
      </c>
      <c r="R118" s="6">
        <v>11.7</v>
      </c>
      <c r="S118" s="6">
        <v>11.2</v>
      </c>
      <c r="T118" s="5">
        <v>1.2999999999999999E-2</v>
      </c>
      <c r="U118" s="1">
        <v>-3.3099999999999997E-2</v>
      </c>
      <c r="V118" s="1">
        <v>4.0972999999999997</v>
      </c>
    </row>
    <row r="119" spans="1:22" x14ac:dyDescent="0.25">
      <c r="A119" s="1">
        <v>0.98909999999999998</v>
      </c>
      <c r="B119" s="9" t="s">
        <v>4972</v>
      </c>
      <c r="C119" s="2">
        <v>3658</v>
      </c>
      <c r="D119" s="3" t="s">
        <v>396</v>
      </c>
      <c r="E119" s="9" t="s">
        <v>4973</v>
      </c>
      <c r="F119" s="9" t="s">
        <v>358</v>
      </c>
      <c r="G119" s="1">
        <v>1238.6147000000001</v>
      </c>
      <c r="H119" s="2">
        <v>137</v>
      </c>
      <c r="I119" s="2">
        <v>2</v>
      </c>
      <c r="J119" s="1">
        <v>1238.5938000000001</v>
      </c>
      <c r="K119" s="1">
        <v>620.31460000000004</v>
      </c>
      <c r="L119" s="9" t="s">
        <v>359</v>
      </c>
      <c r="M119" s="2">
        <v>8.5</v>
      </c>
      <c r="N119" s="4">
        <v>5228.1499999999996</v>
      </c>
      <c r="O119" s="1">
        <v>-16.846290575782028</v>
      </c>
      <c r="P119" s="6">
        <v>42.7</v>
      </c>
      <c r="Q119" s="6">
        <v>33.200000000000003</v>
      </c>
      <c r="R119" s="6">
        <v>10</v>
      </c>
      <c r="S119" s="6">
        <v>11.6</v>
      </c>
      <c r="T119" s="5">
        <v>2.5999999999999999E-2</v>
      </c>
      <c r="U119" s="1">
        <v>-2.0899999999999998E-2</v>
      </c>
      <c r="V119" s="1">
        <v>3.5331000000000001</v>
      </c>
    </row>
    <row r="120" spans="1:22" x14ac:dyDescent="0.25">
      <c r="A120" s="1">
        <v>0.97199999999999998</v>
      </c>
      <c r="B120" s="9" t="s">
        <v>4974</v>
      </c>
      <c r="C120" s="2">
        <v>3661</v>
      </c>
      <c r="D120" s="3" t="s">
        <v>697</v>
      </c>
      <c r="E120" s="9" t="s">
        <v>4975</v>
      </c>
      <c r="F120" s="9" t="s">
        <v>4976</v>
      </c>
      <c r="G120" s="1">
        <v>1495.9567</v>
      </c>
      <c r="H120" s="2">
        <v>138</v>
      </c>
      <c r="I120" s="2">
        <v>3</v>
      </c>
      <c r="J120" s="1">
        <v>1495.7366</v>
      </c>
      <c r="K120" s="1">
        <v>499.65949999999998</v>
      </c>
      <c r="L120" s="9" t="s">
        <v>4977</v>
      </c>
      <c r="M120" s="2">
        <v>12.02</v>
      </c>
      <c r="N120" s="4">
        <v>5235.4399999999996</v>
      </c>
      <c r="O120" s="1">
        <v>-146.83332682890381</v>
      </c>
      <c r="P120" s="6">
        <v>32.6</v>
      </c>
      <c r="Q120" s="6">
        <v>26.6</v>
      </c>
      <c r="R120" s="6">
        <v>10.8</v>
      </c>
      <c r="S120" s="6">
        <v>12.2</v>
      </c>
      <c r="T120" s="5">
        <v>6.3E-2</v>
      </c>
      <c r="U120" s="1">
        <v>-0.22009999999999999</v>
      </c>
      <c r="V120" s="1">
        <v>2.8588</v>
      </c>
    </row>
    <row r="121" spans="1:22" x14ac:dyDescent="0.25">
      <c r="A121" s="1">
        <v>0.97250000000000003</v>
      </c>
      <c r="B121" s="9" t="s">
        <v>4978</v>
      </c>
      <c r="C121" s="2">
        <v>3685</v>
      </c>
      <c r="D121" s="3" t="s">
        <v>4979</v>
      </c>
      <c r="E121" s="9" t="s">
        <v>4980</v>
      </c>
      <c r="F121" s="9" t="s">
        <v>35</v>
      </c>
      <c r="G121" s="1">
        <v>2051.2186999999999</v>
      </c>
      <c r="H121" s="2">
        <v>1027</v>
      </c>
      <c r="I121" s="2">
        <v>4</v>
      </c>
      <c r="J121" s="1">
        <v>2051.1468</v>
      </c>
      <c r="K121" s="1">
        <v>513.81200000000001</v>
      </c>
      <c r="L121" s="9" t="s">
        <v>36</v>
      </c>
      <c r="M121" s="2">
        <v>11.72</v>
      </c>
      <c r="N121" s="4">
        <v>5279.3</v>
      </c>
      <c r="O121" s="1">
        <v>-34.983612683238228</v>
      </c>
      <c r="P121" s="6">
        <v>39.5</v>
      </c>
      <c r="Q121" s="6">
        <v>33</v>
      </c>
      <c r="R121" s="6">
        <v>11.7</v>
      </c>
      <c r="S121" s="6">
        <v>12.4</v>
      </c>
      <c r="T121" s="5">
        <v>7.8E-2</v>
      </c>
      <c r="U121" s="1">
        <v>-7.1900000000000006E-2</v>
      </c>
      <c r="V121" s="1">
        <v>2.2982999999999998</v>
      </c>
    </row>
    <row r="122" spans="1:22" x14ac:dyDescent="0.25">
      <c r="A122" s="1">
        <v>0.99909999999999999</v>
      </c>
      <c r="B122" s="9" t="s">
        <v>4981</v>
      </c>
      <c r="C122" s="2">
        <v>3713</v>
      </c>
      <c r="D122" s="3" t="s">
        <v>4982</v>
      </c>
      <c r="E122" s="9" t="s">
        <v>2658</v>
      </c>
      <c r="F122" s="9" t="s">
        <v>1590</v>
      </c>
      <c r="G122" s="1">
        <v>1561.7956999999999</v>
      </c>
      <c r="H122" s="2">
        <v>568</v>
      </c>
      <c r="I122" s="2">
        <v>2</v>
      </c>
      <c r="J122" s="1">
        <v>1561.7562</v>
      </c>
      <c r="K122" s="1">
        <v>781.90509999999995</v>
      </c>
      <c r="L122" s="9" t="s">
        <v>49</v>
      </c>
      <c r="M122" s="2">
        <v>8.2200000000000006</v>
      </c>
      <c r="N122" s="4">
        <v>5330.56</v>
      </c>
      <c r="O122" s="1">
        <v>-25.258819772373911</v>
      </c>
      <c r="P122" s="6">
        <v>71</v>
      </c>
      <c r="Q122" s="6">
        <v>39.1</v>
      </c>
      <c r="R122" s="6">
        <v>10.199999999999999</v>
      </c>
      <c r="S122" s="6">
        <v>11.8</v>
      </c>
      <c r="T122" s="5">
        <v>1.7000000000000001E-4</v>
      </c>
      <c r="U122" s="1">
        <v>-3.95E-2</v>
      </c>
      <c r="V122" s="1">
        <v>6.2454999999999998</v>
      </c>
    </row>
    <row r="123" spans="1:22" x14ac:dyDescent="0.25">
      <c r="A123" s="1">
        <v>0.99229999999999996</v>
      </c>
      <c r="B123" s="9" t="s">
        <v>4983</v>
      </c>
      <c r="C123" s="2">
        <v>3718</v>
      </c>
      <c r="D123" s="3" t="s">
        <v>1893</v>
      </c>
      <c r="E123" s="9" t="s">
        <v>2109</v>
      </c>
      <c r="F123" s="9" t="s">
        <v>647</v>
      </c>
      <c r="G123" s="1">
        <v>960.52170000000001</v>
      </c>
      <c r="H123" s="2">
        <v>36</v>
      </c>
      <c r="I123" s="2">
        <v>2</v>
      </c>
      <c r="J123" s="1">
        <v>960.48050000000001</v>
      </c>
      <c r="K123" s="1">
        <v>481.2681</v>
      </c>
      <c r="L123" s="9" t="s">
        <v>118</v>
      </c>
      <c r="M123" s="2">
        <v>11</v>
      </c>
      <c r="N123" s="4">
        <v>5337.85</v>
      </c>
      <c r="O123" s="1">
        <v>-42.803584945688279</v>
      </c>
      <c r="P123" s="6">
        <v>26.1</v>
      </c>
      <c r="Q123" s="6">
        <v>20.6</v>
      </c>
      <c r="R123" s="6">
        <v>10.9</v>
      </c>
      <c r="S123" s="6">
        <v>11.3</v>
      </c>
      <c r="T123" s="5">
        <v>2.9000000000000001E-2</v>
      </c>
      <c r="U123" s="1">
        <v>-4.1200000000000001E-2</v>
      </c>
      <c r="V123" s="1">
        <v>3.8153999999999999</v>
      </c>
    </row>
    <row r="124" spans="1:22" x14ac:dyDescent="0.25">
      <c r="A124" s="1">
        <v>0.9909</v>
      </c>
      <c r="B124" s="9" t="s">
        <v>4984</v>
      </c>
      <c r="C124" s="2">
        <v>3726</v>
      </c>
      <c r="D124" s="3" t="s">
        <v>201</v>
      </c>
      <c r="E124" s="9" t="s">
        <v>4985</v>
      </c>
      <c r="F124" s="9" t="s">
        <v>4986</v>
      </c>
      <c r="G124" s="1">
        <v>1154.6557</v>
      </c>
      <c r="H124" s="2">
        <v>1031</v>
      </c>
      <c r="I124" s="2">
        <v>2</v>
      </c>
      <c r="J124" s="1">
        <v>1154.6112000000001</v>
      </c>
      <c r="K124" s="1">
        <v>578.33510000000001</v>
      </c>
      <c r="L124" s="9" t="s">
        <v>4987</v>
      </c>
      <c r="M124" s="2">
        <v>10</v>
      </c>
      <c r="N124" s="4">
        <v>5352.5</v>
      </c>
      <c r="O124" s="1">
        <v>-38.472504954307631</v>
      </c>
      <c r="P124" s="6">
        <v>45.2</v>
      </c>
      <c r="Q124" s="6">
        <v>30.5</v>
      </c>
      <c r="R124" s="6">
        <v>10</v>
      </c>
      <c r="S124" s="6">
        <v>11.3</v>
      </c>
      <c r="T124" s="5">
        <v>2.9000000000000001E-2</v>
      </c>
      <c r="U124" s="1">
        <v>-4.4499999999999998E-2</v>
      </c>
      <c r="V124" s="1">
        <v>3.8369</v>
      </c>
    </row>
    <row r="125" spans="1:22" x14ac:dyDescent="0.25">
      <c r="A125" s="1">
        <v>0.99350000000000005</v>
      </c>
      <c r="B125" s="9" t="s">
        <v>4988</v>
      </c>
      <c r="C125" s="2">
        <v>3730</v>
      </c>
      <c r="D125" s="3" t="s">
        <v>93</v>
      </c>
      <c r="E125" s="9" t="s">
        <v>241</v>
      </c>
      <c r="F125" s="9" t="s">
        <v>242</v>
      </c>
      <c r="G125" s="1">
        <v>1362.6996999999999</v>
      </c>
      <c r="H125" s="2">
        <v>1032</v>
      </c>
      <c r="I125" s="2">
        <v>2</v>
      </c>
      <c r="J125" s="1">
        <v>1362.6708000000001</v>
      </c>
      <c r="K125" s="1">
        <v>682.35709999999995</v>
      </c>
      <c r="L125" s="9" t="s">
        <v>243</v>
      </c>
      <c r="M125" s="2">
        <v>8.2200000000000006</v>
      </c>
      <c r="N125" s="4">
        <v>5359.81</v>
      </c>
      <c r="O125" s="1">
        <v>-21.176595070235219</v>
      </c>
      <c r="P125" s="6">
        <v>46.9</v>
      </c>
      <c r="Q125" s="6">
        <v>33</v>
      </c>
      <c r="R125" s="6">
        <v>8.1</v>
      </c>
      <c r="S125" s="6">
        <v>7.9</v>
      </c>
      <c r="T125" s="5">
        <v>8.2000000000000007E-3</v>
      </c>
      <c r="U125" s="1">
        <v>-2.8899999999999999E-2</v>
      </c>
      <c r="V125" s="1">
        <v>4.1471</v>
      </c>
    </row>
    <row r="126" spans="1:22" x14ac:dyDescent="0.25">
      <c r="A126" s="1">
        <v>0.99780000000000002</v>
      </c>
      <c r="B126" s="9" t="s">
        <v>4989</v>
      </c>
      <c r="C126" s="2">
        <v>3734</v>
      </c>
      <c r="D126" s="3" t="s">
        <v>4781</v>
      </c>
      <c r="E126" s="9" t="s">
        <v>4990</v>
      </c>
      <c r="F126" s="9" t="s">
        <v>4991</v>
      </c>
      <c r="G126" s="1">
        <v>1342.7427</v>
      </c>
      <c r="H126" s="2">
        <v>569</v>
      </c>
      <c r="I126" s="2">
        <v>3</v>
      </c>
      <c r="J126" s="1">
        <v>1342.6947</v>
      </c>
      <c r="K126" s="1">
        <v>448.58819999999997</v>
      </c>
      <c r="L126" s="9" t="s">
        <v>59</v>
      </c>
      <c r="M126" s="2">
        <v>8.6</v>
      </c>
      <c r="N126" s="4">
        <v>5367.11</v>
      </c>
      <c r="O126" s="1">
        <v>-35.667456254979513</v>
      </c>
      <c r="P126" s="6">
        <v>39.200000000000003</v>
      </c>
      <c r="Q126" s="6">
        <v>27.1</v>
      </c>
      <c r="R126" s="6">
        <v>11.9</v>
      </c>
      <c r="S126" s="6">
        <v>10.8</v>
      </c>
      <c r="T126" s="5">
        <v>2.3E-2</v>
      </c>
      <c r="U126" s="1">
        <v>-4.8000000000000001E-2</v>
      </c>
      <c r="V126" s="1">
        <v>4.5380000000000003</v>
      </c>
    </row>
    <row r="127" spans="1:22" x14ac:dyDescent="0.25">
      <c r="A127" s="1">
        <v>0.98109999999999997</v>
      </c>
      <c r="B127" s="9" t="s">
        <v>4992</v>
      </c>
      <c r="C127" s="2">
        <v>3745</v>
      </c>
      <c r="D127" s="3" t="s">
        <v>250</v>
      </c>
      <c r="E127" s="9" t="s">
        <v>251</v>
      </c>
      <c r="F127" s="9" t="s">
        <v>252</v>
      </c>
      <c r="G127" s="1">
        <v>843.46069999999997</v>
      </c>
      <c r="H127" s="2">
        <v>1378</v>
      </c>
      <c r="I127" s="2">
        <v>2</v>
      </c>
      <c r="J127" s="1">
        <v>843.37109999999996</v>
      </c>
      <c r="K127" s="1">
        <v>422.73759999999999</v>
      </c>
      <c r="L127" s="9" t="s">
        <v>253</v>
      </c>
      <c r="M127" s="2">
        <v>6.74</v>
      </c>
      <c r="N127" s="4">
        <v>5389.06</v>
      </c>
      <c r="O127" s="1">
        <v>-105.97590562088634</v>
      </c>
      <c r="P127" s="6">
        <v>31</v>
      </c>
      <c r="Q127" s="6">
        <v>22.6</v>
      </c>
      <c r="R127" s="6">
        <v>12.6</v>
      </c>
      <c r="S127" s="6">
        <v>13.1</v>
      </c>
      <c r="T127" s="5">
        <v>4.1000000000000002E-2</v>
      </c>
      <c r="U127" s="1">
        <v>-8.9599999999999999E-2</v>
      </c>
      <c r="V127" s="1">
        <v>3.5487000000000002</v>
      </c>
    </row>
    <row r="128" spans="1:22" x14ac:dyDescent="0.25">
      <c r="A128" s="1">
        <v>0.97360000000000002</v>
      </c>
      <c r="B128" s="9" t="s">
        <v>4993</v>
      </c>
      <c r="C128" s="2">
        <v>3766</v>
      </c>
      <c r="D128" s="3" t="s">
        <v>697</v>
      </c>
      <c r="E128" s="9" t="s">
        <v>4994</v>
      </c>
      <c r="F128" s="9" t="s">
        <v>4995</v>
      </c>
      <c r="G128" s="1">
        <v>1591.8436999999999</v>
      </c>
      <c r="H128" s="2">
        <v>571</v>
      </c>
      <c r="I128" s="2">
        <v>3</v>
      </c>
      <c r="J128" s="1">
        <v>1591.8107</v>
      </c>
      <c r="K128" s="1">
        <v>531.62180000000001</v>
      </c>
      <c r="L128" s="9" t="s">
        <v>4996</v>
      </c>
      <c r="M128" s="2">
        <v>8.5</v>
      </c>
      <c r="N128" s="4">
        <v>5425.66</v>
      </c>
      <c r="O128" s="1">
        <v>-20.691401293174962</v>
      </c>
      <c r="P128" s="6">
        <v>28.6</v>
      </c>
      <c r="Q128" s="6">
        <v>22.1</v>
      </c>
      <c r="R128" s="6">
        <v>10.3</v>
      </c>
      <c r="S128" s="6">
        <v>12.4</v>
      </c>
      <c r="T128" s="5">
        <v>5.6000000000000001E-2</v>
      </c>
      <c r="U128" s="1">
        <v>-3.3000000000000002E-2</v>
      </c>
      <c r="V128" s="1">
        <v>3.1762999999999999</v>
      </c>
    </row>
    <row r="129" spans="1:22" x14ac:dyDescent="0.25">
      <c r="A129" s="1">
        <v>0.99909999999999999</v>
      </c>
      <c r="B129" s="9" t="s">
        <v>4997</v>
      </c>
      <c r="C129" s="2">
        <v>3774</v>
      </c>
      <c r="D129" s="3" t="s">
        <v>163</v>
      </c>
      <c r="E129" s="9" t="s">
        <v>238</v>
      </c>
      <c r="F129" s="9" t="s">
        <v>239</v>
      </c>
      <c r="G129" s="1">
        <v>1803.0146999999999</v>
      </c>
      <c r="H129" s="2">
        <v>572</v>
      </c>
      <c r="I129" s="2">
        <v>3</v>
      </c>
      <c r="J129" s="1">
        <v>1802.9709</v>
      </c>
      <c r="K129" s="1">
        <v>602.01220000000001</v>
      </c>
      <c r="L129" s="9" t="s">
        <v>81</v>
      </c>
      <c r="M129" s="2">
        <v>9.6999999999999993</v>
      </c>
      <c r="N129" s="4">
        <v>5440.26</v>
      </c>
      <c r="O129" s="1">
        <v>-24.252000208633646</v>
      </c>
      <c r="P129" s="6">
        <v>36</v>
      </c>
      <c r="Q129" s="6">
        <v>24.1</v>
      </c>
      <c r="R129" s="6">
        <v>9.1999999999999993</v>
      </c>
      <c r="S129" s="6">
        <v>13</v>
      </c>
      <c r="T129" s="5">
        <v>2.3999999999999998E-3</v>
      </c>
      <c r="U129" s="1">
        <v>-4.3799999999999999E-2</v>
      </c>
      <c r="V129" s="1">
        <v>5.1913</v>
      </c>
    </row>
    <row r="130" spans="1:22" x14ac:dyDescent="0.25">
      <c r="A130" s="1">
        <v>0.99870000000000003</v>
      </c>
      <c r="B130" s="9" t="s">
        <v>4998</v>
      </c>
      <c r="C130" s="2">
        <v>3779</v>
      </c>
      <c r="D130" s="3" t="s">
        <v>558</v>
      </c>
      <c r="E130" s="9" t="s">
        <v>4999</v>
      </c>
      <c r="F130" s="9" t="s">
        <v>97</v>
      </c>
      <c r="G130" s="1">
        <v>1840.9467</v>
      </c>
      <c r="H130" s="2">
        <v>573</v>
      </c>
      <c r="I130" s="2">
        <v>3</v>
      </c>
      <c r="J130" s="1">
        <v>1840.9159999999999</v>
      </c>
      <c r="K130" s="1">
        <v>614.65620000000001</v>
      </c>
      <c r="L130" s="9" t="s">
        <v>98</v>
      </c>
      <c r="M130" s="2">
        <v>8.19</v>
      </c>
      <c r="N130" s="4">
        <v>5447.61</v>
      </c>
      <c r="O130" s="1">
        <v>-16.648873522032858</v>
      </c>
      <c r="P130" s="6">
        <v>31.5</v>
      </c>
      <c r="Q130" s="6">
        <v>22.2</v>
      </c>
      <c r="R130" s="6">
        <v>6.3</v>
      </c>
      <c r="S130" s="6">
        <v>11.7</v>
      </c>
      <c r="T130" s="5">
        <v>1.2999999999999999E-3</v>
      </c>
      <c r="U130" s="1">
        <v>-3.0700000000000002E-2</v>
      </c>
      <c r="V130" s="1">
        <v>5.3301999999999996</v>
      </c>
    </row>
    <row r="131" spans="1:22" x14ac:dyDescent="0.25">
      <c r="A131" s="1">
        <v>0.98119999999999996</v>
      </c>
      <c r="B131" s="9" t="s">
        <v>5000</v>
      </c>
      <c r="C131" s="2">
        <v>3781</v>
      </c>
      <c r="D131" s="3" t="s">
        <v>250</v>
      </c>
      <c r="E131" s="9" t="s">
        <v>251</v>
      </c>
      <c r="F131" s="9" t="s">
        <v>252</v>
      </c>
      <c r="G131" s="1">
        <v>843.46069999999997</v>
      </c>
      <c r="H131" s="2">
        <v>1382</v>
      </c>
      <c r="I131" s="2">
        <v>2</v>
      </c>
      <c r="J131" s="1">
        <v>843.33730000000003</v>
      </c>
      <c r="K131" s="1">
        <v>422.73759999999999</v>
      </c>
      <c r="L131" s="9" t="s">
        <v>253</v>
      </c>
      <c r="M131" s="2">
        <v>6.74</v>
      </c>
      <c r="N131" s="4">
        <v>5454.92</v>
      </c>
      <c r="O131" s="1">
        <v>-145.95342358947963</v>
      </c>
      <c r="P131" s="6">
        <v>30.9</v>
      </c>
      <c r="Q131" s="6">
        <v>22.5</v>
      </c>
      <c r="R131" s="6">
        <v>12.5</v>
      </c>
      <c r="S131" s="6">
        <v>13</v>
      </c>
      <c r="T131" s="5">
        <v>4.1000000000000002E-2</v>
      </c>
      <c r="U131" s="1">
        <v>-0.1234</v>
      </c>
      <c r="V131" s="1">
        <v>3.5533999999999999</v>
      </c>
    </row>
    <row r="132" spans="1:22" x14ac:dyDescent="0.25">
      <c r="A132" s="1">
        <v>0.98409999999999997</v>
      </c>
      <c r="B132" s="9" t="s">
        <v>5001</v>
      </c>
      <c r="C132" s="2">
        <v>3782</v>
      </c>
      <c r="D132" s="3" t="s">
        <v>306</v>
      </c>
      <c r="E132" s="9" t="s">
        <v>5002</v>
      </c>
      <c r="F132" s="9" t="s">
        <v>5003</v>
      </c>
      <c r="G132" s="1">
        <v>900.42669999999998</v>
      </c>
      <c r="H132" s="2">
        <v>354</v>
      </c>
      <c r="I132" s="2">
        <v>2</v>
      </c>
      <c r="J132" s="1">
        <v>900.39089999999999</v>
      </c>
      <c r="K132" s="1">
        <v>451.22059999999999</v>
      </c>
      <c r="L132" s="9" t="s">
        <v>5004</v>
      </c>
      <c r="M132" s="2">
        <v>4.24</v>
      </c>
      <c r="N132" s="4">
        <v>5454.92</v>
      </c>
      <c r="O132" s="1">
        <v>-39.670174632984398</v>
      </c>
      <c r="P132" s="6">
        <v>30.5</v>
      </c>
      <c r="Q132" s="6">
        <v>25.1</v>
      </c>
      <c r="R132" s="6">
        <v>10.5</v>
      </c>
      <c r="S132" s="6">
        <v>11.9</v>
      </c>
      <c r="T132" s="5">
        <v>3.5000000000000003E-2</v>
      </c>
      <c r="U132" s="1">
        <v>-3.5799999999999998E-2</v>
      </c>
      <c r="V132" s="1">
        <v>3.2978999999999998</v>
      </c>
    </row>
    <row r="133" spans="1:22" x14ac:dyDescent="0.25">
      <c r="A133" s="1">
        <v>0.99270000000000003</v>
      </c>
      <c r="B133" s="9" t="s">
        <v>5005</v>
      </c>
      <c r="C133" s="2">
        <v>3787</v>
      </c>
      <c r="D133" s="3" t="s">
        <v>370</v>
      </c>
      <c r="E133" s="9" t="s">
        <v>5006</v>
      </c>
      <c r="F133" s="9" t="s">
        <v>404</v>
      </c>
      <c r="G133" s="1">
        <v>1378.7027</v>
      </c>
      <c r="H133" s="2">
        <v>143</v>
      </c>
      <c r="I133" s="2">
        <v>2</v>
      </c>
      <c r="J133" s="1">
        <v>1378.6646000000001</v>
      </c>
      <c r="K133" s="1">
        <v>690.35860000000002</v>
      </c>
      <c r="L133" s="9" t="s">
        <v>405</v>
      </c>
      <c r="M133" s="2">
        <v>8.35</v>
      </c>
      <c r="N133" s="4">
        <v>5462.27</v>
      </c>
      <c r="O133" s="1">
        <v>-27.594354586152761</v>
      </c>
      <c r="P133" s="6">
        <v>40.700000000000003</v>
      </c>
      <c r="Q133" s="6">
        <v>30.5</v>
      </c>
      <c r="R133" s="6">
        <v>10.4</v>
      </c>
      <c r="S133" s="6">
        <v>9.1</v>
      </c>
      <c r="T133" s="5">
        <v>9.4000000000000004E-3</v>
      </c>
      <c r="U133" s="1">
        <v>-3.8100000000000002E-2</v>
      </c>
      <c r="V133" s="1">
        <v>3.8605</v>
      </c>
    </row>
    <row r="134" spans="1:22" x14ac:dyDescent="0.25">
      <c r="A134" s="1">
        <v>0.98319999999999996</v>
      </c>
      <c r="B134" s="9" t="s">
        <v>5007</v>
      </c>
      <c r="C134" s="2">
        <v>3789</v>
      </c>
      <c r="D134" s="3" t="s">
        <v>260</v>
      </c>
      <c r="E134" s="9" t="s">
        <v>5008</v>
      </c>
      <c r="F134" s="9" t="s">
        <v>27</v>
      </c>
      <c r="G134" s="1">
        <v>1284.6537000000001</v>
      </c>
      <c r="H134" s="2">
        <v>800</v>
      </c>
      <c r="I134" s="2">
        <v>2</v>
      </c>
      <c r="J134" s="1">
        <v>1284.6175000000001</v>
      </c>
      <c r="K134" s="1">
        <v>643.33410000000003</v>
      </c>
      <c r="L134" s="9" t="s">
        <v>28</v>
      </c>
      <c r="M134" s="2">
        <v>8.59</v>
      </c>
      <c r="N134" s="4">
        <v>5471.75</v>
      </c>
      <c r="O134" s="1">
        <v>-28.134681497529822</v>
      </c>
      <c r="P134" s="6">
        <v>29.5</v>
      </c>
      <c r="Q134" s="6">
        <v>22.5</v>
      </c>
      <c r="R134" s="6">
        <v>7.7</v>
      </c>
      <c r="S134" s="6">
        <v>9</v>
      </c>
      <c r="T134" s="5">
        <v>4.5999999999999999E-2</v>
      </c>
      <c r="U134" s="1">
        <v>-3.6200000000000003E-2</v>
      </c>
      <c r="V134" s="1">
        <v>3.3077000000000001</v>
      </c>
    </row>
    <row r="135" spans="1:22" x14ac:dyDescent="0.25">
      <c r="A135" s="1">
        <v>0.99880000000000002</v>
      </c>
      <c r="B135" s="9" t="s">
        <v>5009</v>
      </c>
      <c r="C135" s="2">
        <v>3795</v>
      </c>
      <c r="D135" s="3" t="s">
        <v>980</v>
      </c>
      <c r="E135" s="9" t="s">
        <v>887</v>
      </c>
      <c r="F135" s="9" t="s">
        <v>97</v>
      </c>
      <c r="G135" s="1">
        <v>1880.0436999999999</v>
      </c>
      <c r="H135" s="2">
        <v>575</v>
      </c>
      <c r="I135" s="2">
        <v>3</v>
      </c>
      <c r="J135" s="1">
        <v>1879.9955</v>
      </c>
      <c r="K135" s="1">
        <v>627.68849999999998</v>
      </c>
      <c r="L135" s="9" t="s">
        <v>98</v>
      </c>
      <c r="M135" s="2">
        <v>6.73</v>
      </c>
      <c r="N135" s="4">
        <v>5476.87</v>
      </c>
      <c r="O135" s="1">
        <v>-25.596560502011215</v>
      </c>
      <c r="P135" s="6">
        <v>33.9</v>
      </c>
      <c r="Q135" s="6">
        <v>23.6</v>
      </c>
      <c r="R135" s="6">
        <v>12.2</v>
      </c>
      <c r="S135" s="6">
        <v>9.9</v>
      </c>
      <c r="T135" s="5">
        <v>5.9000000000000003E-4</v>
      </c>
      <c r="U135" s="1">
        <v>-4.82E-2</v>
      </c>
      <c r="V135" s="1">
        <v>5.4368999999999996</v>
      </c>
    </row>
    <row r="136" spans="1:22" x14ac:dyDescent="0.25">
      <c r="A136" s="1">
        <v>0.96940000000000004</v>
      </c>
      <c r="B136" s="9" t="s">
        <v>5010</v>
      </c>
      <c r="C136" s="2">
        <v>3799</v>
      </c>
      <c r="D136" s="3" t="s">
        <v>1090</v>
      </c>
      <c r="E136" s="9" t="s">
        <v>5011</v>
      </c>
      <c r="F136" s="9" t="s">
        <v>97</v>
      </c>
      <c r="G136" s="1">
        <v>1941.9947</v>
      </c>
      <c r="H136" s="2">
        <v>893</v>
      </c>
      <c r="I136" s="2">
        <v>3</v>
      </c>
      <c r="J136" s="1">
        <v>1941.9318000000001</v>
      </c>
      <c r="K136" s="1">
        <v>648.33879999999999</v>
      </c>
      <c r="L136" s="9" t="s">
        <v>98</v>
      </c>
      <c r="M136" s="2">
        <v>8.1</v>
      </c>
      <c r="N136" s="4">
        <v>5490.5</v>
      </c>
      <c r="O136" s="1">
        <v>-32.33905894058271</v>
      </c>
      <c r="P136" s="6">
        <v>31.3</v>
      </c>
      <c r="Q136" s="6">
        <v>24.7</v>
      </c>
      <c r="R136" s="6">
        <v>5.2</v>
      </c>
      <c r="S136" s="6">
        <v>11.6</v>
      </c>
      <c r="T136" s="5">
        <v>9.9000000000000008E-3</v>
      </c>
      <c r="U136" s="1">
        <v>-6.2899999999999998E-2</v>
      </c>
      <c r="V136" s="1">
        <v>3.6722000000000001</v>
      </c>
    </row>
    <row r="137" spans="1:22" x14ac:dyDescent="0.25">
      <c r="A137" s="1">
        <v>1</v>
      </c>
      <c r="B137" s="9" t="s">
        <v>5012</v>
      </c>
      <c r="C137" s="2">
        <v>3803</v>
      </c>
      <c r="D137" s="3" t="s">
        <v>5013</v>
      </c>
      <c r="E137" s="9" t="s">
        <v>4569</v>
      </c>
      <c r="F137" s="9" t="s">
        <v>1122</v>
      </c>
      <c r="G137" s="1">
        <v>2113.2116999999998</v>
      </c>
      <c r="H137" s="2">
        <v>576</v>
      </c>
      <c r="I137" s="2">
        <v>4</v>
      </c>
      <c r="J137" s="1">
        <v>2113.1179999999999</v>
      </c>
      <c r="K137" s="1">
        <v>529.31020000000001</v>
      </c>
      <c r="L137" s="9" t="s">
        <v>456</v>
      </c>
      <c r="M137" s="2">
        <v>10.29</v>
      </c>
      <c r="N137" s="4">
        <v>5491.52</v>
      </c>
      <c r="O137" s="1">
        <v>-44.255712434787768</v>
      </c>
      <c r="P137" s="6">
        <v>38.799999999999997</v>
      </c>
      <c r="Q137" s="6">
        <v>21.3</v>
      </c>
      <c r="R137" s="6">
        <v>9.8000000000000007</v>
      </c>
      <c r="S137" s="6">
        <v>12.2</v>
      </c>
      <c r="T137" s="5">
        <v>7.9999999999999996E-6</v>
      </c>
      <c r="U137" s="1">
        <v>-9.3700000000000006E-2</v>
      </c>
      <c r="V137" s="1">
        <v>7.6543000000000001</v>
      </c>
    </row>
    <row r="138" spans="1:22" x14ac:dyDescent="0.25">
      <c r="A138" s="1">
        <v>0.99990000000000001</v>
      </c>
      <c r="B138" s="9" t="s">
        <v>5014</v>
      </c>
      <c r="C138" s="2">
        <v>3809</v>
      </c>
      <c r="D138" s="3" t="s">
        <v>245</v>
      </c>
      <c r="E138" s="9" t="s">
        <v>246</v>
      </c>
      <c r="F138" s="9" t="s">
        <v>247</v>
      </c>
      <c r="G138" s="1">
        <v>1599.8226999999999</v>
      </c>
      <c r="H138" s="2">
        <v>577</v>
      </c>
      <c r="I138" s="2">
        <v>3</v>
      </c>
      <c r="J138" s="1">
        <v>1599.7919999999999</v>
      </c>
      <c r="K138" s="1">
        <v>534.28150000000005</v>
      </c>
      <c r="L138" s="9" t="s">
        <v>248</v>
      </c>
      <c r="M138" s="2">
        <v>8.6</v>
      </c>
      <c r="N138" s="4">
        <v>5506.17</v>
      </c>
      <c r="O138" s="1">
        <v>-19.153448759377468</v>
      </c>
      <c r="P138" s="6">
        <v>36.6</v>
      </c>
      <c r="Q138" s="6">
        <v>22.3</v>
      </c>
      <c r="R138" s="6">
        <v>9</v>
      </c>
      <c r="S138" s="6">
        <v>10.8</v>
      </c>
      <c r="T138" s="5">
        <v>9.7E-5</v>
      </c>
      <c r="U138" s="1">
        <v>-3.0700000000000002E-2</v>
      </c>
      <c r="V138" s="1">
        <v>7.7908999999999997</v>
      </c>
    </row>
    <row r="139" spans="1:22" x14ac:dyDescent="0.25">
      <c r="A139" s="1">
        <v>0.99890000000000001</v>
      </c>
      <c r="B139" s="9" t="s">
        <v>5015</v>
      </c>
      <c r="C139" s="2">
        <v>3811</v>
      </c>
      <c r="D139" s="3" t="s">
        <v>522</v>
      </c>
      <c r="E139" s="9" t="s">
        <v>4586</v>
      </c>
      <c r="F139" s="9" t="s">
        <v>156</v>
      </c>
      <c r="G139" s="1">
        <v>1739.9486999999999</v>
      </c>
      <c r="H139" s="2">
        <v>578</v>
      </c>
      <c r="I139" s="2">
        <v>2</v>
      </c>
      <c r="J139" s="1">
        <v>1739.8956000000001</v>
      </c>
      <c r="K139" s="1">
        <v>870.98159999999996</v>
      </c>
      <c r="L139" s="9" t="s">
        <v>157</v>
      </c>
      <c r="M139" s="2">
        <v>6.25</v>
      </c>
      <c r="N139" s="4">
        <v>5506.17</v>
      </c>
      <c r="O139" s="1">
        <v>-30.482848317346775</v>
      </c>
      <c r="P139" s="6">
        <v>41.2</v>
      </c>
      <c r="Q139" s="6">
        <v>22.3</v>
      </c>
      <c r="R139" s="6">
        <v>13.2</v>
      </c>
      <c r="S139" s="6">
        <v>10.3</v>
      </c>
      <c r="T139" s="5">
        <v>1.9000000000000001E-5</v>
      </c>
      <c r="U139" s="1">
        <v>-5.3100000000000001E-2</v>
      </c>
      <c r="V139" s="1">
        <v>6.5834000000000001</v>
      </c>
    </row>
    <row r="140" spans="1:22" x14ac:dyDescent="0.25">
      <c r="A140" s="1">
        <v>0.98909999999999998</v>
      </c>
      <c r="B140" s="9" t="s">
        <v>5016</v>
      </c>
      <c r="C140" s="2">
        <v>3815</v>
      </c>
      <c r="D140" s="3" t="s">
        <v>1626</v>
      </c>
      <c r="E140" s="9" t="s">
        <v>5017</v>
      </c>
      <c r="F140" s="9" t="s">
        <v>5018</v>
      </c>
      <c r="G140" s="1">
        <v>1372.6996999999999</v>
      </c>
      <c r="H140" s="2">
        <v>288</v>
      </c>
      <c r="I140" s="2">
        <v>3</v>
      </c>
      <c r="J140" s="1">
        <v>1372.6496</v>
      </c>
      <c r="K140" s="1">
        <v>458.57380000000001</v>
      </c>
      <c r="L140" s="9" t="s">
        <v>5019</v>
      </c>
      <c r="M140" s="2">
        <v>8.76</v>
      </c>
      <c r="N140" s="4">
        <v>5519.85</v>
      </c>
      <c r="O140" s="1">
        <v>-36.4172571568633</v>
      </c>
      <c r="P140" s="6">
        <v>36.200000000000003</v>
      </c>
      <c r="Q140" s="6">
        <v>27.8</v>
      </c>
      <c r="R140" s="6">
        <v>9.3000000000000007</v>
      </c>
      <c r="S140" s="6">
        <v>11.7</v>
      </c>
      <c r="T140" s="5">
        <v>3.1E-2</v>
      </c>
      <c r="U140" s="1">
        <v>-5.0099999999999999E-2</v>
      </c>
      <c r="V140" s="1">
        <v>3.8645999999999998</v>
      </c>
    </row>
    <row r="141" spans="1:22" x14ac:dyDescent="0.25">
      <c r="A141" s="1">
        <v>0.97970000000000002</v>
      </c>
      <c r="B141" s="9" t="s">
        <v>5020</v>
      </c>
      <c r="C141" s="2">
        <v>3817</v>
      </c>
      <c r="D141" s="3" t="s">
        <v>260</v>
      </c>
      <c r="E141" s="9" t="s">
        <v>251</v>
      </c>
      <c r="F141" s="9" t="s">
        <v>252</v>
      </c>
      <c r="G141" s="1">
        <v>843.46069999999997</v>
      </c>
      <c r="H141" s="2">
        <v>1240</v>
      </c>
      <c r="I141" s="2">
        <v>2</v>
      </c>
      <c r="J141" s="1">
        <v>843.36779999999999</v>
      </c>
      <c r="K141" s="1">
        <v>422.73759999999999</v>
      </c>
      <c r="L141" s="9" t="s">
        <v>253</v>
      </c>
      <c r="M141" s="2">
        <v>6.74</v>
      </c>
      <c r="N141" s="4">
        <v>5523.05</v>
      </c>
      <c r="O141" s="1">
        <v>-109.87903607344131</v>
      </c>
      <c r="P141" s="6">
        <v>34.299999999999997</v>
      </c>
      <c r="Q141" s="6">
        <v>25.3</v>
      </c>
      <c r="R141" s="6">
        <v>12.5</v>
      </c>
      <c r="S141" s="6">
        <v>13</v>
      </c>
      <c r="T141" s="5">
        <v>3.3000000000000002E-2</v>
      </c>
      <c r="U141" s="1">
        <v>-9.2899999999999996E-2</v>
      </c>
      <c r="V141" s="1">
        <v>3.6187</v>
      </c>
    </row>
    <row r="142" spans="1:22" x14ac:dyDescent="0.25">
      <c r="A142" s="1">
        <v>0.95820000000000005</v>
      </c>
      <c r="B142" s="9" t="s">
        <v>5021</v>
      </c>
      <c r="C142" s="2">
        <v>3830</v>
      </c>
      <c r="D142" s="3" t="s">
        <v>740</v>
      </c>
      <c r="E142" s="9" t="s">
        <v>5022</v>
      </c>
      <c r="F142" s="9" t="s">
        <v>5023</v>
      </c>
      <c r="G142" s="1">
        <v>1400.7967000000001</v>
      </c>
      <c r="H142" s="2">
        <v>289</v>
      </c>
      <c r="I142" s="2">
        <v>3</v>
      </c>
      <c r="J142" s="1">
        <v>1400.7503999999999</v>
      </c>
      <c r="K142" s="1">
        <v>467.93950000000001</v>
      </c>
      <c r="L142" s="9" t="s">
        <v>5024</v>
      </c>
      <c r="M142" s="2">
        <v>10.84</v>
      </c>
      <c r="N142" s="4">
        <v>5547.06</v>
      </c>
      <c r="O142" s="1">
        <v>-32.981471607618786</v>
      </c>
      <c r="P142" s="6">
        <v>34.9</v>
      </c>
      <c r="Q142" s="6">
        <v>25.5</v>
      </c>
      <c r="R142" s="6">
        <v>13.7</v>
      </c>
      <c r="S142" s="6">
        <v>12.3</v>
      </c>
      <c r="T142" s="5">
        <v>0.19</v>
      </c>
      <c r="U142" s="1">
        <v>-4.6300000000000001E-2</v>
      </c>
      <c r="V142" s="1">
        <v>2.9538000000000002</v>
      </c>
    </row>
    <row r="143" spans="1:22" x14ac:dyDescent="0.25">
      <c r="A143" s="1">
        <v>0.99760000000000004</v>
      </c>
      <c r="B143" s="9" t="s">
        <v>5025</v>
      </c>
      <c r="C143" s="2">
        <v>3842</v>
      </c>
      <c r="D143" s="3" t="s">
        <v>2045</v>
      </c>
      <c r="E143" s="9" t="s">
        <v>286</v>
      </c>
      <c r="F143" s="9" t="s">
        <v>27</v>
      </c>
      <c r="G143" s="1">
        <v>1429.7637</v>
      </c>
      <c r="H143" s="2">
        <v>933</v>
      </c>
      <c r="I143" s="2">
        <v>2</v>
      </c>
      <c r="J143" s="1">
        <v>1429.739</v>
      </c>
      <c r="K143" s="1">
        <v>715.88909999999998</v>
      </c>
      <c r="L143" s="9" t="s">
        <v>28</v>
      </c>
      <c r="M143" s="2">
        <v>8.59</v>
      </c>
      <c r="N143" s="4">
        <v>5569.06</v>
      </c>
      <c r="O143" s="1">
        <v>-17.251275372121185</v>
      </c>
      <c r="P143" s="6">
        <v>50.3</v>
      </c>
      <c r="Q143" s="6">
        <v>34</v>
      </c>
      <c r="R143" s="6">
        <v>9.8000000000000007</v>
      </c>
      <c r="S143" s="6">
        <v>10.8</v>
      </c>
      <c r="T143" s="5">
        <v>5.4000000000000001E-4</v>
      </c>
      <c r="U143" s="1">
        <v>-2.47E-2</v>
      </c>
      <c r="V143" s="1">
        <v>5.3719000000000001</v>
      </c>
    </row>
    <row r="144" spans="1:22" x14ac:dyDescent="0.25">
      <c r="A144" s="1">
        <v>0.99690000000000001</v>
      </c>
      <c r="B144" s="9" t="s">
        <v>5026</v>
      </c>
      <c r="C144" s="2">
        <v>3845</v>
      </c>
      <c r="D144" s="3" t="s">
        <v>697</v>
      </c>
      <c r="E144" s="9" t="s">
        <v>246</v>
      </c>
      <c r="F144" s="9" t="s">
        <v>247</v>
      </c>
      <c r="G144" s="1">
        <v>1599.8226999999999</v>
      </c>
      <c r="H144" s="2">
        <v>580</v>
      </c>
      <c r="I144" s="2">
        <v>3</v>
      </c>
      <c r="J144" s="1">
        <v>1599.7784999999999</v>
      </c>
      <c r="K144" s="1">
        <v>534.28150000000005</v>
      </c>
      <c r="L144" s="9" t="s">
        <v>248</v>
      </c>
      <c r="M144" s="2">
        <v>8.6</v>
      </c>
      <c r="N144" s="4">
        <v>5572.13</v>
      </c>
      <c r="O144" s="1">
        <v>-27.575975086791015</v>
      </c>
      <c r="P144" s="6">
        <v>32.700000000000003</v>
      </c>
      <c r="Q144" s="6">
        <v>26.1</v>
      </c>
      <c r="R144" s="6">
        <v>10.7</v>
      </c>
      <c r="S144" s="6">
        <v>12</v>
      </c>
      <c r="T144" s="5">
        <v>6.4000000000000003E-3</v>
      </c>
      <c r="U144" s="1">
        <v>-4.4200000000000003E-2</v>
      </c>
      <c r="V144" s="1">
        <v>4.2817999999999996</v>
      </c>
    </row>
    <row r="145" spans="1:22" x14ac:dyDescent="0.25">
      <c r="A145" s="1">
        <v>0.98850000000000005</v>
      </c>
      <c r="B145" s="9" t="s">
        <v>5027</v>
      </c>
      <c r="C145" s="2">
        <v>3853</v>
      </c>
      <c r="D145" s="3" t="s">
        <v>250</v>
      </c>
      <c r="E145" s="9" t="s">
        <v>251</v>
      </c>
      <c r="F145" s="9" t="s">
        <v>252</v>
      </c>
      <c r="G145" s="1">
        <v>843.46069999999997</v>
      </c>
      <c r="H145" s="2">
        <v>1385</v>
      </c>
      <c r="I145" s="2">
        <v>2</v>
      </c>
      <c r="J145" s="1">
        <v>843.36850000000004</v>
      </c>
      <c r="K145" s="1">
        <v>422.73759999999999</v>
      </c>
      <c r="L145" s="9" t="s">
        <v>253</v>
      </c>
      <c r="M145" s="2">
        <v>6.74</v>
      </c>
      <c r="N145" s="4">
        <v>5586.78</v>
      </c>
      <c r="O145" s="1">
        <v>-109.05109931077813</v>
      </c>
      <c r="P145" s="6">
        <v>30.9</v>
      </c>
      <c r="Q145" s="6">
        <v>20.6</v>
      </c>
      <c r="R145" s="6">
        <v>12.4</v>
      </c>
      <c r="S145" s="6">
        <v>13</v>
      </c>
      <c r="T145" s="5">
        <v>0.03</v>
      </c>
      <c r="U145" s="1">
        <v>-9.2200000000000004E-2</v>
      </c>
      <c r="V145" s="1">
        <v>4.0479000000000003</v>
      </c>
    </row>
    <row r="146" spans="1:22" x14ac:dyDescent="0.25">
      <c r="A146" s="1">
        <v>0.99919999999999998</v>
      </c>
      <c r="B146" s="9" t="s">
        <v>5028</v>
      </c>
      <c r="C146" s="2">
        <v>3867</v>
      </c>
      <c r="D146" s="3" t="s">
        <v>2220</v>
      </c>
      <c r="E146" s="9" t="s">
        <v>5029</v>
      </c>
      <c r="F146" s="9" t="s">
        <v>90</v>
      </c>
      <c r="G146" s="1">
        <v>1603.8487</v>
      </c>
      <c r="H146" s="2">
        <v>581</v>
      </c>
      <c r="I146" s="2">
        <v>2</v>
      </c>
      <c r="J146" s="1">
        <v>1603.7991</v>
      </c>
      <c r="K146" s="1">
        <v>802.9316</v>
      </c>
      <c r="L146" s="9" t="s">
        <v>91</v>
      </c>
      <c r="M146" s="2">
        <v>6.25</v>
      </c>
      <c r="N146" s="4">
        <v>5608.68</v>
      </c>
      <c r="O146" s="1">
        <v>-30.886815265459724</v>
      </c>
      <c r="P146" s="6">
        <v>65.3</v>
      </c>
      <c r="Q146" s="6">
        <v>36.1</v>
      </c>
      <c r="R146" s="6">
        <v>11.7</v>
      </c>
      <c r="S146" s="6">
        <v>12.3</v>
      </c>
      <c r="T146" s="5">
        <v>1.1E-5</v>
      </c>
      <c r="U146" s="1">
        <v>-4.9599999999999998E-2</v>
      </c>
      <c r="V146" s="1">
        <v>7.1944999999999997</v>
      </c>
    </row>
    <row r="147" spans="1:22" x14ac:dyDescent="0.25">
      <c r="A147" s="1">
        <v>0.98699999999999999</v>
      </c>
      <c r="B147" s="9" t="s">
        <v>5030</v>
      </c>
      <c r="C147" s="2">
        <v>3887</v>
      </c>
      <c r="D147" s="3" t="s">
        <v>520</v>
      </c>
      <c r="E147" s="9" t="s">
        <v>5031</v>
      </c>
      <c r="F147" s="9" t="s">
        <v>195</v>
      </c>
      <c r="G147" s="1">
        <v>1477.7846999999999</v>
      </c>
      <c r="H147" s="2">
        <v>39</v>
      </c>
      <c r="I147" s="2">
        <v>2</v>
      </c>
      <c r="J147" s="1">
        <v>1477.7430999999999</v>
      </c>
      <c r="K147" s="1">
        <v>739.89959999999996</v>
      </c>
      <c r="L147" s="9" t="s">
        <v>196</v>
      </c>
      <c r="M147" s="2">
        <v>6.24</v>
      </c>
      <c r="N147" s="4">
        <v>5645.19</v>
      </c>
      <c r="O147" s="1">
        <v>-28.111922212148784</v>
      </c>
      <c r="P147" s="6">
        <v>33.200000000000003</v>
      </c>
      <c r="Q147" s="6">
        <v>24.8</v>
      </c>
      <c r="R147" s="6">
        <v>8.9</v>
      </c>
      <c r="S147" s="6">
        <v>8.1</v>
      </c>
      <c r="T147" s="5">
        <v>7.4999999999999997E-3</v>
      </c>
      <c r="U147" s="1">
        <v>-4.1599999999999998E-2</v>
      </c>
      <c r="V147" s="1">
        <v>3.694</v>
      </c>
    </row>
    <row r="148" spans="1:22" x14ac:dyDescent="0.25">
      <c r="A148" s="1">
        <v>0.97319999999999995</v>
      </c>
      <c r="B148" s="9" t="s">
        <v>5032</v>
      </c>
      <c r="C148" s="2">
        <v>3898</v>
      </c>
      <c r="D148" s="3" t="s">
        <v>311</v>
      </c>
      <c r="E148" s="9" t="s">
        <v>5033</v>
      </c>
      <c r="F148" s="9" t="s">
        <v>5034</v>
      </c>
      <c r="G148" s="1">
        <v>1487.8267000000001</v>
      </c>
      <c r="H148" s="2">
        <v>361</v>
      </c>
      <c r="I148" s="2">
        <v>2</v>
      </c>
      <c r="J148" s="1">
        <v>1487.7779</v>
      </c>
      <c r="K148" s="1">
        <v>744.92060000000004</v>
      </c>
      <c r="L148" s="9" t="s">
        <v>5035</v>
      </c>
      <c r="M148" s="2">
        <v>6.25</v>
      </c>
      <c r="N148" s="4">
        <v>5667.19</v>
      </c>
      <c r="O148" s="1">
        <v>-32.755168805910323</v>
      </c>
      <c r="P148" s="6">
        <v>35.799999999999997</v>
      </c>
      <c r="Q148" s="6">
        <v>29</v>
      </c>
      <c r="R148" s="6">
        <v>10.9</v>
      </c>
      <c r="S148" s="6">
        <v>10.5</v>
      </c>
      <c r="T148" s="5">
        <v>1.7000000000000001E-2</v>
      </c>
      <c r="U148" s="1">
        <v>-4.8800000000000003E-2</v>
      </c>
      <c r="V148" s="1">
        <v>3.1593</v>
      </c>
    </row>
    <row r="149" spans="1:22" x14ac:dyDescent="0.25">
      <c r="A149" s="1">
        <v>0.99929999999999997</v>
      </c>
      <c r="B149" s="9" t="s">
        <v>5036</v>
      </c>
      <c r="C149" s="2">
        <v>3901</v>
      </c>
      <c r="D149" s="3" t="s">
        <v>2518</v>
      </c>
      <c r="E149" s="9" t="s">
        <v>5029</v>
      </c>
      <c r="F149" s="9" t="s">
        <v>90</v>
      </c>
      <c r="G149" s="1">
        <v>1603.8487</v>
      </c>
      <c r="H149" s="2">
        <v>585</v>
      </c>
      <c r="I149" s="2">
        <v>2</v>
      </c>
      <c r="J149" s="1">
        <v>1603.7842000000001</v>
      </c>
      <c r="K149" s="1">
        <v>802.9316</v>
      </c>
      <c r="L149" s="9" t="s">
        <v>91</v>
      </c>
      <c r="M149" s="2">
        <v>6.25</v>
      </c>
      <c r="N149" s="4">
        <v>5674.54</v>
      </c>
      <c r="O149" s="1">
        <v>-40.165314206091779</v>
      </c>
      <c r="P149" s="6">
        <v>70.099999999999994</v>
      </c>
      <c r="Q149" s="6">
        <v>36.200000000000003</v>
      </c>
      <c r="R149" s="6">
        <v>11.7</v>
      </c>
      <c r="S149" s="6">
        <v>12.5</v>
      </c>
      <c r="T149" s="5">
        <v>6.4999999999999996E-6</v>
      </c>
      <c r="U149" s="1">
        <v>-6.4500000000000002E-2</v>
      </c>
      <c r="V149" s="1">
        <v>7.5753000000000004</v>
      </c>
    </row>
    <row r="150" spans="1:22" x14ac:dyDescent="0.25">
      <c r="A150" s="1">
        <v>0.99980000000000002</v>
      </c>
      <c r="B150" s="9" t="s">
        <v>5037</v>
      </c>
      <c r="C150" s="2">
        <v>3905</v>
      </c>
      <c r="D150" s="3" t="s">
        <v>904</v>
      </c>
      <c r="E150" s="9" t="s">
        <v>289</v>
      </c>
      <c r="F150" s="9" t="s">
        <v>290</v>
      </c>
      <c r="G150" s="1">
        <v>1831.9757</v>
      </c>
      <c r="H150" s="2">
        <v>586</v>
      </c>
      <c r="I150" s="2">
        <v>3</v>
      </c>
      <c r="J150" s="1">
        <v>1831.9251999999999</v>
      </c>
      <c r="K150" s="1">
        <v>611.66579999999999</v>
      </c>
      <c r="L150" s="9" t="s">
        <v>291</v>
      </c>
      <c r="M150" s="2">
        <v>6.17</v>
      </c>
      <c r="N150" s="4">
        <v>5681.89</v>
      </c>
      <c r="O150" s="1">
        <v>-27.520474960890958</v>
      </c>
      <c r="P150" s="6">
        <v>47</v>
      </c>
      <c r="Q150" s="6">
        <v>27.1</v>
      </c>
      <c r="R150" s="6">
        <v>11.7</v>
      </c>
      <c r="S150" s="6">
        <v>10.8</v>
      </c>
      <c r="T150" s="5">
        <v>7.4999999999999993E-5</v>
      </c>
      <c r="U150" s="1">
        <v>-5.0500000000000003E-2</v>
      </c>
      <c r="V150" s="1">
        <v>7.5400999999999998</v>
      </c>
    </row>
    <row r="151" spans="1:22" x14ac:dyDescent="0.25">
      <c r="A151" s="1">
        <v>0.99909999999999999</v>
      </c>
      <c r="B151" s="9" t="s">
        <v>5038</v>
      </c>
      <c r="C151" s="2">
        <v>3938</v>
      </c>
      <c r="D151" s="3" t="s">
        <v>384</v>
      </c>
      <c r="E151" s="9" t="s">
        <v>294</v>
      </c>
      <c r="F151" s="9" t="s">
        <v>295</v>
      </c>
      <c r="G151" s="1">
        <v>1792.8887</v>
      </c>
      <c r="H151" s="2">
        <v>149</v>
      </c>
      <c r="I151" s="2">
        <v>3</v>
      </c>
      <c r="J151" s="1">
        <v>1792.8398999999999</v>
      </c>
      <c r="K151" s="1">
        <v>598.63679999999999</v>
      </c>
      <c r="L151" s="9" t="s">
        <v>296</v>
      </c>
      <c r="M151" s="2">
        <v>8.3800000000000008</v>
      </c>
      <c r="N151" s="4">
        <v>5740.29</v>
      </c>
      <c r="O151" s="1">
        <v>-27.172847821361248</v>
      </c>
      <c r="P151" s="6">
        <v>35.200000000000003</v>
      </c>
      <c r="Q151" s="6">
        <v>24.2</v>
      </c>
      <c r="R151" s="6">
        <v>11.3</v>
      </c>
      <c r="S151" s="6">
        <v>9.3000000000000007</v>
      </c>
      <c r="T151" s="5">
        <v>1.1000000000000001E-3</v>
      </c>
      <c r="U151" s="1">
        <v>-4.8800000000000003E-2</v>
      </c>
      <c r="V151" s="1">
        <v>5.7122999999999999</v>
      </c>
    </row>
    <row r="152" spans="1:22" x14ac:dyDescent="0.25">
      <c r="A152" s="1">
        <v>0.99770000000000003</v>
      </c>
      <c r="B152" s="9" t="s">
        <v>5039</v>
      </c>
      <c r="C152" s="2">
        <v>3939</v>
      </c>
      <c r="D152" s="3" t="s">
        <v>1390</v>
      </c>
      <c r="E152" s="9" t="s">
        <v>5040</v>
      </c>
      <c r="F152" s="9" t="s">
        <v>165</v>
      </c>
      <c r="G152" s="1">
        <v>2092.1857</v>
      </c>
      <c r="H152" s="2">
        <v>1041</v>
      </c>
      <c r="I152" s="2">
        <v>3</v>
      </c>
      <c r="J152" s="1">
        <v>2092.1111999999998</v>
      </c>
      <c r="K152" s="1">
        <v>698.40250000000003</v>
      </c>
      <c r="L152" s="9" t="s">
        <v>166</v>
      </c>
      <c r="M152" s="2">
        <v>6.04</v>
      </c>
      <c r="N152" s="4">
        <v>5740.29</v>
      </c>
      <c r="O152" s="1">
        <v>-35.557337399756349</v>
      </c>
      <c r="P152" s="6">
        <v>42.9</v>
      </c>
      <c r="Q152" s="6">
        <v>28.3</v>
      </c>
      <c r="R152" s="6">
        <v>14.6</v>
      </c>
      <c r="S152" s="6">
        <v>11.5</v>
      </c>
      <c r="T152" s="5">
        <v>4.0000000000000001E-3</v>
      </c>
      <c r="U152" s="1">
        <v>-7.4499999999999997E-2</v>
      </c>
      <c r="V152" s="1">
        <v>4.4071999999999996</v>
      </c>
    </row>
    <row r="153" spans="1:22" x14ac:dyDescent="0.25">
      <c r="A153" s="1">
        <v>0.99709999999999999</v>
      </c>
      <c r="B153" s="9" t="s">
        <v>5041</v>
      </c>
      <c r="C153" s="2">
        <v>3942</v>
      </c>
      <c r="D153" s="3" t="s">
        <v>558</v>
      </c>
      <c r="E153" s="9" t="s">
        <v>289</v>
      </c>
      <c r="F153" s="9" t="s">
        <v>290</v>
      </c>
      <c r="G153" s="1">
        <v>1831.9757</v>
      </c>
      <c r="H153" s="2">
        <v>363</v>
      </c>
      <c r="I153" s="2">
        <v>3</v>
      </c>
      <c r="J153" s="1">
        <v>1831.9389000000001</v>
      </c>
      <c r="K153" s="1">
        <v>611.66579999999999</v>
      </c>
      <c r="L153" s="9" t="s">
        <v>291</v>
      </c>
      <c r="M153" s="2">
        <v>6.17</v>
      </c>
      <c r="N153" s="4">
        <v>5747.59</v>
      </c>
      <c r="O153" s="1">
        <v>-20.054524327936381</v>
      </c>
      <c r="P153" s="6">
        <v>31.9</v>
      </c>
      <c r="Q153" s="6">
        <v>22.3</v>
      </c>
      <c r="R153" s="6">
        <v>11.9</v>
      </c>
      <c r="S153" s="6">
        <v>10.6</v>
      </c>
      <c r="T153" s="5">
        <v>3.8E-3</v>
      </c>
      <c r="U153" s="1">
        <v>-3.6799999999999999E-2</v>
      </c>
      <c r="V153" s="1">
        <v>4.7873999999999999</v>
      </c>
    </row>
    <row r="154" spans="1:22" x14ac:dyDescent="0.25">
      <c r="A154" s="1">
        <v>0.99909999999999999</v>
      </c>
      <c r="B154" s="9" t="s">
        <v>5042</v>
      </c>
      <c r="C154" s="2">
        <v>3943</v>
      </c>
      <c r="D154" s="3" t="s">
        <v>2220</v>
      </c>
      <c r="E154" s="9" t="s">
        <v>5029</v>
      </c>
      <c r="F154" s="9" t="s">
        <v>90</v>
      </c>
      <c r="G154" s="1">
        <v>1603.8487</v>
      </c>
      <c r="H154" s="2">
        <v>588</v>
      </c>
      <c r="I154" s="2">
        <v>2</v>
      </c>
      <c r="J154" s="1">
        <v>1603.8127999999999</v>
      </c>
      <c r="K154" s="1">
        <v>802.9316</v>
      </c>
      <c r="L154" s="9" t="s">
        <v>91</v>
      </c>
      <c r="M154" s="2">
        <v>6.25</v>
      </c>
      <c r="N154" s="4">
        <v>5747.59</v>
      </c>
      <c r="O154" s="1">
        <v>-22.35557798447589</v>
      </c>
      <c r="P154" s="6">
        <v>67.7</v>
      </c>
      <c r="Q154" s="6">
        <v>36.1</v>
      </c>
      <c r="R154" s="6">
        <v>12.4</v>
      </c>
      <c r="S154" s="6">
        <v>12.7</v>
      </c>
      <c r="T154" s="5">
        <v>2.1999999999999999E-5</v>
      </c>
      <c r="U154" s="1">
        <v>-3.5900000000000001E-2</v>
      </c>
      <c r="V154" s="1">
        <v>6.9819000000000004</v>
      </c>
    </row>
    <row r="155" spans="1:22" x14ac:dyDescent="0.25">
      <c r="A155" s="1">
        <v>0.99409999999999998</v>
      </c>
      <c r="B155" s="9" t="s">
        <v>5043</v>
      </c>
      <c r="C155" s="2">
        <v>3950</v>
      </c>
      <c r="D155" s="3" t="s">
        <v>472</v>
      </c>
      <c r="E155" s="9" t="s">
        <v>299</v>
      </c>
      <c r="F155" s="9" t="s">
        <v>300</v>
      </c>
      <c r="G155" s="1">
        <v>1122.5847000000001</v>
      </c>
      <c r="H155" s="2">
        <v>589</v>
      </c>
      <c r="I155" s="2">
        <v>2</v>
      </c>
      <c r="J155" s="1">
        <v>1122.5473999999999</v>
      </c>
      <c r="K155" s="1">
        <v>562.29960000000005</v>
      </c>
      <c r="L155" s="9" t="s">
        <v>91</v>
      </c>
      <c r="M155" s="2">
        <v>8.35</v>
      </c>
      <c r="N155" s="4">
        <v>5762.29</v>
      </c>
      <c r="O155" s="1">
        <v>-33.167371984614604</v>
      </c>
      <c r="P155" s="6">
        <v>50.3</v>
      </c>
      <c r="Q155" s="6">
        <v>40.4</v>
      </c>
      <c r="R155" s="6">
        <v>10.3</v>
      </c>
      <c r="S155" s="6">
        <v>12.1</v>
      </c>
      <c r="T155" s="5">
        <v>9.7000000000000003E-3</v>
      </c>
      <c r="U155" s="1">
        <v>-3.73E-2</v>
      </c>
      <c r="V155" s="1">
        <v>4.1356999999999999</v>
      </c>
    </row>
    <row r="156" spans="1:22" x14ac:dyDescent="0.25">
      <c r="A156" s="1">
        <v>0.99329999999999996</v>
      </c>
      <c r="B156" s="9" t="s">
        <v>5044</v>
      </c>
      <c r="C156" s="2">
        <v>3958</v>
      </c>
      <c r="D156" s="3" t="s">
        <v>621</v>
      </c>
      <c r="E156" s="9" t="s">
        <v>346</v>
      </c>
      <c r="F156" s="9" t="s">
        <v>347</v>
      </c>
      <c r="G156" s="1">
        <v>1294.6587</v>
      </c>
      <c r="H156" s="2">
        <v>1042</v>
      </c>
      <c r="I156" s="2">
        <v>2</v>
      </c>
      <c r="J156" s="1">
        <v>1294.6239</v>
      </c>
      <c r="K156" s="1">
        <v>648.33659999999998</v>
      </c>
      <c r="L156" s="9" t="s">
        <v>258</v>
      </c>
      <c r="M156" s="2">
        <v>8.59</v>
      </c>
      <c r="N156" s="4">
        <v>5776.89</v>
      </c>
      <c r="O156" s="1">
        <v>-26.837911048057443</v>
      </c>
      <c r="P156" s="6">
        <v>35</v>
      </c>
      <c r="Q156" s="6">
        <v>26.4</v>
      </c>
      <c r="R156" s="6">
        <v>10.5</v>
      </c>
      <c r="S156" s="6">
        <v>11.3</v>
      </c>
      <c r="T156" s="5">
        <v>7.6E-3</v>
      </c>
      <c r="U156" s="1">
        <v>-3.4799999999999998E-2</v>
      </c>
      <c r="V156" s="1">
        <v>4.1120999999999999</v>
      </c>
    </row>
    <row r="157" spans="1:22" x14ac:dyDescent="0.25">
      <c r="A157" s="1">
        <v>0.99939999999999996</v>
      </c>
      <c r="B157" s="9" t="s">
        <v>5045</v>
      </c>
      <c r="C157" s="2">
        <v>3966</v>
      </c>
      <c r="D157" s="3" t="s">
        <v>41</v>
      </c>
      <c r="E157" s="9" t="s">
        <v>916</v>
      </c>
      <c r="F157" s="9" t="s">
        <v>165</v>
      </c>
      <c r="G157" s="1">
        <v>1833.0687</v>
      </c>
      <c r="H157" s="2">
        <v>590</v>
      </c>
      <c r="I157" s="2">
        <v>3</v>
      </c>
      <c r="J157" s="1">
        <v>1832.9897000000001</v>
      </c>
      <c r="K157" s="1">
        <v>612.03020000000004</v>
      </c>
      <c r="L157" s="9" t="s">
        <v>166</v>
      </c>
      <c r="M157" s="2">
        <v>6.17</v>
      </c>
      <c r="N157" s="4">
        <v>5791.49</v>
      </c>
      <c r="O157" s="1">
        <v>-43.026199251823414</v>
      </c>
      <c r="P157" s="6">
        <v>37.700000000000003</v>
      </c>
      <c r="Q157" s="6">
        <v>23.2</v>
      </c>
      <c r="R157" s="6">
        <v>14.1</v>
      </c>
      <c r="S157" s="6">
        <v>12.9</v>
      </c>
      <c r="T157" s="5">
        <v>5.5999999999999995E-4</v>
      </c>
      <c r="U157" s="1">
        <v>-7.9000000000000001E-2</v>
      </c>
      <c r="V157" s="1">
        <v>6.0526999999999997</v>
      </c>
    </row>
    <row r="158" spans="1:22" x14ac:dyDescent="0.25">
      <c r="A158" s="1">
        <v>0.99219999999999997</v>
      </c>
      <c r="B158" s="9" t="s">
        <v>5046</v>
      </c>
      <c r="C158" s="2">
        <v>3969</v>
      </c>
      <c r="D158" s="3" t="s">
        <v>2060</v>
      </c>
      <c r="E158" s="9" t="s">
        <v>5047</v>
      </c>
      <c r="F158" s="9" t="s">
        <v>5048</v>
      </c>
      <c r="G158" s="1">
        <v>2141.1777000000002</v>
      </c>
      <c r="H158" s="2">
        <v>591</v>
      </c>
      <c r="I158" s="2">
        <v>4</v>
      </c>
      <c r="J158" s="1">
        <v>2141.0871999999999</v>
      </c>
      <c r="K158" s="1">
        <v>536.30169999999998</v>
      </c>
      <c r="L158" s="9" t="s">
        <v>5049</v>
      </c>
      <c r="M158" s="2">
        <v>8.74</v>
      </c>
      <c r="N158" s="4">
        <v>5798.79</v>
      </c>
      <c r="O158" s="1">
        <v>-42.187074924431528</v>
      </c>
      <c r="P158" s="6">
        <v>34</v>
      </c>
      <c r="Q158" s="6">
        <v>24.1</v>
      </c>
      <c r="R158" s="6">
        <v>13.2</v>
      </c>
      <c r="S158" s="6">
        <v>12.1</v>
      </c>
      <c r="T158" s="5">
        <v>0.01</v>
      </c>
      <c r="U158" s="1">
        <v>-9.0499999999999997E-2</v>
      </c>
      <c r="V158" s="1">
        <v>3.8462000000000001</v>
      </c>
    </row>
    <row r="159" spans="1:22" x14ac:dyDescent="0.25">
      <c r="A159" s="1">
        <v>0.99960000000000004</v>
      </c>
      <c r="B159" s="9" t="s">
        <v>5050</v>
      </c>
      <c r="C159" s="2">
        <v>3974</v>
      </c>
      <c r="D159" s="3" t="s">
        <v>2452</v>
      </c>
      <c r="E159" s="9" t="s">
        <v>5051</v>
      </c>
      <c r="F159" s="9" t="s">
        <v>5052</v>
      </c>
      <c r="G159" s="1">
        <v>2258.1507000000001</v>
      </c>
      <c r="H159" s="2">
        <v>1044</v>
      </c>
      <c r="I159" s="2">
        <v>3</v>
      </c>
      <c r="J159" s="1">
        <v>2258.0970000000002</v>
      </c>
      <c r="K159" s="1">
        <v>753.7242</v>
      </c>
      <c r="L159" s="9" t="s">
        <v>5053</v>
      </c>
      <c r="M159" s="2">
        <v>4.8499999999999996</v>
      </c>
      <c r="N159" s="4">
        <v>5806.09</v>
      </c>
      <c r="O159" s="1">
        <v>-23.748739923701532</v>
      </c>
      <c r="P159" s="6">
        <v>41.5</v>
      </c>
      <c r="Q159" s="6">
        <v>25.7</v>
      </c>
      <c r="R159" s="6">
        <v>14.1</v>
      </c>
      <c r="S159" s="6">
        <v>7.6</v>
      </c>
      <c r="T159" s="5">
        <v>2.0000000000000001E-4</v>
      </c>
      <c r="U159" s="1">
        <v>-5.3699999999999998E-2</v>
      </c>
      <c r="V159" s="1">
        <v>5.8548</v>
      </c>
    </row>
    <row r="160" spans="1:22" x14ac:dyDescent="0.25">
      <c r="A160" s="1">
        <v>0.99529999999999996</v>
      </c>
      <c r="B160" s="9" t="s">
        <v>5054</v>
      </c>
      <c r="C160" s="2">
        <v>3975</v>
      </c>
      <c r="D160" s="3" t="s">
        <v>384</v>
      </c>
      <c r="E160" s="9" t="s">
        <v>294</v>
      </c>
      <c r="F160" s="9" t="s">
        <v>295</v>
      </c>
      <c r="G160" s="1">
        <v>1792.8887</v>
      </c>
      <c r="H160" s="2">
        <v>593</v>
      </c>
      <c r="I160" s="2">
        <v>3</v>
      </c>
      <c r="J160" s="1">
        <v>1792.8394000000001</v>
      </c>
      <c r="K160" s="1">
        <v>598.63679999999999</v>
      </c>
      <c r="L160" s="9" t="s">
        <v>296</v>
      </c>
      <c r="M160" s="2">
        <v>8.3800000000000008</v>
      </c>
      <c r="N160" s="4">
        <v>5806.09</v>
      </c>
      <c r="O160" s="1">
        <v>-27.451258147399777</v>
      </c>
      <c r="P160" s="6">
        <v>34.299999999999997</v>
      </c>
      <c r="Q160" s="6">
        <v>25.3</v>
      </c>
      <c r="R160" s="6">
        <v>11.2</v>
      </c>
      <c r="S160" s="6">
        <v>8.8000000000000007</v>
      </c>
      <c r="T160" s="5">
        <v>8.0000000000000002E-3</v>
      </c>
      <c r="U160" s="1">
        <v>-4.9299999999999997E-2</v>
      </c>
      <c r="V160" s="1">
        <v>4.3337000000000003</v>
      </c>
    </row>
    <row r="161" spans="1:22" x14ac:dyDescent="0.25">
      <c r="A161" s="1">
        <v>0.99409999999999998</v>
      </c>
      <c r="B161" s="9" t="s">
        <v>5055</v>
      </c>
      <c r="C161" s="2">
        <v>3985</v>
      </c>
      <c r="D161" s="3" t="s">
        <v>472</v>
      </c>
      <c r="E161" s="9" t="s">
        <v>299</v>
      </c>
      <c r="F161" s="9" t="s">
        <v>300</v>
      </c>
      <c r="G161" s="1">
        <v>1122.5847000000001</v>
      </c>
      <c r="H161" s="2">
        <v>150</v>
      </c>
      <c r="I161" s="2">
        <v>2</v>
      </c>
      <c r="J161" s="1">
        <v>1122.5219</v>
      </c>
      <c r="K161" s="1">
        <v>562.29960000000005</v>
      </c>
      <c r="L161" s="9" t="s">
        <v>91</v>
      </c>
      <c r="M161" s="2">
        <v>8.35</v>
      </c>
      <c r="N161" s="4">
        <v>5828.04</v>
      </c>
      <c r="O161" s="1">
        <v>-55.842116907072302</v>
      </c>
      <c r="P161" s="6">
        <v>50.5</v>
      </c>
      <c r="Q161" s="6">
        <v>36.799999999999997</v>
      </c>
      <c r="R161" s="6">
        <v>10.3</v>
      </c>
      <c r="S161" s="6">
        <v>12.3</v>
      </c>
      <c r="T161" s="5">
        <v>2.4E-2</v>
      </c>
      <c r="U161" s="1">
        <v>-6.2799999999999995E-2</v>
      </c>
      <c r="V161" s="1">
        <v>4.0445000000000002</v>
      </c>
    </row>
    <row r="162" spans="1:22" x14ac:dyDescent="0.25">
      <c r="A162" s="1">
        <v>0.99980000000000002</v>
      </c>
      <c r="B162" s="9" t="s">
        <v>5056</v>
      </c>
      <c r="C162" s="2">
        <v>3987</v>
      </c>
      <c r="D162" s="3" t="s">
        <v>3511</v>
      </c>
      <c r="E162" s="9" t="s">
        <v>2147</v>
      </c>
      <c r="F162" s="9" t="s">
        <v>97</v>
      </c>
      <c r="G162" s="1">
        <v>3045.5477000000001</v>
      </c>
      <c r="H162" s="2">
        <v>1045</v>
      </c>
      <c r="I162" s="2">
        <v>4</v>
      </c>
      <c r="J162" s="1">
        <v>3045.4690999999998</v>
      </c>
      <c r="K162" s="1">
        <v>762.39419999999996</v>
      </c>
      <c r="L162" s="9" t="s">
        <v>98</v>
      </c>
      <c r="M162" s="2">
        <v>5.63</v>
      </c>
      <c r="N162" s="4">
        <v>5828.04</v>
      </c>
      <c r="O162" s="1">
        <v>-25.774068060853562</v>
      </c>
      <c r="P162" s="6">
        <v>46.6</v>
      </c>
      <c r="Q162" s="6">
        <v>27.5</v>
      </c>
      <c r="R162" s="6">
        <v>11.6</v>
      </c>
      <c r="S162" s="6">
        <v>6.8</v>
      </c>
      <c r="T162" s="5">
        <v>3.4E-5</v>
      </c>
      <c r="U162" s="1">
        <v>-7.8600000000000003E-2</v>
      </c>
      <c r="V162" s="1">
        <v>5.8433999999999999</v>
      </c>
    </row>
    <row r="163" spans="1:22" x14ac:dyDescent="0.25">
      <c r="A163" s="1">
        <v>0.99890000000000001</v>
      </c>
      <c r="B163" s="9" t="s">
        <v>5057</v>
      </c>
      <c r="C163" s="2">
        <v>4003</v>
      </c>
      <c r="D163" s="3" t="s">
        <v>349</v>
      </c>
      <c r="E163" s="9" t="s">
        <v>916</v>
      </c>
      <c r="F163" s="9" t="s">
        <v>165</v>
      </c>
      <c r="G163" s="1">
        <v>1833.0687</v>
      </c>
      <c r="H163" s="2">
        <v>366</v>
      </c>
      <c r="I163" s="2">
        <v>3</v>
      </c>
      <c r="J163" s="1">
        <v>1833.0070000000001</v>
      </c>
      <c r="K163" s="1">
        <v>612.03020000000004</v>
      </c>
      <c r="L163" s="9" t="s">
        <v>166</v>
      </c>
      <c r="M163" s="2">
        <v>6.17</v>
      </c>
      <c r="N163" s="4">
        <v>5857.24</v>
      </c>
      <c r="O163" s="1">
        <v>-33.604006251107648</v>
      </c>
      <c r="P163" s="6">
        <v>34.799999999999997</v>
      </c>
      <c r="Q163" s="6">
        <v>22</v>
      </c>
      <c r="R163" s="6">
        <v>14.1</v>
      </c>
      <c r="S163" s="6">
        <v>12.7</v>
      </c>
      <c r="T163" s="5">
        <v>7.3999999999999999E-4</v>
      </c>
      <c r="U163" s="1">
        <v>-6.1699999999999998E-2</v>
      </c>
      <c r="V163" s="1">
        <v>5.8220000000000001</v>
      </c>
    </row>
    <row r="164" spans="1:22" x14ac:dyDescent="0.25">
      <c r="A164" s="1">
        <v>0.99390000000000001</v>
      </c>
      <c r="B164" s="9" t="s">
        <v>5058</v>
      </c>
      <c r="C164" s="2">
        <v>4010</v>
      </c>
      <c r="D164" s="3" t="s">
        <v>149</v>
      </c>
      <c r="E164" s="9" t="s">
        <v>5059</v>
      </c>
      <c r="F164" s="9" t="s">
        <v>5060</v>
      </c>
      <c r="G164" s="1">
        <v>1514.8677</v>
      </c>
      <c r="H164" s="2">
        <v>1049</v>
      </c>
      <c r="I164" s="2">
        <v>3</v>
      </c>
      <c r="J164" s="1">
        <v>1514.8398999999999</v>
      </c>
      <c r="K164" s="1">
        <v>505.96319999999997</v>
      </c>
      <c r="L164" s="9" t="s">
        <v>5061</v>
      </c>
      <c r="M164" s="2">
        <v>9.99</v>
      </c>
      <c r="N164" s="4">
        <v>5871.84</v>
      </c>
      <c r="O164" s="1">
        <v>-18.314902480391197</v>
      </c>
      <c r="P164" s="6">
        <v>33.4</v>
      </c>
      <c r="Q164" s="6">
        <v>25.4</v>
      </c>
      <c r="R164" s="6">
        <v>9.3000000000000007</v>
      </c>
      <c r="S164" s="6">
        <v>9.3000000000000007</v>
      </c>
      <c r="T164" s="5">
        <v>3.4000000000000002E-2</v>
      </c>
      <c r="U164" s="1">
        <v>-2.7799999999999998E-2</v>
      </c>
      <c r="V164" s="1">
        <v>3.6833999999999998</v>
      </c>
    </row>
    <row r="165" spans="1:22" x14ac:dyDescent="0.25">
      <c r="A165" s="1">
        <v>0.99839999999999995</v>
      </c>
      <c r="B165" s="9" t="s">
        <v>5062</v>
      </c>
      <c r="C165" s="2">
        <v>4030</v>
      </c>
      <c r="D165" s="3" t="s">
        <v>33</v>
      </c>
      <c r="E165" s="9" t="s">
        <v>5063</v>
      </c>
      <c r="F165" s="9" t="s">
        <v>4952</v>
      </c>
      <c r="G165" s="1">
        <v>1048.5377000000001</v>
      </c>
      <c r="H165" s="2">
        <v>41</v>
      </c>
      <c r="I165" s="2">
        <v>2</v>
      </c>
      <c r="J165" s="1">
        <v>1048.4951000000001</v>
      </c>
      <c r="K165" s="1">
        <v>525.27610000000004</v>
      </c>
      <c r="L165" s="9" t="s">
        <v>4953</v>
      </c>
      <c r="M165" s="2">
        <v>6.02</v>
      </c>
      <c r="N165" s="4">
        <v>5908.45</v>
      </c>
      <c r="O165" s="1">
        <v>-40.550103079123531</v>
      </c>
      <c r="P165" s="6">
        <v>42.9</v>
      </c>
      <c r="Q165" s="6">
        <v>25.8</v>
      </c>
      <c r="R165" s="6">
        <v>10.4</v>
      </c>
      <c r="S165" s="6">
        <v>11.7</v>
      </c>
      <c r="T165" s="5">
        <v>5.5999999999999999E-3</v>
      </c>
      <c r="U165" s="1">
        <v>-4.2599999999999999E-2</v>
      </c>
      <c r="V165" s="1">
        <v>5.5879000000000003</v>
      </c>
    </row>
    <row r="166" spans="1:22" x14ac:dyDescent="0.25">
      <c r="A166" s="1">
        <v>0.99580000000000002</v>
      </c>
      <c r="B166" s="9" t="s">
        <v>5064</v>
      </c>
      <c r="C166" s="2">
        <v>4033</v>
      </c>
      <c r="D166" s="3" t="s">
        <v>321</v>
      </c>
      <c r="E166" s="9" t="s">
        <v>322</v>
      </c>
      <c r="F166" s="9" t="s">
        <v>323</v>
      </c>
      <c r="G166" s="1">
        <v>1582.9367</v>
      </c>
      <c r="H166" s="2">
        <v>152</v>
      </c>
      <c r="I166" s="2">
        <v>3</v>
      </c>
      <c r="J166" s="1">
        <v>1582.8824</v>
      </c>
      <c r="K166" s="1">
        <v>528.65279999999996</v>
      </c>
      <c r="L166" s="9" t="s">
        <v>324</v>
      </c>
      <c r="M166" s="2">
        <v>8.5</v>
      </c>
      <c r="N166" s="4">
        <v>5915.8</v>
      </c>
      <c r="O166" s="1">
        <v>-34.237972446187747</v>
      </c>
      <c r="P166" s="6">
        <v>35.700000000000003</v>
      </c>
      <c r="Q166" s="6">
        <v>26.3</v>
      </c>
      <c r="R166" s="6">
        <v>11.9</v>
      </c>
      <c r="S166" s="6">
        <v>11.4</v>
      </c>
      <c r="T166" s="5">
        <v>6.6E-3</v>
      </c>
      <c r="U166" s="1">
        <v>-5.4300000000000001E-2</v>
      </c>
      <c r="V166" s="1">
        <v>4.4455</v>
      </c>
    </row>
    <row r="167" spans="1:22" x14ac:dyDescent="0.25">
      <c r="A167" s="1">
        <v>0.95889999999999997</v>
      </c>
      <c r="B167" s="9" t="s">
        <v>5065</v>
      </c>
      <c r="C167" s="2">
        <v>4039</v>
      </c>
      <c r="D167" s="3" t="s">
        <v>154</v>
      </c>
      <c r="E167" s="9" t="s">
        <v>5066</v>
      </c>
      <c r="F167" s="9" t="s">
        <v>222</v>
      </c>
      <c r="G167" s="1">
        <v>1186.6567</v>
      </c>
      <c r="H167" s="2">
        <v>1250</v>
      </c>
      <c r="I167" s="2">
        <v>2</v>
      </c>
      <c r="J167" s="1">
        <v>1186.5806</v>
      </c>
      <c r="K167" s="1">
        <v>594.3356</v>
      </c>
      <c r="L167" s="9" t="s">
        <v>223</v>
      </c>
      <c r="M167" s="2">
        <v>11</v>
      </c>
      <c r="N167" s="4">
        <v>5929.38</v>
      </c>
      <c r="O167" s="1">
        <v>-64.021068231484037</v>
      </c>
      <c r="P167" s="6">
        <v>36.6</v>
      </c>
      <c r="Q167" s="6">
        <v>29.3</v>
      </c>
      <c r="R167" s="6">
        <v>11.3</v>
      </c>
      <c r="S167" s="6">
        <v>11.6</v>
      </c>
      <c r="T167" s="5">
        <v>5.8000000000000003E-2</v>
      </c>
      <c r="U167" s="1">
        <v>-7.6100000000000001E-2</v>
      </c>
      <c r="V167" s="1">
        <v>2.9823</v>
      </c>
    </row>
    <row r="168" spans="1:22" x14ac:dyDescent="0.25">
      <c r="A168" s="1">
        <v>0.97130000000000005</v>
      </c>
      <c r="B168" s="9" t="s">
        <v>5067</v>
      </c>
      <c r="C168" s="2">
        <v>4090</v>
      </c>
      <c r="D168" s="3" t="s">
        <v>384</v>
      </c>
      <c r="E168" s="9" t="s">
        <v>5068</v>
      </c>
      <c r="F168" s="9" t="s">
        <v>267</v>
      </c>
      <c r="G168" s="1">
        <v>1669.7607</v>
      </c>
      <c r="H168" s="2">
        <v>1051</v>
      </c>
      <c r="I168" s="2">
        <v>3</v>
      </c>
      <c r="J168" s="1">
        <v>1669.7235000000001</v>
      </c>
      <c r="K168" s="1">
        <v>557.5942</v>
      </c>
      <c r="L168" s="9" t="s">
        <v>268</v>
      </c>
      <c r="M168" s="2">
        <v>8.27</v>
      </c>
      <c r="N168" s="4">
        <v>6018.1</v>
      </c>
      <c r="O168" s="1">
        <v>-22.238394875699925</v>
      </c>
      <c r="P168" s="6">
        <v>32.299999999999997</v>
      </c>
      <c r="Q168" s="6">
        <v>26.9</v>
      </c>
      <c r="R168" s="6">
        <v>10.1</v>
      </c>
      <c r="S168" s="6">
        <v>11.6</v>
      </c>
      <c r="T168" s="5">
        <v>6.2E-2</v>
      </c>
      <c r="U168" s="1">
        <v>-3.7199999999999997E-2</v>
      </c>
      <c r="V168" s="1">
        <v>2.6698</v>
      </c>
    </row>
    <row r="169" spans="1:22" x14ac:dyDescent="0.25">
      <c r="A169" s="1">
        <v>0.9859</v>
      </c>
      <c r="B169" s="9" t="s">
        <v>5069</v>
      </c>
      <c r="C169" s="2">
        <v>4094</v>
      </c>
      <c r="D169" s="3" t="s">
        <v>384</v>
      </c>
      <c r="E169" s="9" t="s">
        <v>5070</v>
      </c>
      <c r="F169" s="9" t="s">
        <v>2595</v>
      </c>
      <c r="G169" s="1">
        <v>1588.9627</v>
      </c>
      <c r="H169" s="2">
        <v>154</v>
      </c>
      <c r="I169" s="2">
        <v>3</v>
      </c>
      <c r="J169" s="1">
        <v>1588.9133999999999</v>
      </c>
      <c r="K169" s="1">
        <v>530.66150000000005</v>
      </c>
      <c r="L169" s="9" t="s">
        <v>2596</v>
      </c>
      <c r="M169" s="2">
        <v>9.6999999999999993</v>
      </c>
      <c r="N169" s="4">
        <v>6025.4</v>
      </c>
      <c r="O169" s="1">
        <v>-30.96763818994468</v>
      </c>
      <c r="P169" s="6">
        <v>33.5</v>
      </c>
      <c r="Q169" s="6">
        <v>25</v>
      </c>
      <c r="R169" s="6">
        <v>7.2</v>
      </c>
      <c r="S169" s="6">
        <v>11.1</v>
      </c>
      <c r="T169" s="5">
        <v>4.8000000000000001E-2</v>
      </c>
      <c r="U169" s="1">
        <v>-4.9299999999999997E-2</v>
      </c>
      <c r="V169" s="1">
        <v>3.2917999999999998</v>
      </c>
    </row>
    <row r="170" spans="1:22" x14ac:dyDescent="0.25">
      <c r="A170" s="1">
        <v>0.99680000000000002</v>
      </c>
      <c r="B170" s="9" t="s">
        <v>5071</v>
      </c>
      <c r="C170" s="2">
        <v>4106</v>
      </c>
      <c r="D170" s="3" t="s">
        <v>214</v>
      </c>
      <c r="E170" s="9" t="s">
        <v>371</v>
      </c>
      <c r="F170" s="9" t="s">
        <v>282</v>
      </c>
      <c r="G170" s="1">
        <v>1299.6677</v>
      </c>
      <c r="H170" s="2">
        <v>1052</v>
      </c>
      <c r="I170" s="2">
        <v>2</v>
      </c>
      <c r="J170" s="1">
        <v>1299.6387999999999</v>
      </c>
      <c r="K170" s="1">
        <v>650.84109999999998</v>
      </c>
      <c r="L170" s="9" t="s">
        <v>283</v>
      </c>
      <c r="M170" s="2">
        <v>8.23</v>
      </c>
      <c r="N170" s="4">
        <v>6047.3</v>
      </c>
      <c r="O170" s="1">
        <v>-22.202039791279315</v>
      </c>
      <c r="P170" s="6">
        <v>53.6</v>
      </c>
      <c r="Q170" s="6">
        <v>39.1</v>
      </c>
      <c r="R170" s="6">
        <v>8.4</v>
      </c>
      <c r="S170" s="6">
        <v>11.5</v>
      </c>
      <c r="T170" s="5">
        <v>1.4E-3</v>
      </c>
      <c r="U170" s="1">
        <v>-2.8899999999999999E-2</v>
      </c>
      <c r="V170" s="1">
        <v>4.8752000000000004</v>
      </c>
    </row>
    <row r="171" spans="1:22" x14ac:dyDescent="0.25">
      <c r="A171" s="1">
        <v>0.97989999999999999</v>
      </c>
      <c r="B171" s="9" t="s">
        <v>5072</v>
      </c>
      <c r="C171" s="2">
        <v>4118</v>
      </c>
      <c r="D171" s="3" t="s">
        <v>501</v>
      </c>
      <c r="E171" s="9" t="s">
        <v>5073</v>
      </c>
      <c r="F171" s="9" t="s">
        <v>102</v>
      </c>
      <c r="G171" s="1">
        <v>1306.6226999999999</v>
      </c>
      <c r="H171" s="2">
        <v>372</v>
      </c>
      <c r="I171" s="2">
        <v>2</v>
      </c>
      <c r="J171" s="1">
        <v>1306.6023</v>
      </c>
      <c r="K171" s="1">
        <v>654.31859999999995</v>
      </c>
      <c r="L171" s="9" t="s">
        <v>103</v>
      </c>
      <c r="M171" s="2">
        <v>4.75</v>
      </c>
      <c r="N171" s="4">
        <v>6069.2</v>
      </c>
      <c r="O171" s="1">
        <v>-15.588736129463538</v>
      </c>
      <c r="P171" s="6">
        <v>26.1</v>
      </c>
      <c r="Q171" s="6">
        <v>19.100000000000001</v>
      </c>
      <c r="R171" s="6">
        <v>11.3</v>
      </c>
      <c r="S171" s="6">
        <v>7.7</v>
      </c>
      <c r="T171" s="5">
        <v>0.04</v>
      </c>
      <c r="U171" s="1">
        <v>-2.0400000000000001E-2</v>
      </c>
      <c r="V171" s="1">
        <v>3.3856000000000002</v>
      </c>
    </row>
    <row r="172" spans="1:22" x14ac:dyDescent="0.25">
      <c r="A172" s="1">
        <v>0.95779999999999998</v>
      </c>
      <c r="B172" s="9" t="s">
        <v>5074</v>
      </c>
      <c r="C172" s="2">
        <v>4125</v>
      </c>
      <c r="D172" s="3" t="s">
        <v>331</v>
      </c>
      <c r="E172" s="9" t="s">
        <v>5075</v>
      </c>
      <c r="F172" s="9" t="s">
        <v>5076</v>
      </c>
      <c r="G172" s="1">
        <v>1534.8067000000001</v>
      </c>
      <c r="H172" s="2">
        <v>155</v>
      </c>
      <c r="I172" s="2">
        <v>2</v>
      </c>
      <c r="J172" s="1">
        <v>1534.7755</v>
      </c>
      <c r="K172" s="1">
        <v>768.41060000000004</v>
      </c>
      <c r="L172" s="9" t="s">
        <v>525</v>
      </c>
      <c r="M172" s="2">
        <v>6.25</v>
      </c>
      <c r="N172" s="4">
        <v>6083.8</v>
      </c>
      <c r="O172" s="1">
        <v>-20.301646021020531</v>
      </c>
      <c r="P172" s="6">
        <v>34.700000000000003</v>
      </c>
      <c r="Q172" s="6">
        <v>34.700000000000003</v>
      </c>
      <c r="R172" s="6">
        <v>7.4</v>
      </c>
      <c r="S172" s="6">
        <v>7</v>
      </c>
      <c r="T172" s="5">
        <v>0.01</v>
      </c>
      <c r="U172" s="1">
        <v>-3.1199999999999999E-2</v>
      </c>
      <c r="V172" s="1">
        <v>2.5270000000000001</v>
      </c>
    </row>
    <row r="173" spans="1:22" x14ac:dyDescent="0.25">
      <c r="A173" s="1">
        <v>0.998</v>
      </c>
      <c r="B173" s="9" t="s">
        <v>5077</v>
      </c>
      <c r="C173" s="2">
        <v>4126</v>
      </c>
      <c r="D173" s="3" t="s">
        <v>3139</v>
      </c>
      <c r="E173" s="9" t="s">
        <v>353</v>
      </c>
      <c r="F173" s="9" t="s">
        <v>354</v>
      </c>
      <c r="G173" s="1">
        <v>1602.9786999999999</v>
      </c>
      <c r="H173" s="2">
        <v>601</v>
      </c>
      <c r="I173" s="2">
        <v>3</v>
      </c>
      <c r="J173" s="1">
        <v>1602.9331</v>
      </c>
      <c r="K173" s="1">
        <v>535.33349999999996</v>
      </c>
      <c r="L173" s="9" t="s">
        <v>355</v>
      </c>
      <c r="M173" s="2">
        <v>9.6999999999999993</v>
      </c>
      <c r="N173" s="4">
        <v>6083.8</v>
      </c>
      <c r="O173" s="1">
        <v>-28.39351544411101</v>
      </c>
      <c r="P173" s="6">
        <v>37.200000000000003</v>
      </c>
      <c r="Q173" s="6">
        <v>27.8</v>
      </c>
      <c r="R173" s="6">
        <v>8.8000000000000007</v>
      </c>
      <c r="S173" s="6">
        <v>11.2</v>
      </c>
      <c r="T173" s="5">
        <v>4.5999999999999999E-3</v>
      </c>
      <c r="U173" s="1">
        <v>-4.5600000000000002E-2</v>
      </c>
      <c r="V173" s="1">
        <v>4.5869</v>
      </c>
    </row>
    <row r="174" spans="1:22" x14ac:dyDescent="0.25">
      <c r="A174" s="1">
        <v>0.99819999999999998</v>
      </c>
      <c r="B174" s="9" t="s">
        <v>5078</v>
      </c>
      <c r="C174" s="2">
        <v>4155</v>
      </c>
      <c r="D174" s="3" t="s">
        <v>326</v>
      </c>
      <c r="E174" s="9" t="s">
        <v>382</v>
      </c>
      <c r="F174" s="9" t="s">
        <v>335</v>
      </c>
      <c r="G174" s="1">
        <v>1336.6767</v>
      </c>
      <c r="H174" s="2">
        <v>605</v>
      </c>
      <c r="I174" s="2">
        <v>2</v>
      </c>
      <c r="J174" s="1">
        <v>1336.645</v>
      </c>
      <c r="K174" s="1">
        <v>669.34559999999999</v>
      </c>
      <c r="L174" s="9" t="s">
        <v>336</v>
      </c>
      <c r="M174" s="2">
        <v>5.8</v>
      </c>
      <c r="N174" s="4">
        <v>6134.91</v>
      </c>
      <c r="O174" s="1">
        <v>-23.6798449112088</v>
      </c>
      <c r="P174" s="6">
        <v>44.2</v>
      </c>
      <c r="Q174" s="6">
        <v>28.5</v>
      </c>
      <c r="R174" s="6">
        <v>11.3</v>
      </c>
      <c r="S174" s="6">
        <v>13.2</v>
      </c>
      <c r="T174" s="5">
        <v>6.9999999999999999E-4</v>
      </c>
      <c r="U174" s="1">
        <v>-3.1699999999999999E-2</v>
      </c>
      <c r="V174" s="1">
        <v>5.8727</v>
      </c>
    </row>
    <row r="175" spans="1:22" x14ac:dyDescent="0.25">
      <c r="A175" s="1">
        <v>0.99929999999999997</v>
      </c>
      <c r="B175" s="9" t="s">
        <v>5079</v>
      </c>
      <c r="C175" s="2">
        <v>4158</v>
      </c>
      <c r="D175" s="3" t="s">
        <v>1977</v>
      </c>
      <c r="E175" s="9" t="s">
        <v>2197</v>
      </c>
      <c r="F175" s="9" t="s">
        <v>1122</v>
      </c>
      <c r="G175" s="1">
        <v>2345.2597000000001</v>
      </c>
      <c r="H175" s="2">
        <v>606</v>
      </c>
      <c r="I175" s="2">
        <v>3</v>
      </c>
      <c r="J175" s="1">
        <v>2345.2161999999998</v>
      </c>
      <c r="K175" s="1">
        <v>782.76049999999998</v>
      </c>
      <c r="L175" s="9" t="s">
        <v>456</v>
      </c>
      <c r="M175" s="2">
        <v>8.2200000000000006</v>
      </c>
      <c r="N175" s="4">
        <v>6142.2</v>
      </c>
      <c r="O175" s="1">
        <v>-18.524184600525956</v>
      </c>
      <c r="P175" s="6">
        <v>36.299999999999997</v>
      </c>
      <c r="Q175" s="6">
        <v>25.9</v>
      </c>
      <c r="R175" s="6">
        <v>10.6</v>
      </c>
      <c r="S175" s="6">
        <v>13.1</v>
      </c>
      <c r="T175" s="5">
        <v>1.1000000000000001E-3</v>
      </c>
      <c r="U175" s="1">
        <v>-4.3499999999999997E-2</v>
      </c>
      <c r="V175" s="1">
        <v>4.6402999999999999</v>
      </c>
    </row>
    <row r="176" spans="1:22" x14ac:dyDescent="0.25">
      <c r="A176" s="1">
        <v>0.97560000000000002</v>
      </c>
      <c r="B176" s="9" t="s">
        <v>5080</v>
      </c>
      <c r="C176" s="2">
        <v>4159</v>
      </c>
      <c r="D176" s="3" t="s">
        <v>361</v>
      </c>
      <c r="E176" s="9" t="s">
        <v>5081</v>
      </c>
      <c r="F176" s="9" t="s">
        <v>27</v>
      </c>
      <c r="G176" s="1">
        <v>1490.7437</v>
      </c>
      <c r="H176" s="2">
        <v>157</v>
      </c>
      <c r="I176" s="2">
        <v>2</v>
      </c>
      <c r="J176" s="1">
        <v>1490.6911</v>
      </c>
      <c r="K176" s="1">
        <v>746.37909999999999</v>
      </c>
      <c r="L176" s="9" t="s">
        <v>28</v>
      </c>
      <c r="M176" s="2">
        <v>6.22</v>
      </c>
      <c r="N176" s="4">
        <v>6142.2</v>
      </c>
      <c r="O176" s="1">
        <v>-35.236785167215963</v>
      </c>
      <c r="P176" s="6">
        <v>31.5</v>
      </c>
      <c r="Q176" s="6">
        <v>23.6</v>
      </c>
      <c r="R176" s="6">
        <v>11.3</v>
      </c>
      <c r="S176" s="6">
        <v>9.6</v>
      </c>
      <c r="T176" s="5">
        <v>5.2999999999999999E-2</v>
      </c>
      <c r="U176" s="1">
        <v>-5.2600000000000001E-2</v>
      </c>
      <c r="V176" s="1">
        <v>2.9150999999999998</v>
      </c>
    </row>
    <row r="177" spans="1:22" x14ac:dyDescent="0.25">
      <c r="A177" s="1">
        <v>0.99990000000000001</v>
      </c>
      <c r="B177" s="9" t="s">
        <v>5082</v>
      </c>
      <c r="C177" s="2">
        <v>4161</v>
      </c>
      <c r="D177" s="3" t="s">
        <v>56</v>
      </c>
      <c r="E177" s="9" t="s">
        <v>353</v>
      </c>
      <c r="F177" s="9" t="s">
        <v>354</v>
      </c>
      <c r="G177" s="1">
        <v>1602.9786999999999</v>
      </c>
      <c r="H177" s="2">
        <v>607</v>
      </c>
      <c r="I177" s="2">
        <v>3</v>
      </c>
      <c r="J177" s="1">
        <v>1602.9468999999999</v>
      </c>
      <c r="K177" s="1">
        <v>535.33349999999996</v>
      </c>
      <c r="L177" s="9" t="s">
        <v>355</v>
      </c>
      <c r="M177" s="2">
        <v>9.6999999999999993</v>
      </c>
      <c r="N177" s="4">
        <v>6149.56</v>
      </c>
      <c r="O177" s="1">
        <v>-19.800741033393205</v>
      </c>
      <c r="P177" s="6">
        <v>42.9</v>
      </c>
      <c r="Q177" s="6">
        <v>28</v>
      </c>
      <c r="R177" s="6">
        <v>9.1999999999999993</v>
      </c>
      <c r="S177" s="6">
        <v>11.2</v>
      </c>
      <c r="T177" s="5">
        <v>1.2E-4</v>
      </c>
      <c r="U177" s="1">
        <v>-3.1800000000000002E-2</v>
      </c>
      <c r="V177" s="1">
        <v>7.1344000000000003</v>
      </c>
    </row>
    <row r="178" spans="1:22" x14ac:dyDescent="0.25">
      <c r="A178" s="1">
        <v>0.97489999999999999</v>
      </c>
      <c r="B178" s="9" t="s">
        <v>5083</v>
      </c>
      <c r="C178" s="2">
        <v>4167</v>
      </c>
      <c r="D178" s="3" t="s">
        <v>621</v>
      </c>
      <c r="E178" s="9" t="s">
        <v>5084</v>
      </c>
      <c r="F178" s="9" t="s">
        <v>97</v>
      </c>
      <c r="G178" s="1">
        <v>1203.6316999999999</v>
      </c>
      <c r="H178" s="2">
        <v>1055</v>
      </c>
      <c r="I178" s="2">
        <v>2</v>
      </c>
      <c r="J178" s="1">
        <v>1203.597</v>
      </c>
      <c r="K178" s="1">
        <v>602.82309999999995</v>
      </c>
      <c r="L178" s="9" t="s">
        <v>98</v>
      </c>
      <c r="M178" s="2">
        <v>8.75</v>
      </c>
      <c r="N178" s="4">
        <v>6156.85</v>
      </c>
      <c r="O178" s="1">
        <v>-28.781246106859545</v>
      </c>
      <c r="P178" s="6">
        <v>35.700000000000003</v>
      </c>
      <c r="Q178" s="6">
        <v>28.4</v>
      </c>
      <c r="R178" s="6">
        <v>11.5</v>
      </c>
      <c r="S178" s="6">
        <v>8.6999999999999993</v>
      </c>
      <c r="T178" s="5">
        <v>4.2999999999999997E-2</v>
      </c>
      <c r="U178" s="1">
        <v>-3.4700000000000002E-2</v>
      </c>
      <c r="V178" s="1">
        <v>3.0266999999999999</v>
      </c>
    </row>
    <row r="179" spans="1:22" x14ac:dyDescent="0.25">
      <c r="A179" s="1">
        <v>0.99980000000000002</v>
      </c>
      <c r="B179" s="9" t="s">
        <v>5085</v>
      </c>
      <c r="C179" s="2">
        <v>4170</v>
      </c>
      <c r="D179" s="3" t="s">
        <v>2699</v>
      </c>
      <c r="E179" s="9" t="s">
        <v>5086</v>
      </c>
      <c r="F179" s="9" t="s">
        <v>4776</v>
      </c>
      <c r="G179" s="1">
        <v>2621.3047000000001</v>
      </c>
      <c r="H179" s="2">
        <v>608</v>
      </c>
      <c r="I179" s="2">
        <v>3</v>
      </c>
      <c r="J179" s="1">
        <v>2621.2368999999999</v>
      </c>
      <c r="K179" s="1">
        <v>874.77549999999997</v>
      </c>
      <c r="L179" s="9" t="s">
        <v>4777</v>
      </c>
      <c r="M179" s="2">
        <v>6.25</v>
      </c>
      <c r="N179" s="4">
        <v>6164.16</v>
      </c>
      <c r="O179" s="1">
        <v>-25.835200002743559</v>
      </c>
      <c r="P179" s="6">
        <v>42.3</v>
      </c>
      <c r="Q179" s="6">
        <v>23.4</v>
      </c>
      <c r="R179" s="6">
        <v>14.1</v>
      </c>
      <c r="S179" s="6">
        <v>10.7</v>
      </c>
      <c r="T179" s="5">
        <v>2.3E-5</v>
      </c>
      <c r="U179" s="1">
        <v>-6.7799999999999999E-2</v>
      </c>
      <c r="V179" s="1">
        <v>6.5171999999999999</v>
      </c>
    </row>
    <row r="180" spans="1:22" x14ac:dyDescent="0.25">
      <c r="A180" s="1">
        <v>0.99839999999999995</v>
      </c>
      <c r="B180" s="9" t="s">
        <v>5087</v>
      </c>
      <c r="C180" s="2">
        <v>4173</v>
      </c>
      <c r="D180" s="3" t="s">
        <v>2463</v>
      </c>
      <c r="E180" s="9" t="s">
        <v>1440</v>
      </c>
      <c r="F180" s="9" t="s">
        <v>97</v>
      </c>
      <c r="G180" s="1">
        <v>1920.9037000000001</v>
      </c>
      <c r="H180" s="2">
        <v>1395</v>
      </c>
      <c r="I180" s="2">
        <v>3</v>
      </c>
      <c r="J180" s="1">
        <v>1920.8598</v>
      </c>
      <c r="K180" s="1">
        <v>641.30849999999998</v>
      </c>
      <c r="L180" s="9" t="s">
        <v>98</v>
      </c>
      <c r="M180" s="2">
        <v>5.83</v>
      </c>
      <c r="N180" s="4">
        <v>6171.51</v>
      </c>
      <c r="O180" s="1">
        <v>-22.817931359608259</v>
      </c>
      <c r="P180" s="6">
        <v>36.299999999999997</v>
      </c>
      <c r="Q180" s="6">
        <v>24.6</v>
      </c>
      <c r="R180" s="6">
        <v>11.9</v>
      </c>
      <c r="S180" s="6">
        <v>9.8000000000000007</v>
      </c>
      <c r="T180" s="5">
        <v>6.9999999999999999E-4</v>
      </c>
      <c r="U180" s="1">
        <v>-4.3900000000000002E-2</v>
      </c>
      <c r="V180" s="1">
        <v>5.2872000000000003</v>
      </c>
    </row>
    <row r="181" spans="1:22" x14ac:dyDescent="0.25">
      <c r="A181" s="1">
        <v>0.99919999999999998</v>
      </c>
      <c r="B181" s="9" t="s">
        <v>5088</v>
      </c>
      <c r="C181" s="2">
        <v>4177</v>
      </c>
      <c r="D181" s="3" t="s">
        <v>105</v>
      </c>
      <c r="E181" s="9" t="s">
        <v>1422</v>
      </c>
      <c r="F181" s="9" t="s">
        <v>340</v>
      </c>
      <c r="G181" s="1">
        <v>1774.9537</v>
      </c>
      <c r="H181" s="2">
        <v>609</v>
      </c>
      <c r="I181" s="2">
        <v>2</v>
      </c>
      <c r="J181" s="1">
        <v>1774.9127000000001</v>
      </c>
      <c r="K181" s="1">
        <v>888.48410000000001</v>
      </c>
      <c r="L181" s="9" t="s">
        <v>341</v>
      </c>
      <c r="M181" s="2">
        <v>6.24</v>
      </c>
      <c r="N181" s="4">
        <v>6178.81</v>
      </c>
      <c r="O181" s="1">
        <v>-23.073007159047641</v>
      </c>
      <c r="P181" s="6">
        <v>46</v>
      </c>
      <c r="Q181" s="6">
        <v>30.5</v>
      </c>
      <c r="R181" s="6">
        <v>11.9</v>
      </c>
      <c r="S181" s="6">
        <v>11.2</v>
      </c>
      <c r="T181" s="5">
        <v>1.9000000000000001E-5</v>
      </c>
      <c r="U181" s="1">
        <v>-4.1000000000000002E-2</v>
      </c>
      <c r="V181" s="1">
        <v>6.4896000000000003</v>
      </c>
    </row>
    <row r="182" spans="1:22" x14ac:dyDescent="0.25">
      <c r="A182" s="1">
        <v>0.999</v>
      </c>
      <c r="B182" s="9" t="s">
        <v>5089</v>
      </c>
      <c r="C182" s="2">
        <v>4182</v>
      </c>
      <c r="D182" s="3" t="s">
        <v>5090</v>
      </c>
      <c r="E182" s="9" t="s">
        <v>410</v>
      </c>
      <c r="F182" s="9" t="s">
        <v>411</v>
      </c>
      <c r="G182" s="1">
        <v>2150.0286999999998</v>
      </c>
      <c r="H182" s="2">
        <v>1057</v>
      </c>
      <c r="I182" s="2">
        <v>2</v>
      </c>
      <c r="J182" s="1">
        <v>2149.9848000000002</v>
      </c>
      <c r="K182" s="1">
        <v>1076.0216</v>
      </c>
      <c r="L182" s="9" t="s">
        <v>412</v>
      </c>
      <c r="M182" s="2">
        <v>5.95</v>
      </c>
      <c r="N182" s="4">
        <v>6186.15</v>
      </c>
      <c r="O182" s="1">
        <v>-20.399218751742527</v>
      </c>
      <c r="P182" s="6">
        <v>69.7</v>
      </c>
      <c r="Q182" s="6">
        <v>33.799999999999997</v>
      </c>
      <c r="R182" s="6">
        <v>12.2</v>
      </c>
      <c r="S182" s="6">
        <v>11.4</v>
      </c>
      <c r="T182" s="5">
        <v>7.6999999999999995E-9</v>
      </c>
      <c r="U182" s="1">
        <v>-4.3900000000000002E-2</v>
      </c>
      <c r="V182" s="1">
        <v>8.9266000000000005</v>
      </c>
    </row>
    <row r="183" spans="1:22" x14ac:dyDescent="0.25">
      <c r="A183" s="1">
        <v>0.99439999999999995</v>
      </c>
      <c r="B183" s="9" t="s">
        <v>5091</v>
      </c>
      <c r="C183" s="2">
        <v>4185</v>
      </c>
      <c r="D183" s="3" t="s">
        <v>1544</v>
      </c>
      <c r="E183" s="9" t="s">
        <v>407</v>
      </c>
      <c r="F183" s="9" t="s">
        <v>290</v>
      </c>
      <c r="G183" s="1">
        <v>1645.8597</v>
      </c>
      <c r="H183" s="2">
        <v>610</v>
      </c>
      <c r="I183" s="2">
        <v>2</v>
      </c>
      <c r="J183" s="1">
        <v>1645.8237999999999</v>
      </c>
      <c r="K183" s="1">
        <v>823.93709999999999</v>
      </c>
      <c r="L183" s="9" t="s">
        <v>291</v>
      </c>
      <c r="M183" s="2">
        <v>4.8499999999999996</v>
      </c>
      <c r="N183" s="4">
        <v>6193.5</v>
      </c>
      <c r="O183" s="1">
        <v>-21.78564358857005</v>
      </c>
      <c r="P183" s="6">
        <v>54.4</v>
      </c>
      <c r="Q183" s="6">
        <v>40.4</v>
      </c>
      <c r="R183" s="6">
        <v>9.1999999999999993</v>
      </c>
      <c r="S183" s="6">
        <v>10.8</v>
      </c>
      <c r="T183" s="5">
        <v>1.1000000000000001E-3</v>
      </c>
      <c r="U183" s="1">
        <v>-3.5900000000000001E-2</v>
      </c>
      <c r="V183" s="1">
        <v>4.5651000000000002</v>
      </c>
    </row>
    <row r="184" spans="1:22" x14ac:dyDescent="0.25">
      <c r="A184" s="1">
        <v>0.99660000000000004</v>
      </c>
      <c r="B184" s="9" t="s">
        <v>5092</v>
      </c>
      <c r="C184" s="2">
        <v>4190</v>
      </c>
      <c r="D184" s="3" t="s">
        <v>331</v>
      </c>
      <c r="E184" s="9" t="s">
        <v>442</v>
      </c>
      <c r="F184" s="9" t="s">
        <v>267</v>
      </c>
      <c r="G184" s="1">
        <v>1369.7276999999999</v>
      </c>
      <c r="H184" s="2">
        <v>373</v>
      </c>
      <c r="I184" s="2">
        <v>2</v>
      </c>
      <c r="J184" s="1">
        <v>1369.6814999999999</v>
      </c>
      <c r="K184" s="1">
        <v>685.87109999999996</v>
      </c>
      <c r="L184" s="9" t="s">
        <v>268</v>
      </c>
      <c r="M184" s="2">
        <v>6.22</v>
      </c>
      <c r="N184" s="4">
        <v>6200.81</v>
      </c>
      <c r="O184" s="1">
        <v>-33.679797851228898</v>
      </c>
      <c r="P184" s="6">
        <v>39.5</v>
      </c>
      <c r="Q184" s="6">
        <v>25.1</v>
      </c>
      <c r="R184" s="6">
        <v>12.2</v>
      </c>
      <c r="S184" s="6">
        <v>10.7</v>
      </c>
      <c r="T184" s="5">
        <v>3.3E-3</v>
      </c>
      <c r="U184" s="1">
        <v>-4.6199999999999998E-2</v>
      </c>
      <c r="V184" s="1">
        <v>4.7229000000000001</v>
      </c>
    </row>
    <row r="185" spans="1:22" x14ac:dyDescent="0.25">
      <c r="A185" s="1">
        <v>0.99980000000000002</v>
      </c>
      <c r="B185" s="9" t="s">
        <v>5093</v>
      </c>
      <c r="C185" s="2">
        <v>4195</v>
      </c>
      <c r="D185" s="3" t="s">
        <v>1405</v>
      </c>
      <c r="E185" s="9" t="s">
        <v>5094</v>
      </c>
      <c r="F185" s="9" t="s">
        <v>647</v>
      </c>
      <c r="G185" s="1">
        <v>2523.3726999999999</v>
      </c>
      <c r="H185" s="2">
        <v>611</v>
      </c>
      <c r="I185" s="2">
        <v>3</v>
      </c>
      <c r="J185" s="1">
        <v>2523.3274999999999</v>
      </c>
      <c r="K185" s="1">
        <v>842.13149999999996</v>
      </c>
      <c r="L185" s="9" t="s">
        <v>118</v>
      </c>
      <c r="M185" s="2">
        <v>6.27</v>
      </c>
      <c r="N185" s="4">
        <v>6208.1</v>
      </c>
      <c r="O185" s="1">
        <v>-17.891109246794198</v>
      </c>
      <c r="P185" s="6">
        <v>47.9</v>
      </c>
      <c r="Q185" s="6">
        <v>25.4</v>
      </c>
      <c r="R185" s="6">
        <v>11.7</v>
      </c>
      <c r="S185" s="6">
        <v>11.9</v>
      </c>
      <c r="T185" s="5">
        <v>5.1000000000000003E-6</v>
      </c>
      <c r="U185" s="1">
        <v>-4.5199999999999997E-2</v>
      </c>
      <c r="V185" s="1">
        <v>7.3992000000000004</v>
      </c>
    </row>
    <row r="186" spans="1:22" x14ac:dyDescent="0.25">
      <c r="A186" s="1">
        <v>0.97270000000000001</v>
      </c>
      <c r="B186" s="9" t="s">
        <v>5095</v>
      </c>
      <c r="C186" s="2">
        <v>4197</v>
      </c>
      <c r="D186" s="3" t="s">
        <v>302</v>
      </c>
      <c r="E186" s="9" t="s">
        <v>5096</v>
      </c>
      <c r="F186" s="9" t="s">
        <v>97</v>
      </c>
      <c r="G186" s="1">
        <v>1318.6587</v>
      </c>
      <c r="H186" s="2">
        <v>1397</v>
      </c>
      <c r="I186" s="2">
        <v>2</v>
      </c>
      <c r="J186" s="1">
        <v>1318.6115</v>
      </c>
      <c r="K186" s="1">
        <v>660.33659999999998</v>
      </c>
      <c r="L186" s="9" t="s">
        <v>98</v>
      </c>
      <c r="M186" s="2">
        <v>6.09</v>
      </c>
      <c r="N186" s="4">
        <v>6215.41</v>
      </c>
      <c r="O186" s="1">
        <v>-35.739348689743984</v>
      </c>
      <c r="P186" s="6">
        <v>33.700000000000003</v>
      </c>
      <c r="Q186" s="6">
        <v>25.8</v>
      </c>
      <c r="R186" s="6">
        <v>11.9</v>
      </c>
      <c r="S186" s="6">
        <v>8.5</v>
      </c>
      <c r="T186" s="5">
        <v>0.03</v>
      </c>
      <c r="U186" s="1">
        <v>-4.7199999999999999E-2</v>
      </c>
      <c r="V186" s="1">
        <v>3.2225000000000001</v>
      </c>
    </row>
    <row r="187" spans="1:22" x14ac:dyDescent="0.25">
      <c r="A187" s="1">
        <v>0.99629999999999996</v>
      </c>
      <c r="B187" s="9" t="s">
        <v>5097</v>
      </c>
      <c r="C187" s="2">
        <v>4199</v>
      </c>
      <c r="D187" s="3" t="s">
        <v>115</v>
      </c>
      <c r="E187" s="9" t="s">
        <v>403</v>
      </c>
      <c r="F187" s="9" t="s">
        <v>404</v>
      </c>
      <c r="G187" s="1">
        <v>1487.8017</v>
      </c>
      <c r="H187" s="2">
        <v>612</v>
      </c>
      <c r="I187" s="2">
        <v>2</v>
      </c>
      <c r="J187" s="1">
        <v>1487.7651000000001</v>
      </c>
      <c r="K187" s="1">
        <v>744.90809999999999</v>
      </c>
      <c r="L187" s="9" t="s">
        <v>405</v>
      </c>
      <c r="M187" s="2">
        <v>6.25</v>
      </c>
      <c r="N187" s="4">
        <v>6215.41</v>
      </c>
      <c r="O187" s="1">
        <v>-24.566788842811615</v>
      </c>
      <c r="P187" s="6">
        <v>45</v>
      </c>
      <c r="Q187" s="6">
        <v>26.4</v>
      </c>
      <c r="R187" s="6">
        <v>10.7</v>
      </c>
      <c r="S187" s="6">
        <v>10.3</v>
      </c>
      <c r="T187" s="5">
        <v>2E-3</v>
      </c>
      <c r="U187" s="1">
        <v>-3.6600000000000001E-2</v>
      </c>
      <c r="V187" s="1">
        <v>4.992</v>
      </c>
    </row>
    <row r="188" spans="1:22" x14ac:dyDescent="0.25">
      <c r="A188" s="1">
        <v>0.97440000000000004</v>
      </c>
      <c r="B188" s="9" t="s">
        <v>5098</v>
      </c>
      <c r="C188" s="2">
        <v>4209</v>
      </c>
      <c r="D188" s="3" t="s">
        <v>2463</v>
      </c>
      <c r="E188" s="9" t="s">
        <v>1440</v>
      </c>
      <c r="F188" s="9" t="s">
        <v>97</v>
      </c>
      <c r="G188" s="1">
        <v>1920.9037000000001</v>
      </c>
      <c r="H188" s="2">
        <v>1061</v>
      </c>
      <c r="I188" s="2">
        <v>3</v>
      </c>
      <c r="J188" s="1">
        <v>1920.8479</v>
      </c>
      <c r="K188" s="1">
        <v>641.30849999999998</v>
      </c>
      <c r="L188" s="9" t="s">
        <v>98</v>
      </c>
      <c r="M188" s="2">
        <v>5.83</v>
      </c>
      <c r="N188" s="4">
        <v>6237.31</v>
      </c>
      <c r="O188" s="1">
        <v>-29.003202047064718</v>
      </c>
      <c r="P188" s="6">
        <v>35.700000000000003</v>
      </c>
      <c r="Q188" s="6">
        <v>27.1</v>
      </c>
      <c r="R188" s="6">
        <v>11.5</v>
      </c>
      <c r="S188" s="6">
        <v>8.3000000000000007</v>
      </c>
      <c r="T188" s="5">
        <v>5.8999999999999997E-2</v>
      </c>
      <c r="U188" s="1">
        <v>-5.5800000000000002E-2</v>
      </c>
      <c r="V188" s="1">
        <v>2.7414000000000001</v>
      </c>
    </row>
    <row r="189" spans="1:22" x14ac:dyDescent="0.25">
      <c r="A189" s="1">
        <v>0.99760000000000004</v>
      </c>
      <c r="B189" s="9" t="s">
        <v>5099</v>
      </c>
      <c r="C189" s="2">
        <v>4210</v>
      </c>
      <c r="D189" s="3" t="s">
        <v>370</v>
      </c>
      <c r="E189" s="9" t="s">
        <v>394</v>
      </c>
      <c r="F189" s="9" t="s">
        <v>203</v>
      </c>
      <c r="G189" s="1">
        <v>1382.8207</v>
      </c>
      <c r="H189" s="2">
        <v>935</v>
      </c>
      <c r="I189" s="2">
        <v>2</v>
      </c>
      <c r="J189" s="1">
        <v>1382.7734</v>
      </c>
      <c r="K189" s="1">
        <v>692.41759999999999</v>
      </c>
      <c r="L189" s="9" t="s">
        <v>204</v>
      </c>
      <c r="M189" s="2">
        <v>8.59</v>
      </c>
      <c r="N189" s="4">
        <v>6241.54</v>
      </c>
      <c r="O189" s="1">
        <v>-34.155688705775248</v>
      </c>
      <c r="P189" s="6">
        <v>45.1</v>
      </c>
      <c r="Q189" s="6">
        <v>28.9</v>
      </c>
      <c r="R189" s="6">
        <v>11.8</v>
      </c>
      <c r="S189" s="6">
        <v>12.4</v>
      </c>
      <c r="T189" s="5">
        <v>1.2999999999999999E-3</v>
      </c>
      <c r="U189" s="1">
        <v>-4.7300000000000002E-2</v>
      </c>
      <c r="V189" s="1">
        <v>5.3387000000000002</v>
      </c>
    </row>
    <row r="190" spans="1:22" x14ac:dyDescent="0.25">
      <c r="A190" s="1">
        <v>0.99970000000000003</v>
      </c>
      <c r="B190" s="9" t="s">
        <v>5100</v>
      </c>
      <c r="C190" s="2">
        <v>4214</v>
      </c>
      <c r="D190" s="3" t="s">
        <v>3073</v>
      </c>
      <c r="E190" s="9" t="s">
        <v>385</v>
      </c>
      <c r="F190" s="9" t="s">
        <v>5101</v>
      </c>
      <c r="G190" s="1">
        <v>1792.8887</v>
      </c>
      <c r="H190" s="2">
        <v>1062</v>
      </c>
      <c r="I190" s="2">
        <v>3</v>
      </c>
      <c r="J190" s="1">
        <v>1792.8478</v>
      </c>
      <c r="K190" s="1">
        <v>598.63679999999999</v>
      </c>
      <c r="L190" s="9" t="s">
        <v>387</v>
      </c>
      <c r="M190" s="2">
        <v>8.43</v>
      </c>
      <c r="N190" s="4">
        <v>6244.61</v>
      </c>
      <c r="O190" s="1">
        <v>-22.773964669952353</v>
      </c>
      <c r="P190" s="6">
        <v>43.4</v>
      </c>
      <c r="Q190" s="6">
        <v>26.7</v>
      </c>
      <c r="R190" s="6">
        <v>11.1</v>
      </c>
      <c r="S190" s="6">
        <v>9.3000000000000007</v>
      </c>
      <c r="T190" s="5">
        <v>7.5000000000000002E-4</v>
      </c>
      <c r="U190" s="1">
        <v>-4.0899999999999999E-2</v>
      </c>
      <c r="V190" s="1">
        <v>6.3258000000000001</v>
      </c>
    </row>
    <row r="191" spans="1:22" x14ac:dyDescent="0.25">
      <c r="A191" s="1">
        <v>1</v>
      </c>
      <c r="B191" s="9" t="s">
        <v>5102</v>
      </c>
      <c r="C191" s="2">
        <v>4217</v>
      </c>
      <c r="D191" s="3" t="s">
        <v>3565</v>
      </c>
      <c r="E191" s="9" t="s">
        <v>410</v>
      </c>
      <c r="F191" s="9" t="s">
        <v>411</v>
      </c>
      <c r="G191" s="1">
        <v>2150.0286999999998</v>
      </c>
      <c r="H191" s="2">
        <v>1063</v>
      </c>
      <c r="I191" s="2">
        <v>3</v>
      </c>
      <c r="J191" s="1">
        <v>2149.9801000000002</v>
      </c>
      <c r="K191" s="1">
        <v>717.68349999999998</v>
      </c>
      <c r="L191" s="9" t="s">
        <v>412</v>
      </c>
      <c r="M191" s="2">
        <v>5.95</v>
      </c>
      <c r="N191" s="4">
        <v>6251.96</v>
      </c>
      <c r="O191" s="1">
        <v>-22.572624283545601</v>
      </c>
      <c r="P191" s="6">
        <v>53.8</v>
      </c>
      <c r="Q191" s="6">
        <v>28.4</v>
      </c>
      <c r="R191" s="6">
        <v>12.7</v>
      </c>
      <c r="S191" s="6">
        <v>6.4</v>
      </c>
      <c r="T191" s="5">
        <v>1.1999999999999999E-7</v>
      </c>
      <c r="U191" s="1">
        <v>-4.8599999999999997E-2</v>
      </c>
      <c r="V191" s="1">
        <v>9.4381000000000004</v>
      </c>
    </row>
    <row r="192" spans="1:22" x14ac:dyDescent="0.25">
      <c r="A192" s="1">
        <v>0.99850000000000005</v>
      </c>
      <c r="B192" s="9" t="s">
        <v>5103</v>
      </c>
      <c r="C192" s="2">
        <v>4218</v>
      </c>
      <c r="D192" s="3" t="s">
        <v>141</v>
      </c>
      <c r="E192" s="9" t="s">
        <v>394</v>
      </c>
      <c r="F192" s="9" t="s">
        <v>203</v>
      </c>
      <c r="G192" s="1">
        <v>1382.8207</v>
      </c>
      <c r="H192" s="2">
        <v>374</v>
      </c>
      <c r="I192" s="2">
        <v>2</v>
      </c>
      <c r="J192" s="1">
        <v>1382.7782999999999</v>
      </c>
      <c r="K192" s="1">
        <v>692.41759999999999</v>
      </c>
      <c r="L192" s="9" t="s">
        <v>204</v>
      </c>
      <c r="M192" s="2">
        <v>8.59</v>
      </c>
      <c r="N192" s="4">
        <v>6251.96</v>
      </c>
      <c r="O192" s="1">
        <v>-30.617361545980344</v>
      </c>
      <c r="P192" s="6">
        <v>49.6</v>
      </c>
      <c r="Q192" s="6">
        <v>33.700000000000003</v>
      </c>
      <c r="R192" s="6">
        <v>11.9</v>
      </c>
      <c r="S192" s="6">
        <v>12.8</v>
      </c>
      <c r="T192" s="5">
        <v>2.9E-4</v>
      </c>
      <c r="U192" s="1">
        <v>-4.24E-2</v>
      </c>
      <c r="V192" s="1">
        <v>5.8761000000000001</v>
      </c>
    </row>
    <row r="193" spans="1:22" x14ac:dyDescent="0.25">
      <c r="A193" s="1">
        <v>0.996</v>
      </c>
      <c r="B193" s="9" t="s">
        <v>5104</v>
      </c>
      <c r="C193" s="2">
        <v>4221</v>
      </c>
      <c r="D193" s="2" t="s">
        <v>493</v>
      </c>
      <c r="E193" s="9" t="s">
        <v>407</v>
      </c>
      <c r="F193" s="9" t="s">
        <v>290</v>
      </c>
      <c r="G193" s="1">
        <v>1645.8597</v>
      </c>
      <c r="H193" s="2">
        <v>615</v>
      </c>
      <c r="I193" s="2">
        <v>2</v>
      </c>
      <c r="J193" s="1">
        <v>1645.8202000000001</v>
      </c>
      <c r="K193" s="1">
        <v>823.93709999999999</v>
      </c>
      <c r="L193" s="9" t="s">
        <v>291</v>
      </c>
      <c r="M193" s="2">
        <v>4.8499999999999996</v>
      </c>
      <c r="N193" s="4">
        <v>6259.26</v>
      </c>
      <c r="O193" s="1">
        <v>-23.970276371824983</v>
      </c>
      <c r="P193" s="6">
        <v>50.1</v>
      </c>
      <c r="Q193" s="6">
        <v>40.5</v>
      </c>
      <c r="R193" s="6">
        <v>9.6</v>
      </c>
      <c r="S193" s="6">
        <v>10.6</v>
      </c>
      <c r="T193" s="5">
        <v>2.7E-4</v>
      </c>
      <c r="U193" s="1">
        <v>-3.95E-2</v>
      </c>
      <c r="V193" s="1">
        <v>4.8967000000000001</v>
      </c>
    </row>
    <row r="194" spans="1:22" x14ac:dyDescent="0.25">
      <c r="A194" s="1">
        <v>0.96430000000000005</v>
      </c>
      <c r="B194" s="9" t="s">
        <v>5105</v>
      </c>
      <c r="C194" s="2">
        <v>4225</v>
      </c>
      <c r="D194" s="2" t="s">
        <v>361</v>
      </c>
      <c r="E194" s="9" t="s">
        <v>442</v>
      </c>
      <c r="F194" s="9" t="s">
        <v>267</v>
      </c>
      <c r="G194" s="1">
        <v>1369.7276999999999</v>
      </c>
      <c r="H194" s="2">
        <v>50</v>
      </c>
      <c r="I194" s="2">
        <v>2</v>
      </c>
      <c r="J194" s="1">
        <v>1369.6851999999999</v>
      </c>
      <c r="K194" s="1">
        <v>685.87109999999996</v>
      </c>
      <c r="L194" s="9" t="s">
        <v>268</v>
      </c>
      <c r="M194" s="2">
        <v>6.22</v>
      </c>
      <c r="N194" s="4">
        <v>6266.56</v>
      </c>
      <c r="O194" s="1">
        <v>-30.982498023316634</v>
      </c>
      <c r="P194" s="6">
        <v>29.4</v>
      </c>
      <c r="Q194" s="6">
        <v>21.2</v>
      </c>
      <c r="R194" s="6">
        <v>12.2</v>
      </c>
      <c r="S194" s="6">
        <v>9.3000000000000007</v>
      </c>
      <c r="T194" s="5">
        <v>0.13</v>
      </c>
      <c r="U194" s="1">
        <v>-4.2500000000000003E-2</v>
      </c>
      <c r="V194" s="1">
        <v>2.6305999999999998</v>
      </c>
    </row>
    <row r="195" spans="1:22" x14ac:dyDescent="0.25">
      <c r="A195" s="1">
        <v>0.99990000000000001</v>
      </c>
      <c r="B195" s="9" t="s">
        <v>5106</v>
      </c>
      <c r="C195" s="2">
        <v>4230</v>
      </c>
      <c r="D195" s="2" t="s">
        <v>1405</v>
      </c>
      <c r="E195" s="9" t="s">
        <v>5094</v>
      </c>
      <c r="F195" s="9" t="s">
        <v>647</v>
      </c>
      <c r="G195" s="1">
        <v>2523.3726999999999</v>
      </c>
      <c r="H195" s="2">
        <v>617</v>
      </c>
      <c r="I195" s="2">
        <v>3</v>
      </c>
      <c r="J195" s="1">
        <v>2523.3231999999998</v>
      </c>
      <c r="K195" s="1">
        <v>842.13149999999996</v>
      </c>
      <c r="L195" s="9" t="s">
        <v>118</v>
      </c>
      <c r="M195" s="2">
        <v>6.27</v>
      </c>
      <c r="N195" s="4">
        <v>6273.86</v>
      </c>
      <c r="O195" s="1">
        <v>-19.593139551245859</v>
      </c>
      <c r="P195" s="6">
        <v>47.7</v>
      </c>
      <c r="Q195" s="6">
        <v>23.6</v>
      </c>
      <c r="R195" s="6">
        <v>11.6</v>
      </c>
      <c r="S195" s="6">
        <v>11.7</v>
      </c>
      <c r="T195" s="5">
        <v>3.3000000000000002E-6</v>
      </c>
      <c r="U195" s="1">
        <v>-4.9500000000000002E-2</v>
      </c>
      <c r="V195" s="1">
        <v>7.7362000000000002</v>
      </c>
    </row>
    <row r="196" spans="1:22" x14ac:dyDescent="0.25">
      <c r="A196" s="1">
        <v>0.97799999999999998</v>
      </c>
      <c r="B196" s="9" t="s">
        <v>5107</v>
      </c>
      <c r="C196" s="2">
        <v>4233</v>
      </c>
      <c r="D196" s="2" t="s">
        <v>665</v>
      </c>
      <c r="E196" s="9" t="s">
        <v>5108</v>
      </c>
      <c r="F196" s="9" t="s">
        <v>97</v>
      </c>
      <c r="G196" s="1">
        <v>1806.8607</v>
      </c>
      <c r="H196" s="2">
        <v>1065</v>
      </c>
      <c r="I196" s="2">
        <v>3</v>
      </c>
      <c r="J196" s="1">
        <v>1806.8386</v>
      </c>
      <c r="K196" s="1">
        <v>603.29420000000005</v>
      </c>
      <c r="L196" s="9" t="s">
        <v>98</v>
      </c>
      <c r="M196" s="2">
        <v>5.83</v>
      </c>
      <c r="N196" s="4">
        <v>6281.21</v>
      </c>
      <c r="O196" s="1">
        <v>-12.21073676270494</v>
      </c>
      <c r="P196" s="6">
        <v>33.9</v>
      </c>
      <c r="Q196" s="6">
        <v>26.2</v>
      </c>
      <c r="R196" s="6">
        <v>11.8</v>
      </c>
      <c r="S196" s="6">
        <v>10.3</v>
      </c>
      <c r="T196" s="5">
        <v>5.8999999999999997E-2</v>
      </c>
      <c r="U196" s="1">
        <v>-2.2100000000000002E-2</v>
      </c>
      <c r="V196" s="1">
        <v>2.8344999999999998</v>
      </c>
    </row>
    <row r="197" spans="1:22" x14ac:dyDescent="0.25">
      <c r="A197" s="1">
        <v>0.96840000000000004</v>
      </c>
      <c r="B197" s="9" t="s">
        <v>5109</v>
      </c>
      <c r="C197" s="2">
        <v>4234</v>
      </c>
      <c r="D197" s="2" t="s">
        <v>302</v>
      </c>
      <c r="E197" s="9" t="s">
        <v>5096</v>
      </c>
      <c r="F197" s="9" t="s">
        <v>97</v>
      </c>
      <c r="G197" s="1">
        <v>1318.6587</v>
      </c>
      <c r="H197" s="2">
        <v>1066</v>
      </c>
      <c r="I197" s="2">
        <v>2</v>
      </c>
      <c r="J197" s="1">
        <v>1318.6248000000001</v>
      </c>
      <c r="K197" s="1">
        <v>660.33659999999998</v>
      </c>
      <c r="L197" s="9" t="s">
        <v>98</v>
      </c>
      <c r="M197" s="2">
        <v>6.09</v>
      </c>
      <c r="N197" s="4">
        <v>6281.21</v>
      </c>
      <c r="O197" s="1">
        <v>-25.668727130981381</v>
      </c>
      <c r="P197" s="6">
        <v>35.1</v>
      </c>
      <c r="Q197" s="6">
        <v>27.8</v>
      </c>
      <c r="R197" s="6">
        <v>11.6</v>
      </c>
      <c r="S197" s="6">
        <v>6.2</v>
      </c>
      <c r="T197" s="5">
        <v>4.9000000000000002E-2</v>
      </c>
      <c r="U197" s="1">
        <v>-3.39E-2</v>
      </c>
      <c r="V197" s="1">
        <v>2.8582999999999998</v>
      </c>
    </row>
    <row r="198" spans="1:22" x14ac:dyDescent="0.25">
      <c r="A198" s="1">
        <v>0.99550000000000005</v>
      </c>
      <c r="B198" s="9" t="s">
        <v>5110</v>
      </c>
      <c r="C198" s="2">
        <v>4237</v>
      </c>
      <c r="D198" s="2" t="s">
        <v>5111</v>
      </c>
      <c r="E198" s="9" t="s">
        <v>5112</v>
      </c>
      <c r="F198" s="9" t="s">
        <v>97</v>
      </c>
      <c r="G198" s="1">
        <v>3268.7127</v>
      </c>
      <c r="H198" s="2">
        <v>618</v>
      </c>
      <c r="I198" s="2">
        <v>4</v>
      </c>
      <c r="J198" s="1">
        <v>3268.6631000000002</v>
      </c>
      <c r="K198" s="1">
        <v>818.18550000000005</v>
      </c>
      <c r="L198" s="9" t="s">
        <v>98</v>
      </c>
      <c r="M198" s="2">
        <v>8.34</v>
      </c>
      <c r="N198" s="4">
        <v>6288.51</v>
      </c>
      <c r="O198" s="1">
        <v>-15.155487355862453</v>
      </c>
      <c r="P198" s="6">
        <v>35.700000000000003</v>
      </c>
      <c r="Q198" s="6">
        <v>23.9</v>
      </c>
      <c r="R198" s="6">
        <v>9.5</v>
      </c>
      <c r="S198" s="6">
        <v>12.6</v>
      </c>
      <c r="T198" s="5">
        <v>7.7999999999999999E-4</v>
      </c>
      <c r="U198" s="1">
        <v>-4.9599999999999998E-2</v>
      </c>
      <c r="V198" s="1">
        <v>4.1540999999999997</v>
      </c>
    </row>
    <row r="199" spans="1:22" x14ac:dyDescent="0.25">
      <c r="A199" s="1">
        <v>0.99880000000000002</v>
      </c>
      <c r="B199" s="9" t="s">
        <v>5113</v>
      </c>
      <c r="C199" s="2">
        <v>4245</v>
      </c>
      <c r="D199" s="2" t="s">
        <v>384</v>
      </c>
      <c r="E199" s="9" t="s">
        <v>5114</v>
      </c>
      <c r="F199" s="9" t="s">
        <v>5115</v>
      </c>
      <c r="G199" s="1">
        <v>1776.8947000000001</v>
      </c>
      <c r="H199" s="2">
        <v>619</v>
      </c>
      <c r="I199" s="2">
        <v>3</v>
      </c>
      <c r="J199" s="1">
        <v>1776.8533</v>
      </c>
      <c r="K199" s="1">
        <v>593.30550000000005</v>
      </c>
      <c r="L199" s="9" t="s">
        <v>5116</v>
      </c>
      <c r="M199" s="2">
        <v>8.43</v>
      </c>
      <c r="N199" s="4">
        <v>6303.16</v>
      </c>
      <c r="O199" s="1">
        <v>-23.259518072898363</v>
      </c>
      <c r="P199" s="6">
        <v>34.200000000000003</v>
      </c>
      <c r="Q199" s="6">
        <v>22.4</v>
      </c>
      <c r="R199" s="6">
        <v>11.1</v>
      </c>
      <c r="S199" s="6">
        <v>8.6</v>
      </c>
      <c r="T199" s="5">
        <v>2.5999999999999999E-3</v>
      </c>
      <c r="U199" s="1">
        <v>-4.1399999999999999E-2</v>
      </c>
      <c r="V199" s="1">
        <v>5.4156000000000004</v>
      </c>
    </row>
    <row r="200" spans="1:22" x14ac:dyDescent="0.25">
      <c r="A200" s="1">
        <v>0.99819999999999998</v>
      </c>
      <c r="B200" s="9" t="s">
        <v>5117</v>
      </c>
      <c r="C200" s="2">
        <v>4251</v>
      </c>
      <c r="D200" s="2" t="s">
        <v>384</v>
      </c>
      <c r="E200" s="9" t="s">
        <v>5118</v>
      </c>
      <c r="F200" s="9" t="s">
        <v>5119</v>
      </c>
      <c r="G200" s="1">
        <v>1766.8557000000001</v>
      </c>
      <c r="H200" s="2">
        <v>620</v>
      </c>
      <c r="I200" s="2">
        <v>3</v>
      </c>
      <c r="J200" s="1">
        <v>1766.8130000000001</v>
      </c>
      <c r="K200" s="1">
        <v>589.95920000000001</v>
      </c>
      <c r="L200" s="9" t="s">
        <v>5120</v>
      </c>
      <c r="M200" s="2">
        <v>8.2100000000000009</v>
      </c>
      <c r="N200" s="4">
        <v>6310.46</v>
      </c>
      <c r="O200" s="1">
        <v>-24.125962156931081</v>
      </c>
      <c r="P200" s="6">
        <v>35.200000000000003</v>
      </c>
      <c r="Q200" s="6">
        <v>24.9</v>
      </c>
      <c r="R200" s="6">
        <v>10.5</v>
      </c>
      <c r="S200" s="6">
        <v>7.7</v>
      </c>
      <c r="T200" s="5">
        <v>5.5999999999999999E-3</v>
      </c>
      <c r="U200" s="1">
        <v>-4.2700000000000002E-2</v>
      </c>
      <c r="V200" s="1">
        <v>4.6992000000000003</v>
      </c>
    </row>
    <row r="201" spans="1:22" x14ac:dyDescent="0.25">
      <c r="A201" s="1">
        <v>0.99890000000000001</v>
      </c>
      <c r="B201" s="9" t="s">
        <v>5121</v>
      </c>
      <c r="C201" s="2">
        <v>4253</v>
      </c>
      <c r="D201" s="2" t="s">
        <v>214</v>
      </c>
      <c r="E201" s="9" t="s">
        <v>394</v>
      </c>
      <c r="F201" s="9" t="s">
        <v>203</v>
      </c>
      <c r="G201" s="1">
        <v>1382.8207</v>
      </c>
      <c r="H201" s="2">
        <v>621</v>
      </c>
      <c r="I201" s="2">
        <v>2</v>
      </c>
      <c r="J201" s="1">
        <v>1382.7716</v>
      </c>
      <c r="K201" s="1">
        <v>692.41759999999999</v>
      </c>
      <c r="L201" s="9" t="s">
        <v>204</v>
      </c>
      <c r="M201" s="2">
        <v>8.59</v>
      </c>
      <c r="N201" s="4">
        <v>6317.79</v>
      </c>
      <c r="O201" s="1">
        <v>-35.455482356312146</v>
      </c>
      <c r="P201" s="6">
        <v>56.7</v>
      </c>
      <c r="Q201" s="6">
        <v>35.700000000000003</v>
      </c>
      <c r="R201" s="6">
        <v>11.4</v>
      </c>
      <c r="S201" s="6">
        <v>13.1</v>
      </c>
      <c r="T201" s="5">
        <v>4.0000000000000002E-4</v>
      </c>
      <c r="U201" s="1">
        <v>-4.9099999999999998E-2</v>
      </c>
      <c r="V201" s="1">
        <v>5.9611999999999998</v>
      </c>
    </row>
    <row r="202" spans="1:22" x14ac:dyDescent="0.25">
      <c r="A202" s="1">
        <v>0.99860000000000004</v>
      </c>
      <c r="B202" s="9" t="s">
        <v>5122</v>
      </c>
      <c r="C202" s="2">
        <v>4262</v>
      </c>
      <c r="D202" s="2" t="s">
        <v>280</v>
      </c>
      <c r="E202" s="9" t="s">
        <v>463</v>
      </c>
      <c r="F202" s="9" t="s">
        <v>464</v>
      </c>
      <c r="G202" s="1">
        <v>1577.7946999999999</v>
      </c>
      <c r="H202" s="2">
        <v>1069</v>
      </c>
      <c r="I202" s="2">
        <v>2</v>
      </c>
      <c r="J202" s="1">
        <v>1577.7429</v>
      </c>
      <c r="K202" s="1">
        <v>789.90459999999996</v>
      </c>
      <c r="L202" s="9" t="s">
        <v>465</v>
      </c>
      <c r="M202" s="2">
        <v>8.75</v>
      </c>
      <c r="N202" s="4">
        <v>6332.41</v>
      </c>
      <c r="O202" s="1">
        <v>-32.788769681807146</v>
      </c>
      <c r="P202" s="6">
        <v>44.8</v>
      </c>
      <c r="Q202" s="6">
        <v>28.4</v>
      </c>
      <c r="R202" s="6">
        <v>11.1</v>
      </c>
      <c r="S202" s="6">
        <v>12.3</v>
      </c>
      <c r="T202" s="5">
        <v>1.2E-4</v>
      </c>
      <c r="U202" s="1">
        <v>-5.1799999999999999E-2</v>
      </c>
      <c r="V202" s="1">
        <v>6.0308000000000002</v>
      </c>
    </row>
    <row r="203" spans="1:22" x14ac:dyDescent="0.25">
      <c r="A203" s="1">
        <v>0.99819999999999998</v>
      </c>
      <c r="B203" s="9" t="s">
        <v>5123</v>
      </c>
      <c r="C203" s="2">
        <v>4266</v>
      </c>
      <c r="D203" s="2" t="s">
        <v>178</v>
      </c>
      <c r="E203" s="9" t="s">
        <v>459</v>
      </c>
      <c r="F203" s="9" t="s">
        <v>460</v>
      </c>
      <c r="G203" s="1">
        <v>1621.8017</v>
      </c>
      <c r="H203" s="2">
        <v>622</v>
      </c>
      <c r="I203" s="2">
        <v>2</v>
      </c>
      <c r="J203" s="1">
        <v>1621.7578000000001</v>
      </c>
      <c r="K203" s="1">
        <v>811.90809999999999</v>
      </c>
      <c r="L203" s="9" t="s">
        <v>461</v>
      </c>
      <c r="M203" s="2">
        <v>4.75</v>
      </c>
      <c r="N203" s="4">
        <v>6339.76</v>
      </c>
      <c r="O203" s="1">
        <v>-27.035079462811126</v>
      </c>
      <c r="P203" s="6">
        <v>42.5</v>
      </c>
      <c r="Q203" s="6">
        <v>25.3</v>
      </c>
      <c r="R203" s="6">
        <v>12.8</v>
      </c>
      <c r="S203" s="6">
        <v>10</v>
      </c>
      <c r="T203" s="5">
        <v>2.5999999999999998E-4</v>
      </c>
      <c r="U203" s="1">
        <v>-4.3900000000000002E-2</v>
      </c>
      <c r="V203" s="1">
        <v>5.8590999999999998</v>
      </c>
    </row>
    <row r="204" spans="1:22" x14ac:dyDescent="0.25">
      <c r="A204" s="1">
        <v>0.99790000000000001</v>
      </c>
      <c r="B204" s="9" t="s">
        <v>5124</v>
      </c>
      <c r="C204" s="2">
        <v>4274</v>
      </c>
      <c r="D204" s="2" t="s">
        <v>1000</v>
      </c>
      <c r="E204" s="9" t="s">
        <v>438</v>
      </c>
      <c r="F204" s="9" t="s">
        <v>439</v>
      </c>
      <c r="G204" s="1">
        <v>1462.7677000000001</v>
      </c>
      <c r="H204" s="2">
        <v>1070</v>
      </c>
      <c r="I204" s="2">
        <v>2</v>
      </c>
      <c r="J204" s="1">
        <v>1462.7284999999999</v>
      </c>
      <c r="K204" s="1">
        <v>732.39110000000005</v>
      </c>
      <c r="L204" s="9" t="s">
        <v>440</v>
      </c>
      <c r="M204" s="2">
        <v>9.99</v>
      </c>
      <c r="N204" s="4">
        <v>6354.36</v>
      </c>
      <c r="O204" s="1">
        <v>-26.761657808239338</v>
      </c>
      <c r="P204" s="6">
        <v>41.5</v>
      </c>
      <c r="Q204" s="6">
        <v>27.2</v>
      </c>
      <c r="R204" s="6">
        <v>10.1</v>
      </c>
      <c r="S204" s="6">
        <v>11.1</v>
      </c>
      <c r="T204" s="5">
        <v>6.0999999999999997E-4</v>
      </c>
      <c r="U204" s="1">
        <v>-3.9199999999999999E-2</v>
      </c>
      <c r="V204" s="1">
        <v>5.4104000000000001</v>
      </c>
    </row>
    <row r="205" spans="1:22" x14ac:dyDescent="0.25">
      <c r="A205" s="1">
        <v>0.9919</v>
      </c>
      <c r="B205" s="9" t="s">
        <v>5125</v>
      </c>
      <c r="C205" s="2">
        <v>4282</v>
      </c>
      <c r="D205" s="2" t="s">
        <v>141</v>
      </c>
      <c r="E205" s="9" t="s">
        <v>414</v>
      </c>
      <c r="F205" s="9" t="s">
        <v>415</v>
      </c>
      <c r="G205" s="1">
        <v>1348.7427</v>
      </c>
      <c r="H205" s="2">
        <v>767</v>
      </c>
      <c r="I205" s="2">
        <v>2</v>
      </c>
      <c r="J205" s="1">
        <v>1348.6935000000001</v>
      </c>
      <c r="K205" s="1">
        <v>675.37860000000001</v>
      </c>
      <c r="L205" s="9" t="s">
        <v>416</v>
      </c>
      <c r="M205" s="2">
        <v>8.59</v>
      </c>
      <c r="N205" s="4">
        <v>6373.19</v>
      </c>
      <c r="O205" s="1">
        <v>-36.424014619355724</v>
      </c>
      <c r="P205" s="6">
        <v>49.2</v>
      </c>
      <c r="Q205" s="6">
        <v>37.1</v>
      </c>
      <c r="R205" s="6">
        <v>11.7</v>
      </c>
      <c r="S205" s="6">
        <v>12.4</v>
      </c>
      <c r="T205" s="5">
        <v>7.7000000000000002E-3</v>
      </c>
      <c r="U205" s="1">
        <v>-4.9200000000000001E-2</v>
      </c>
      <c r="V205" s="1">
        <v>3.9340999999999999</v>
      </c>
    </row>
    <row r="206" spans="1:22" x14ac:dyDescent="0.25">
      <c r="A206" s="1">
        <v>0.99380000000000002</v>
      </c>
      <c r="B206" s="9" t="s">
        <v>5126</v>
      </c>
      <c r="C206" s="2">
        <v>4285</v>
      </c>
      <c r="D206" s="2" t="s">
        <v>520</v>
      </c>
      <c r="E206" s="9" t="s">
        <v>2252</v>
      </c>
      <c r="F206" s="9" t="s">
        <v>2253</v>
      </c>
      <c r="G206" s="1">
        <v>1491.8007</v>
      </c>
      <c r="H206" s="2">
        <v>376</v>
      </c>
      <c r="I206" s="2">
        <v>2</v>
      </c>
      <c r="J206" s="1">
        <v>1491.7572</v>
      </c>
      <c r="K206" s="1">
        <v>746.9076</v>
      </c>
      <c r="L206" s="9" t="s">
        <v>1263</v>
      </c>
      <c r="M206" s="2">
        <v>6.24</v>
      </c>
      <c r="N206" s="4">
        <v>6376.26</v>
      </c>
      <c r="O206" s="1">
        <v>-29.120067863816082</v>
      </c>
      <c r="P206" s="6">
        <v>33.299999999999997</v>
      </c>
      <c r="Q206" s="6">
        <v>25</v>
      </c>
      <c r="R206" s="6">
        <v>9.1</v>
      </c>
      <c r="S206" s="6">
        <v>7.9</v>
      </c>
      <c r="T206" s="5">
        <v>1.2999999999999999E-3</v>
      </c>
      <c r="U206" s="1">
        <v>-4.3499999999999997E-2</v>
      </c>
      <c r="V206" s="1">
        <v>4.4550000000000001</v>
      </c>
    </row>
    <row r="207" spans="1:22" x14ac:dyDescent="0.25">
      <c r="A207" s="1">
        <v>0.99670000000000003</v>
      </c>
      <c r="B207" s="9" t="s">
        <v>5127</v>
      </c>
      <c r="C207" s="2">
        <v>4289</v>
      </c>
      <c r="D207" s="2" t="s">
        <v>278</v>
      </c>
      <c r="E207" s="9" t="s">
        <v>2255</v>
      </c>
      <c r="F207" s="9" t="s">
        <v>844</v>
      </c>
      <c r="G207" s="1">
        <v>1596.8257000000001</v>
      </c>
      <c r="H207" s="2">
        <v>623</v>
      </c>
      <c r="I207" s="2">
        <v>2</v>
      </c>
      <c r="J207" s="1">
        <v>1596.7925</v>
      </c>
      <c r="K207" s="1">
        <v>799.42010000000005</v>
      </c>
      <c r="L207" s="9" t="s">
        <v>745</v>
      </c>
      <c r="M207" s="2">
        <v>8.59</v>
      </c>
      <c r="N207" s="4">
        <v>6383.56</v>
      </c>
      <c r="O207" s="1">
        <v>-20.76505206711715</v>
      </c>
      <c r="P207" s="6">
        <v>48.7</v>
      </c>
      <c r="Q207" s="6">
        <v>30.5</v>
      </c>
      <c r="R207" s="6">
        <v>10</v>
      </c>
      <c r="S207" s="6">
        <v>9.6999999999999993</v>
      </c>
      <c r="T207" s="5">
        <v>1.9E-3</v>
      </c>
      <c r="U207" s="1">
        <v>-3.32E-2</v>
      </c>
      <c r="V207" s="1">
        <v>4.6775000000000002</v>
      </c>
    </row>
    <row r="208" spans="1:22" x14ac:dyDescent="0.25">
      <c r="A208" s="1">
        <v>0.95799999999999996</v>
      </c>
      <c r="B208" s="9" t="s">
        <v>5128</v>
      </c>
      <c r="C208" s="2">
        <v>4294</v>
      </c>
      <c r="D208" s="2" t="s">
        <v>2118</v>
      </c>
      <c r="E208" s="9" t="s">
        <v>5129</v>
      </c>
      <c r="F208" s="9" t="s">
        <v>4991</v>
      </c>
      <c r="G208" s="1">
        <v>1023.5537</v>
      </c>
      <c r="H208" s="2">
        <v>53</v>
      </c>
      <c r="I208" s="2">
        <v>2</v>
      </c>
      <c r="J208" s="1">
        <v>1023.5245</v>
      </c>
      <c r="K208" s="1">
        <v>512.78409999999997</v>
      </c>
      <c r="L208" s="9" t="s">
        <v>59</v>
      </c>
      <c r="M208" s="2">
        <v>6.76</v>
      </c>
      <c r="N208" s="4">
        <v>6390.86</v>
      </c>
      <c r="O208" s="1">
        <v>-28.472021655897677</v>
      </c>
      <c r="P208" s="6">
        <v>41.7</v>
      </c>
      <c r="Q208" s="6">
        <v>31.7</v>
      </c>
      <c r="R208" s="6">
        <v>12.1</v>
      </c>
      <c r="S208" s="6">
        <v>13.2</v>
      </c>
      <c r="T208" s="5">
        <v>0.26</v>
      </c>
      <c r="U208" s="1">
        <v>-2.92E-2</v>
      </c>
      <c r="V208" s="1">
        <v>2.5186000000000002</v>
      </c>
    </row>
    <row r="209" spans="1:22" x14ac:dyDescent="0.25">
      <c r="A209" s="1">
        <v>0.95930000000000004</v>
      </c>
      <c r="B209" s="9" t="s">
        <v>5130</v>
      </c>
      <c r="C209" s="2">
        <v>4317</v>
      </c>
      <c r="D209" s="2" t="s">
        <v>141</v>
      </c>
      <c r="E209" s="9" t="s">
        <v>414</v>
      </c>
      <c r="F209" s="9" t="s">
        <v>415</v>
      </c>
      <c r="G209" s="1">
        <v>1348.7427</v>
      </c>
      <c r="H209" s="2">
        <v>796</v>
      </c>
      <c r="I209" s="2">
        <v>2</v>
      </c>
      <c r="J209" s="1">
        <v>1348.6896999999999</v>
      </c>
      <c r="K209" s="1">
        <v>675.37860000000001</v>
      </c>
      <c r="L209" s="9" t="s">
        <v>416</v>
      </c>
      <c r="M209" s="2">
        <v>8.59</v>
      </c>
      <c r="N209" s="4">
        <v>6436.84</v>
      </c>
      <c r="O209" s="1">
        <v>-39.237251520850677</v>
      </c>
      <c r="P209" s="6">
        <v>49.5</v>
      </c>
      <c r="Q209" s="6">
        <v>36.5</v>
      </c>
      <c r="R209" s="6">
        <v>12</v>
      </c>
      <c r="S209" s="6">
        <v>12.6</v>
      </c>
      <c r="T209" s="5">
        <v>0.13</v>
      </c>
      <c r="U209" s="1">
        <v>-5.2999999999999999E-2</v>
      </c>
      <c r="V209" s="1">
        <v>2.6511999999999998</v>
      </c>
    </row>
    <row r="210" spans="1:22" x14ac:dyDescent="0.25">
      <c r="A210" s="1">
        <v>0.97089999999999999</v>
      </c>
      <c r="B210" s="9" t="s">
        <v>5131</v>
      </c>
      <c r="C210" s="2">
        <v>4318</v>
      </c>
      <c r="D210" s="2" t="s">
        <v>723</v>
      </c>
      <c r="E210" s="9" t="s">
        <v>5132</v>
      </c>
      <c r="F210" s="9" t="s">
        <v>5133</v>
      </c>
      <c r="G210" s="1">
        <v>1349.4457</v>
      </c>
      <c r="H210" s="2">
        <v>297</v>
      </c>
      <c r="I210" s="2">
        <v>3</v>
      </c>
      <c r="J210" s="1">
        <v>1349.2373</v>
      </c>
      <c r="K210" s="1">
        <v>450.82249999999999</v>
      </c>
      <c r="L210" s="9" t="s">
        <v>5134</v>
      </c>
      <c r="M210" s="2">
        <v>3.77</v>
      </c>
      <c r="N210" s="4">
        <v>6438.89</v>
      </c>
      <c r="O210" s="1">
        <v>-154.08873041311529</v>
      </c>
      <c r="P210" s="6">
        <v>25</v>
      </c>
      <c r="Q210" s="6">
        <v>17.3</v>
      </c>
      <c r="R210" s="6">
        <v>6.4</v>
      </c>
      <c r="S210" s="6">
        <v>10.199999999999999</v>
      </c>
      <c r="T210" s="5">
        <v>6.7000000000000004E-2</v>
      </c>
      <c r="U210" s="1">
        <v>-0.2084</v>
      </c>
      <c r="V210" s="1">
        <v>3.6873</v>
      </c>
    </row>
    <row r="211" spans="1:22" x14ac:dyDescent="0.25">
      <c r="A211" s="1">
        <v>0.999</v>
      </c>
      <c r="B211" s="9" t="s">
        <v>5135</v>
      </c>
      <c r="C211" s="2">
        <v>4319</v>
      </c>
      <c r="D211" s="2" t="s">
        <v>220</v>
      </c>
      <c r="E211" s="9" t="s">
        <v>435</v>
      </c>
      <c r="F211" s="9" t="s">
        <v>436</v>
      </c>
      <c r="G211" s="1">
        <v>1387.7637</v>
      </c>
      <c r="H211" s="2">
        <v>625</v>
      </c>
      <c r="I211" s="2">
        <v>2</v>
      </c>
      <c r="J211" s="1">
        <v>1387.7240999999999</v>
      </c>
      <c r="K211" s="1">
        <v>694.88909999999998</v>
      </c>
      <c r="L211" s="9" t="s">
        <v>181</v>
      </c>
      <c r="M211" s="2">
        <v>4.8499999999999996</v>
      </c>
      <c r="N211" s="4">
        <v>6434.66</v>
      </c>
      <c r="O211" s="1">
        <v>-28.493755334484309</v>
      </c>
      <c r="P211" s="6">
        <v>57.5</v>
      </c>
      <c r="Q211" s="6">
        <v>31.3</v>
      </c>
      <c r="R211" s="6">
        <v>11.5</v>
      </c>
      <c r="S211" s="6">
        <v>11.8</v>
      </c>
      <c r="T211" s="5">
        <v>2.2000000000000001E-4</v>
      </c>
      <c r="U211" s="1">
        <v>-3.9600000000000003E-2</v>
      </c>
      <c r="V211" s="1">
        <v>6.6609999999999996</v>
      </c>
    </row>
    <row r="212" spans="1:22" x14ac:dyDescent="0.25">
      <c r="A212" s="1">
        <v>0.98880000000000001</v>
      </c>
      <c r="B212" s="9" t="s">
        <v>5136</v>
      </c>
      <c r="C212" s="2">
        <v>4321</v>
      </c>
      <c r="D212" s="2" t="s">
        <v>479</v>
      </c>
      <c r="E212" s="9" t="s">
        <v>2252</v>
      </c>
      <c r="F212" s="9" t="s">
        <v>2253</v>
      </c>
      <c r="G212" s="1">
        <v>1491.8007</v>
      </c>
      <c r="H212" s="2">
        <v>378</v>
      </c>
      <c r="I212" s="2">
        <v>2</v>
      </c>
      <c r="J212" s="1">
        <v>1491.7521999999999</v>
      </c>
      <c r="K212" s="1">
        <v>746.9076</v>
      </c>
      <c r="L212" s="9" t="s">
        <v>1263</v>
      </c>
      <c r="M212" s="2">
        <v>6.24</v>
      </c>
      <c r="N212" s="4">
        <v>6441.96</v>
      </c>
      <c r="O212" s="1">
        <v>-32.467202101036328</v>
      </c>
      <c r="P212" s="6">
        <v>29.1</v>
      </c>
      <c r="Q212" s="6">
        <v>21.6</v>
      </c>
      <c r="R212" s="6">
        <v>8.6</v>
      </c>
      <c r="S212" s="6">
        <v>7.9</v>
      </c>
      <c r="T212" s="5">
        <v>5.1999999999999998E-3</v>
      </c>
      <c r="U212" s="1">
        <v>-4.8500000000000001E-2</v>
      </c>
      <c r="V212" s="1">
        <v>3.8774999999999999</v>
      </c>
    </row>
    <row r="213" spans="1:22" x14ac:dyDescent="0.25">
      <c r="A213" s="1">
        <v>0.99060000000000004</v>
      </c>
      <c r="B213" s="9" t="s">
        <v>5137</v>
      </c>
      <c r="C213" s="2">
        <v>4325</v>
      </c>
      <c r="D213" s="2" t="s">
        <v>479</v>
      </c>
      <c r="E213" s="9" t="s">
        <v>494</v>
      </c>
      <c r="F213" s="9" t="s">
        <v>495</v>
      </c>
      <c r="G213" s="1">
        <v>1368.7327</v>
      </c>
      <c r="H213" s="2">
        <v>795</v>
      </c>
      <c r="I213" s="2">
        <v>2</v>
      </c>
      <c r="J213" s="1">
        <v>1368.6955</v>
      </c>
      <c r="K213" s="1">
        <v>685.37360000000001</v>
      </c>
      <c r="L213" s="9" t="s">
        <v>157</v>
      </c>
      <c r="M213" s="2">
        <v>4.75</v>
      </c>
      <c r="N213" s="4">
        <v>6451.44</v>
      </c>
      <c r="O213" s="1">
        <v>-27.138483303121099</v>
      </c>
      <c r="P213" s="6">
        <v>30.6</v>
      </c>
      <c r="Q213" s="6">
        <v>21</v>
      </c>
      <c r="R213" s="6">
        <v>12.3</v>
      </c>
      <c r="S213" s="6">
        <v>9.9</v>
      </c>
      <c r="T213" s="5">
        <v>1.0999999999999999E-2</v>
      </c>
      <c r="U213" s="1">
        <v>-3.7199999999999997E-2</v>
      </c>
      <c r="V213" s="1">
        <v>3.7934999999999999</v>
      </c>
    </row>
    <row r="214" spans="1:22" x14ac:dyDescent="0.25">
      <c r="A214" s="1">
        <v>0.99399999999999999</v>
      </c>
      <c r="B214" s="9" t="s">
        <v>5138</v>
      </c>
      <c r="C214" s="2">
        <v>4330</v>
      </c>
      <c r="D214" s="2" t="s">
        <v>326</v>
      </c>
      <c r="E214" s="9" t="s">
        <v>487</v>
      </c>
      <c r="F214" s="9" t="s">
        <v>488</v>
      </c>
      <c r="G214" s="1">
        <v>1268.5237</v>
      </c>
      <c r="H214" s="2">
        <v>163</v>
      </c>
      <c r="I214" s="2">
        <v>2</v>
      </c>
      <c r="J214" s="1">
        <v>1268.5047</v>
      </c>
      <c r="K214" s="1">
        <v>635.26909999999998</v>
      </c>
      <c r="L214" s="9" t="s">
        <v>489</v>
      </c>
      <c r="M214" s="2">
        <v>4.75</v>
      </c>
      <c r="N214" s="4">
        <v>6456.56</v>
      </c>
      <c r="O214" s="1">
        <v>-14.954292598207594</v>
      </c>
      <c r="P214" s="6">
        <v>45.3</v>
      </c>
      <c r="Q214" s="6">
        <v>34</v>
      </c>
      <c r="R214" s="6">
        <v>8.5</v>
      </c>
      <c r="S214" s="6">
        <v>11.5</v>
      </c>
      <c r="T214" s="5">
        <v>4.0000000000000001E-3</v>
      </c>
      <c r="U214" s="1">
        <v>-1.9E-2</v>
      </c>
      <c r="V214" s="1">
        <v>4.4558</v>
      </c>
    </row>
    <row r="215" spans="1:22" x14ac:dyDescent="0.25">
      <c r="A215" s="1">
        <v>0.95350000000000001</v>
      </c>
      <c r="B215" s="9" t="s">
        <v>5139</v>
      </c>
      <c r="C215" s="2">
        <v>4339</v>
      </c>
      <c r="D215" s="2" t="s">
        <v>78</v>
      </c>
      <c r="E215" s="9" t="s">
        <v>2266</v>
      </c>
      <c r="F215" s="9" t="s">
        <v>351</v>
      </c>
      <c r="G215" s="1">
        <v>1287.6126999999999</v>
      </c>
      <c r="H215" s="2">
        <v>831</v>
      </c>
      <c r="I215" s="2">
        <v>2</v>
      </c>
      <c r="J215" s="1">
        <v>1287.5933</v>
      </c>
      <c r="K215" s="1">
        <v>644.81359999999995</v>
      </c>
      <c r="L215" s="9" t="s">
        <v>204</v>
      </c>
      <c r="M215" s="2">
        <v>4.43</v>
      </c>
      <c r="N215" s="4">
        <v>6477.54</v>
      </c>
      <c r="O215" s="1">
        <v>-15.043107031241277</v>
      </c>
      <c r="P215" s="6">
        <v>39.1</v>
      </c>
      <c r="Q215" s="6">
        <v>29.7</v>
      </c>
      <c r="R215" s="6">
        <v>12.1</v>
      </c>
      <c r="S215" s="6">
        <v>11.2</v>
      </c>
      <c r="T215" s="5">
        <v>8.5000000000000006E-2</v>
      </c>
      <c r="U215" s="1">
        <v>-1.9400000000000001E-2</v>
      </c>
      <c r="V215" s="1">
        <v>2.8635999999999999</v>
      </c>
    </row>
    <row r="216" spans="1:22" x14ac:dyDescent="0.25">
      <c r="A216" s="1">
        <v>0.99990000000000001</v>
      </c>
      <c r="B216" s="9" t="s">
        <v>5140</v>
      </c>
      <c r="C216" s="2">
        <v>4343</v>
      </c>
      <c r="D216" s="2" t="s">
        <v>61</v>
      </c>
      <c r="E216" s="9" t="s">
        <v>1489</v>
      </c>
      <c r="F216" s="9" t="s">
        <v>1490</v>
      </c>
      <c r="G216" s="1">
        <v>1911.8706999999999</v>
      </c>
      <c r="H216" s="2">
        <v>1076</v>
      </c>
      <c r="I216" s="2">
        <v>3</v>
      </c>
      <c r="J216" s="1">
        <v>1911.8478</v>
      </c>
      <c r="K216" s="1">
        <v>638.29750000000001</v>
      </c>
      <c r="L216" s="9" t="s">
        <v>1491</v>
      </c>
      <c r="M216" s="2">
        <v>4.46</v>
      </c>
      <c r="N216" s="4">
        <v>6478.56</v>
      </c>
      <c r="O216" s="1">
        <v>-11.958895864911476</v>
      </c>
      <c r="P216" s="6">
        <v>45.6</v>
      </c>
      <c r="Q216" s="6">
        <v>27</v>
      </c>
      <c r="R216" s="6">
        <v>11.2</v>
      </c>
      <c r="S216" s="6">
        <v>10.199999999999999</v>
      </c>
      <c r="T216" s="5">
        <v>4.6E-6</v>
      </c>
      <c r="U216" s="1">
        <v>-2.29E-2</v>
      </c>
      <c r="V216" s="1">
        <v>8.6525999999999996</v>
      </c>
    </row>
    <row r="217" spans="1:22" x14ac:dyDescent="0.25">
      <c r="A217" s="1">
        <v>0.99929999999999997</v>
      </c>
      <c r="B217" s="9" t="s">
        <v>5141</v>
      </c>
      <c r="C217" s="2">
        <v>4354</v>
      </c>
      <c r="D217" s="2" t="s">
        <v>493</v>
      </c>
      <c r="E217" s="9" t="s">
        <v>477</v>
      </c>
      <c r="F217" s="9" t="s">
        <v>151</v>
      </c>
      <c r="G217" s="1">
        <v>1700.8626999999999</v>
      </c>
      <c r="H217" s="2">
        <v>630</v>
      </c>
      <c r="I217" s="2">
        <v>2</v>
      </c>
      <c r="J217" s="1">
        <v>1700.8197</v>
      </c>
      <c r="K217" s="1">
        <v>851.43859999999995</v>
      </c>
      <c r="L217" s="9" t="s">
        <v>152</v>
      </c>
      <c r="M217" s="2">
        <v>6.24</v>
      </c>
      <c r="N217" s="4">
        <v>6500.46</v>
      </c>
      <c r="O217" s="1">
        <v>-25.251380428371466</v>
      </c>
      <c r="P217" s="6">
        <v>50</v>
      </c>
      <c r="Q217" s="6">
        <v>28.3</v>
      </c>
      <c r="R217" s="6">
        <v>12.3</v>
      </c>
      <c r="S217" s="6">
        <v>11.6</v>
      </c>
      <c r="T217" s="5">
        <v>9.5999999999999996E-6</v>
      </c>
      <c r="U217" s="1">
        <v>-4.2999999999999997E-2</v>
      </c>
      <c r="V217" s="1">
        <v>7.4530000000000003</v>
      </c>
    </row>
    <row r="218" spans="1:22" x14ac:dyDescent="0.25">
      <c r="A218" s="1">
        <v>0.98599999999999999</v>
      </c>
      <c r="B218" s="9" t="s">
        <v>5142</v>
      </c>
      <c r="C218" s="2">
        <v>4355</v>
      </c>
      <c r="D218" s="2" t="s">
        <v>702</v>
      </c>
      <c r="E218" s="9" t="s">
        <v>414</v>
      </c>
      <c r="F218" s="9" t="s">
        <v>415</v>
      </c>
      <c r="G218" s="1">
        <v>1348.7427</v>
      </c>
      <c r="H218" s="2">
        <v>379</v>
      </c>
      <c r="I218" s="2">
        <v>2</v>
      </c>
      <c r="J218" s="1">
        <v>1348.6849999999999</v>
      </c>
      <c r="K218" s="1">
        <v>675.37860000000001</v>
      </c>
      <c r="L218" s="9" t="s">
        <v>416</v>
      </c>
      <c r="M218" s="2">
        <v>8.59</v>
      </c>
      <c r="N218" s="4">
        <v>6500.46</v>
      </c>
      <c r="O218" s="1">
        <v>-42.7167813726997</v>
      </c>
      <c r="P218" s="6">
        <v>40.5</v>
      </c>
      <c r="Q218" s="6">
        <v>28.9</v>
      </c>
      <c r="R218" s="6">
        <v>11.2</v>
      </c>
      <c r="S218" s="6">
        <v>12.3</v>
      </c>
      <c r="T218" s="5">
        <v>3.5000000000000003E-2</v>
      </c>
      <c r="U218" s="1">
        <v>-5.7700000000000001E-2</v>
      </c>
      <c r="V218" s="1">
        <v>3.399</v>
      </c>
    </row>
    <row r="219" spans="1:22" x14ac:dyDescent="0.25">
      <c r="A219" s="1">
        <v>0.998</v>
      </c>
      <c r="B219" s="9" t="s">
        <v>5143</v>
      </c>
      <c r="C219" s="2">
        <v>4358</v>
      </c>
      <c r="D219" s="2" t="s">
        <v>141</v>
      </c>
      <c r="E219" s="9" t="s">
        <v>467</v>
      </c>
      <c r="F219" s="9" t="s">
        <v>391</v>
      </c>
      <c r="G219" s="1">
        <v>1351.6986999999999</v>
      </c>
      <c r="H219" s="2">
        <v>631</v>
      </c>
      <c r="I219" s="2">
        <v>2</v>
      </c>
      <c r="J219" s="1">
        <v>1351.6605</v>
      </c>
      <c r="K219" s="1">
        <v>676.85659999999996</v>
      </c>
      <c r="L219" s="9" t="s">
        <v>364</v>
      </c>
      <c r="M219" s="2">
        <v>6.74</v>
      </c>
      <c r="N219" s="4">
        <v>6507.79</v>
      </c>
      <c r="O219" s="1">
        <v>-28.21868029358065</v>
      </c>
      <c r="P219" s="6">
        <v>46.6</v>
      </c>
      <c r="Q219" s="6">
        <v>34.200000000000003</v>
      </c>
      <c r="R219" s="6">
        <v>11.2</v>
      </c>
      <c r="S219" s="6">
        <v>12.1</v>
      </c>
      <c r="T219" s="5">
        <v>6.6E-4</v>
      </c>
      <c r="U219" s="1">
        <v>-3.8199999999999998E-2</v>
      </c>
      <c r="V219" s="1">
        <v>5.2165999999999997</v>
      </c>
    </row>
    <row r="220" spans="1:22" x14ac:dyDescent="0.25">
      <c r="A220" s="1">
        <v>0.99870000000000003</v>
      </c>
      <c r="B220" s="9" t="s">
        <v>5144</v>
      </c>
      <c r="C220" s="2">
        <v>4359</v>
      </c>
      <c r="D220" s="2" t="s">
        <v>201</v>
      </c>
      <c r="E220" s="9" t="s">
        <v>502</v>
      </c>
      <c r="F220" s="9" t="s">
        <v>267</v>
      </c>
      <c r="G220" s="1">
        <v>1249.6267</v>
      </c>
      <c r="H220" s="2">
        <v>632</v>
      </c>
      <c r="I220" s="2">
        <v>2</v>
      </c>
      <c r="J220" s="1">
        <v>1249.5785000000001</v>
      </c>
      <c r="K220" s="1">
        <v>625.82060000000001</v>
      </c>
      <c r="L220" s="9" t="s">
        <v>268</v>
      </c>
      <c r="M220" s="2">
        <v>4.75</v>
      </c>
      <c r="N220" s="4">
        <v>6507.79</v>
      </c>
      <c r="O220" s="1">
        <v>-38.50943864743347</v>
      </c>
      <c r="P220" s="6">
        <v>45.8</v>
      </c>
      <c r="Q220" s="6">
        <v>27.9</v>
      </c>
      <c r="R220" s="6">
        <v>12.3</v>
      </c>
      <c r="S220" s="6">
        <v>9.3000000000000007</v>
      </c>
      <c r="T220" s="5">
        <v>4.6999999999999999E-4</v>
      </c>
      <c r="U220" s="1">
        <v>-4.82E-2</v>
      </c>
      <c r="V220" s="1">
        <v>6.2545999999999999</v>
      </c>
    </row>
    <row r="221" spans="1:22" x14ac:dyDescent="0.25">
      <c r="A221" s="1">
        <v>0.95809999999999995</v>
      </c>
      <c r="B221" s="9" t="s">
        <v>5145</v>
      </c>
      <c r="C221" s="2">
        <v>4363</v>
      </c>
      <c r="D221" s="2" t="s">
        <v>95</v>
      </c>
      <c r="E221" s="9" t="s">
        <v>5146</v>
      </c>
      <c r="F221" s="9" t="s">
        <v>5147</v>
      </c>
      <c r="G221" s="1">
        <v>1268.7497000000001</v>
      </c>
      <c r="H221" s="2">
        <v>1081</v>
      </c>
      <c r="I221" s="2">
        <v>2</v>
      </c>
      <c r="J221" s="1">
        <v>1268.6636000000001</v>
      </c>
      <c r="K221" s="1">
        <v>635.38210000000004</v>
      </c>
      <c r="L221" s="9" t="s">
        <v>5148</v>
      </c>
      <c r="M221" s="2">
        <v>6.74</v>
      </c>
      <c r="N221" s="4">
        <v>6515.11</v>
      </c>
      <c r="O221" s="1">
        <v>-67.75450551723128</v>
      </c>
      <c r="P221" s="6">
        <v>31.2</v>
      </c>
      <c r="Q221" s="6">
        <v>24.8</v>
      </c>
      <c r="R221" s="6">
        <v>9.4</v>
      </c>
      <c r="S221" s="6">
        <v>11</v>
      </c>
      <c r="T221" s="5">
        <v>7.1999999999999995E-2</v>
      </c>
      <c r="U221" s="1">
        <v>-8.6099999999999996E-2</v>
      </c>
      <c r="V221" s="1">
        <v>2.6589</v>
      </c>
    </row>
    <row r="222" spans="1:22" x14ac:dyDescent="0.25">
      <c r="A222" s="1">
        <v>0.97260000000000002</v>
      </c>
      <c r="B222" s="9" t="s">
        <v>5149</v>
      </c>
      <c r="C222" s="2">
        <v>4366</v>
      </c>
      <c r="D222" s="2" t="s">
        <v>349</v>
      </c>
      <c r="E222" s="9" t="s">
        <v>1489</v>
      </c>
      <c r="F222" s="9" t="s">
        <v>1490</v>
      </c>
      <c r="G222" s="1">
        <v>1911.8706999999999</v>
      </c>
      <c r="H222" s="2">
        <v>1082</v>
      </c>
      <c r="I222" s="2">
        <v>3</v>
      </c>
      <c r="J222" s="1">
        <v>1913.8197</v>
      </c>
      <c r="K222" s="1">
        <v>638.29750000000001</v>
      </c>
      <c r="L222" s="9" t="s">
        <v>1491</v>
      </c>
      <c r="M222" s="2">
        <v>4.46</v>
      </c>
      <c r="N222" s="4">
        <v>6522.42</v>
      </c>
      <c r="O222" s="1">
        <v>-30.137462024630587</v>
      </c>
      <c r="P222" s="6">
        <v>38.1</v>
      </c>
      <c r="Q222" s="6">
        <v>24.4</v>
      </c>
      <c r="R222" s="6">
        <v>11.2</v>
      </c>
      <c r="S222" s="6">
        <v>10</v>
      </c>
      <c r="T222" s="5">
        <v>1.5E-3</v>
      </c>
      <c r="U222" s="1">
        <v>1.9490000000000001</v>
      </c>
      <c r="V222" s="1">
        <v>5.4146000000000001</v>
      </c>
    </row>
    <row r="223" spans="1:22" x14ac:dyDescent="0.25">
      <c r="A223" s="1">
        <v>0.99729999999999996</v>
      </c>
      <c r="B223" s="9" t="s">
        <v>5150</v>
      </c>
      <c r="C223" s="2">
        <v>4378</v>
      </c>
      <c r="D223" s="2" t="s">
        <v>2337</v>
      </c>
      <c r="E223" s="9" t="s">
        <v>2849</v>
      </c>
      <c r="F223" s="9" t="s">
        <v>97</v>
      </c>
      <c r="G223" s="1">
        <v>2497.1587</v>
      </c>
      <c r="H223" s="2">
        <v>1086</v>
      </c>
      <c r="I223" s="2">
        <v>3</v>
      </c>
      <c r="J223" s="1">
        <v>2497.1325000000002</v>
      </c>
      <c r="K223" s="1">
        <v>833.39350000000002</v>
      </c>
      <c r="L223" s="9" t="s">
        <v>98</v>
      </c>
      <c r="M223" s="2">
        <v>4.37</v>
      </c>
      <c r="N223" s="4">
        <v>6544.42</v>
      </c>
      <c r="O223" s="1">
        <v>-10.47924339862662</v>
      </c>
      <c r="P223" s="6">
        <v>37.1</v>
      </c>
      <c r="Q223" s="6">
        <v>24.5</v>
      </c>
      <c r="R223" s="6">
        <v>11.9</v>
      </c>
      <c r="S223" s="6">
        <v>7.4</v>
      </c>
      <c r="T223" s="5">
        <v>2.0999999999999999E-3</v>
      </c>
      <c r="U223" s="1">
        <v>-2.6200000000000001E-2</v>
      </c>
      <c r="V223" s="1">
        <v>4.2773000000000003</v>
      </c>
    </row>
    <row r="224" spans="1:22" x14ac:dyDescent="0.25">
      <c r="A224" s="1">
        <v>0.98650000000000004</v>
      </c>
      <c r="B224" s="9" t="s">
        <v>5151</v>
      </c>
      <c r="C224" s="2">
        <v>4382</v>
      </c>
      <c r="D224" s="2" t="s">
        <v>520</v>
      </c>
      <c r="E224" s="9" t="s">
        <v>5152</v>
      </c>
      <c r="F224" s="9" t="s">
        <v>5153</v>
      </c>
      <c r="G224" s="1">
        <v>1589.7677000000001</v>
      </c>
      <c r="H224" s="2">
        <v>633</v>
      </c>
      <c r="I224" s="2">
        <v>2</v>
      </c>
      <c r="J224" s="1">
        <v>1589.7353000000001</v>
      </c>
      <c r="K224" s="1">
        <v>795.89110000000005</v>
      </c>
      <c r="L224" s="9" t="s">
        <v>248</v>
      </c>
      <c r="M224" s="2">
        <v>4.32</v>
      </c>
      <c r="N224" s="4">
        <v>6551.77</v>
      </c>
      <c r="O224" s="1">
        <v>-20.35454347962931</v>
      </c>
      <c r="P224" s="6">
        <v>34.1</v>
      </c>
      <c r="Q224" s="6">
        <v>26</v>
      </c>
      <c r="R224" s="6">
        <v>11.8</v>
      </c>
      <c r="S224" s="6">
        <v>10.7</v>
      </c>
      <c r="T224" s="5">
        <v>5.3E-3</v>
      </c>
      <c r="U224" s="1">
        <v>-3.2399999999999998E-2</v>
      </c>
      <c r="V224" s="1">
        <v>3.7793999999999999</v>
      </c>
    </row>
    <row r="225" spans="1:22" x14ac:dyDescent="0.25">
      <c r="A225" s="1">
        <v>0.99529999999999996</v>
      </c>
      <c r="B225" s="9" t="s">
        <v>5154</v>
      </c>
      <c r="C225" s="2">
        <v>4393</v>
      </c>
      <c r="D225" s="2" t="s">
        <v>78</v>
      </c>
      <c r="E225" s="9" t="s">
        <v>502</v>
      </c>
      <c r="F225" s="9" t="s">
        <v>267</v>
      </c>
      <c r="G225" s="1">
        <v>1249.6267</v>
      </c>
      <c r="H225" s="2">
        <v>1087</v>
      </c>
      <c r="I225" s="2">
        <v>2</v>
      </c>
      <c r="J225" s="1">
        <v>1249.5847000000001</v>
      </c>
      <c r="K225" s="1">
        <v>625.82060000000001</v>
      </c>
      <c r="L225" s="9" t="s">
        <v>268</v>
      </c>
      <c r="M225" s="2">
        <v>4.75</v>
      </c>
      <c r="N225" s="4">
        <v>6573.81</v>
      </c>
      <c r="O225" s="1">
        <v>-33.555942389879782</v>
      </c>
      <c r="P225" s="6">
        <v>39.1</v>
      </c>
      <c r="Q225" s="6">
        <v>25.4</v>
      </c>
      <c r="R225" s="6">
        <v>12.6</v>
      </c>
      <c r="S225" s="6">
        <v>9.3000000000000007</v>
      </c>
      <c r="T225" s="5">
        <v>1.0999999999999999E-2</v>
      </c>
      <c r="U225" s="1">
        <v>-4.2000000000000003E-2</v>
      </c>
      <c r="V225" s="1">
        <v>4.4546000000000001</v>
      </c>
    </row>
    <row r="226" spans="1:22" x14ac:dyDescent="0.25">
      <c r="A226" s="1">
        <v>0.99319999999999997</v>
      </c>
      <c r="B226" s="9" t="s">
        <v>5155</v>
      </c>
      <c r="C226" s="2">
        <v>4395</v>
      </c>
      <c r="D226" s="2" t="s">
        <v>370</v>
      </c>
      <c r="E226" s="9" t="s">
        <v>414</v>
      </c>
      <c r="F226" s="9" t="s">
        <v>415</v>
      </c>
      <c r="G226" s="1">
        <v>1348.7427</v>
      </c>
      <c r="H226" s="2">
        <v>899</v>
      </c>
      <c r="I226" s="2">
        <v>2</v>
      </c>
      <c r="J226" s="1">
        <v>1348.6668</v>
      </c>
      <c r="K226" s="1">
        <v>675.37860000000001</v>
      </c>
      <c r="L226" s="9" t="s">
        <v>416</v>
      </c>
      <c r="M226" s="2">
        <v>8.59</v>
      </c>
      <c r="N226" s="4">
        <v>6580.2</v>
      </c>
      <c r="O226" s="1">
        <v>-56.190705479859737</v>
      </c>
      <c r="P226" s="6">
        <v>48.8</v>
      </c>
      <c r="Q226" s="6">
        <v>34.700000000000003</v>
      </c>
      <c r="R226" s="6">
        <v>11.6</v>
      </c>
      <c r="S226" s="6">
        <v>11.8</v>
      </c>
      <c r="T226" s="5">
        <v>8.3999999999999995E-3</v>
      </c>
      <c r="U226" s="1">
        <v>-7.5899999999999995E-2</v>
      </c>
      <c r="V226" s="1">
        <v>4.0995999999999997</v>
      </c>
    </row>
    <row r="227" spans="1:22" x14ac:dyDescent="0.25">
      <c r="A227" s="1">
        <v>0.98560000000000003</v>
      </c>
      <c r="B227" s="9" t="s">
        <v>5156</v>
      </c>
      <c r="C227" s="2">
        <v>4398</v>
      </c>
      <c r="D227" s="2" t="s">
        <v>78</v>
      </c>
      <c r="E227" s="9" t="s">
        <v>5157</v>
      </c>
      <c r="F227" s="9" t="s">
        <v>267</v>
      </c>
      <c r="G227" s="1">
        <v>1404.6427000000001</v>
      </c>
      <c r="H227" s="2">
        <v>1089</v>
      </c>
      <c r="I227" s="2">
        <v>2</v>
      </c>
      <c r="J227" s="1">
        <v>1404.6295</v>
      </c>
      <c r="K227" s="1">
        <v>703.32860000000005</v>
      </c>
      <c r="L227" s="9" t="s">
        <v>268</v>
      </c>
      <c r="M227" s="2">
        <v>8.26</v>
      </c>
      <c r="N227" s="4">
        <v>6581.25</v>
      </c>
      <c r="O227" s="1">
        <v>-9.3839494085694781</v>
      </c>
      <c r="P227" s="6">
        <v>39.700000000000003</v>
      </c>
      <c r="Q227" s="6">
        <v>32.4</v>
      </c>
      <c r="R227" s="6">
        <v>10.8</v>
      </c>
      <c r="S227" s="6">
        <v>12.3</v>
      </c>
      <c r="T227" s="5">
        <v>1.4999999999999999E-2</v>
      </c>
      <c r="U227" s="1">
        <v>-1.32E-2</v>
      </c>
      <c r="V227" s="1">
        <v>3.4552999999999998</v>
      </c>
    </row>
    <row r="228" spans="1:22" x14ac:dyDescent="0.25">
      <c r="A228" s="1">
        <v>0.99770000000000003</v>
      </c>
      <c r="B228" s="9" t="s">
        <v>5158</v>
      </c>
      <c r="C228" s="2">
        <v>4399</v>
      </c>
      <c r="D228" s="2" t="s">
        <v>331</v>
      </c>
      <c r="E228" s="9" t="s">
        <v>5159</v>
      </c>
      <c r="F228" s="9" t="s">
        <v>235</v>
      </c>
      <c r="G228" s="1">
        <v>1415.7577000000001</v>
      </c>
      <c r="H228" s="2">
        <v>634</v>
      </c>
      <c r="I228" s="2">
        <v>2</v>
      </c>
      <c r="J228" s="1">
        <v>1415.7184</v>
      </c>
      <c r="K228" s="1">
        <v>708.88610000000006</v>
      </c>
      <c r="L228" s="9" t="s">
        <v>236</v>
      </c>
      <c r="M228" s="2">
        <v>4.8600000000000003</v>
      </c>
      <c r="N228" s="4">
        <v>6581.25</v>
      </c>
      <c r="O228" s="1">
        <v>-27.719544790058656</v>
      </c>
      <c r="P228" s="6">
        <v>40.9</v>
      </c>
      <c r="Q228" s="6">
        <v>31.1</v>
      </c>
      <c r="R228" s="6">
        <v>13</v>
      </c>
      <c r="S228" s="6">
        <v>7.3</v>
      </c>
      <c r="T228" s="5">
        <v>4.8000000000000001E-4</v>
      </c>
      <c r="U228" s="1">
        <v>-3.9300000000000002E-2</v>
      </c>
      <c r="V228" s="1">
        <v>5.0362999999999998</v>
      </c>
    </row>
    <row r="229" spans="1:22" x14ac:dyDescent="0.25">
      <c r="A229" s="1">
        <v>0.99880000000000002</v>
      </c>
      <c r="B229" s="9" t="s">
        <v>5160</v>
      </c>
      <c r="C229" s="2">
        <v>4413</v>
      </c>
      <c r="D229" s="2" t="s">
        <v>2910</v>
      </c>
      <c r="E229" s="9" t="s">
        <v>2849</v>
      </c>
      <c r="F229" s="9" t="s">
        <v>97</v>
      </c>
      <c r="G229" s="1">
        <v>2497.1587</v>
      </c>
      <c r="H229" s="2">
        <v>1090</v>
      </c>
      <c r="I229" s="2">
        <v>3</v>
      </c>
      <c r="J229" s="1">
        <v>2497.1007</v>
      </c>
      <c r="K229" s="1">
        <v>833.39350000000002</v>
      </c>
      <c r="L229" s="9" t="s">
        <v>98</v>
      </c>
      <c r="M229" s="2">
        <v>4.37</v>
      </c>
      <c r="N229" s="4">
        <v>6610.55</v>
      </c>
      <c r="O229" s="1">
        <v>-23.198325080929155</v>
      </c>
      <c r="P229" s="6">
        <v>41.2</v>
      </c>
      <c r="Q229" s="6">
        <v>26.9</v>
      </c>
      <c r="R229" s="6">
        <v>11.8</v>
      </c>
      <c r="S229" s="6">
        <v>6.7</v>
      </c>
      <c r="T229" s="5">
        <v>4.6999999999999999E-4</v>
      </c>
      <c r="U229" s="1">
        <v>-5.8000000000000003E-2</v>
      </c>
      <c r="V229" s="1">
        <v>4.9474</v>
      </c>
    </row>
    <row r="230" spans="1:22" x14ac:dyDescent="0.25">
      <c r="A230" s="1">
        <v>0.99770000000000003</v>
      </c>
      <c r="B230" s="9" t="s">
        <v>5161</v>
      </c>
      <c r="C230" s="2">
        <v>4418</v>
      </c>
      <c r="D230" s="2" t="s">
        <v>1259</v>
      </c>
      <c r="E230" s="9" t="s">
        <v>5162</v>
      </c>
      <c r="F230" s="9" t="s">
        <v>97</v>
      </c>
      <c r="G230" s="1">
        <v>1844.8507</v>
      </c>
      <c r="H230" s="2">
        <v>1092</v>
      </c>
      <c r="I230" s="2">
        <v>2</v>
      </c>
      <c r="J230" s="1">
        <v>1844.8046999999999</v>
      </c>
      <c r="K230" s="1">
        <v>923.43259999999998</v>
      </c>
      <c r="L230" s="9" t="s">
        <v>98</v>
      </c>
      <c r="M230" s="2">
        <v>4.1399999999999997</v>
      </c>
      <c r="N230" s="4">
        <v>6617.9</v>
      </c>
      <c r="O230" s="1">
        <v>-24.907069557648281</v>
      </c>
      <c r="P230" s="6">
        <v>41.4</v>
      </c>
      <c r="Q230" s="6">
        <v>27.5</v>
      </c>
      <c r="R230" s="6">
        <v>10.6</v>
      </c>
      <c r="S230" s="6">
        <v>7.9</v>
      </c>
      <c r="T230" s="5">
        <v>1.3999999999999999E-4</v>
      </c>
      <c r="U230" s="1">
        <v>-4.5999999999999999E-2</v>
      </c>
      <c r="V230" s="1">
        <v>5.2925000000000004</v>
      </c>
    </row>
    <row r="231" spans="1:22" x14ac:dyDescent="0.25">
      <c r="A231" s="1">
        <v>0.99850000000000005</v>
      </c>
      <c r="B231" s="9" t="s">
        <v>5163</v>
      </c>
      <c r="C231" s="2">
        <v>4421</v>
      </c>
      <c r="D231" s="2" t="s">
        <v>1349</v>
      </c>
      <c r="E231" s="9" t="s">
        <v>5164</v>
      </c>
      <c r="F231" s="9" t="s">
        <v>411</v>
      </c>
      <c r="G231" s="1">
        <v>2281.0697</v>
      </c>
      <c r="H231" s="2">
        <v>1093</v>
      </c>
      <c r="I231" s="2">
        <v>3</v>
      </c>
      <c r="J231" s="1">
        <v>2281.0151000000001</v>
      </c>
      <c r="K231" s="1">
        <v>761.36379999999997</v>
      </c>
      <c r="L231" s="9" t="s">
        <v>412</v>
      </c>
      <c r="M231" s="2">
        <v>5.71</v>
      </c>
      <c r="N231" s="4">
        <v>6625.25</v>
      </c>
      <c r="O231" s="1">
        <v>-23.904472474262636</v>
      </c>
      <c r="P231" s="6">
        <v>42.2</v>
      </c>
      <c r="Q231" s="6">
        <v>30.6</v>
      </c>
      <c r="R231" s="6">
        <v>12.3</v>
      </c>
      <c r="S231" s="6">
        <v>7.3</v>
      </c>
      <c r="T231" s="5">
        <v>4.8999999999999998E-4</v>
      </c>
      <c r="U231" s="1">
        <v>-5.4600000000000003E-2</v>
      </c>
      <c r="V231" s="1">
        <v>4.7257999999999996</v>
      </c>
    </row>
    <row r="232" spans="1:22" x14ac:dyDescent="0.25">
      <c r="A232" s="1">
        <v>0.98980000000000001</v>
      </c>
      <c r="B232" s="9" t="s">
        <v>5165</v>
      </c>
      <c r="C232" s="2">
        <v>4429</v>
      </c>
      <c r="D232" s="2" t="s">
        <v>621</v>
      </c>
      <c r="E232" s="9" t="s">
        <v>502</v>
      </c>
      <c r="F232" s="9" t="s">
        <v>267</v>
      </c>
      <c r="G232" s="1">
        <v>1249.6267</v>
      </c>
      <c r="H232" s="2">
        <v>750</v>
      </c>
      <c r="I232" s="2">
        <v>2</v>
      </c>
      <c r="J232" s="1">
        <v>1249.5908999999999</v>
      </c>
      <c r="K232" s="1">
        <v>625.82060000000001</v>
      </c>
      <c r="L232" s="9" t="s">
        <v>268</v>
      </c>
      <c r="M232" s="2">
        <v>4.75</v>
      </c>
      <c r="N232" s="4">
        <v>6642.15</v>
      </c>
      <c r="O232" s="1">
        <v>-28.602446132326101</v>
      </c>
      <c r="P232" s="6">
        <v>36.200000000000003</v>
      </c>
      <c r="Q232" s="6">
        <v>25.8</v>
      </c>
      <c r="R232" s="6">
        <v>12.5</v>
      </c>
      <c r="S232" s="6">
        <v>10.8</v>
      </c>
      <c r="T232" s="5">
        <v>1.0999999999999999E-2</v>
      </c>
      <c r="U232" s="1">
        <v>-3.5799999999999998E-2</v>
      </c>
      <c r="V232" s="1">
        <v>4.1353999999999997</v>
      </c>
    </row>
    <row r="233" spans="1:22" x14ac:dyDescent="0.25">
      <c r="A233" s="1">
        <v>0.99170000000000003</v>
      </c>
      <c r="B233" s="9" t="s">
        <v>5166</v>
      </c>
      <c r="C233" s="2">
        <v>4430</v>
      </c>
      <c r="D233" s="2" t="s">
        <v>370</v>
      </c>
      <c r="E233" s="9" t="s">
        <v>414</v>
      </c>
      <c r="F233" s="9" t="s">
        <v>415</v>
      </c>
      <c r="G233" s="1">
        <v>1348.7427</v>
      </c>
      <c r="H233" s="2">
        <v>635</v>
      </c>
      <c r="I233" s="2">
        <v>2</v>
      </c>
      <c r="J233" s="1">
        <v>1348.6658</v>
      </c>
      <c r="K233" s="1">
        <v>675.37860000000001</v>
      </c>
      <c r="L233" s="9" t="s">
        <v>416</v>
      </c>
      <c r="M233" s="2">
        <v>8.59</v>
      </c>
      <c r="N233" s="4">
        <v>6639.95</v>
      </c>
      <c r="O233" s="1">
        <v>-56.931030980253148</v>
      </c>
      <c r="P233" s="6">
        <v>48</v>
      </c>
      <c r="Q233" s="6">
        <v>33.6</v>
      </c>
      <c r="R233" s="6">
        <v>11.8</v>
      </c>
      <c r="S233" s="6">
        <v>8.6</v>
      </c>
      <c r="T233" s="5">
        <v>1.6E-2</v>
      </c>
      <c r="U233" s="1">
        <v>-7.6899999999999996E-2</v>
      </c>
      <c r="V233" s="1">
        <v>3.8420999999999998</v>
      </c>
    </row>
    <row r="234" spans="1:22" x14ac:dyDescent="0.25">
      <c r="A234" s="1">
        <v>0.98640000000000005</v>
      </c>
      <c r="B234" s="9" t="s">
        <v>5167</v>
      </c>
      <c r="C234" s="2">
        <v>4431</v>
      </c>
      <c r="D234" s="2" t="s">
        <v>3503</v>
      </c>
      <c r="E234" s="9" t="s">
        <v>5168</v>
      </c>
      <c r="F234" s="9" t="s">
        <v>5169</v>
      </c>
      <c r="G234" s="1">
        <v>2113.0767000000001</v>
      </c>
      <c r="H234" s="2">
        <v>1095</v>
      </c>
      <c r="I234" s="2">
        <v>3</v>
      </c>
      <c r="J234" s="1">
        <v>2113.0057999999999</v>
      </c>
      <c r="K234" s="1">
        <v>705.36620000000005</v>
      </c>
      <c r="L234" s="9" t="s">
        <v>5170</v>
      </c>
      <c r="M234" s="2">
        <v>4.22</v>
      </c>
      <c r="N234" s="4">
        <v>6639.95</v>
      </c>
      <c r="O234" s="1">
        <v>-33.5050550101966</v>
      </c>
      <c r="P234" s="6">
        <v>34.700000000000003</v>
      </c>
      <c r="Q234" s="6">
        <v>26.6</v>
      </c>
      <c r="R234" s="6">
        <v>11.8</v>
      </c>
      <c r="S234" s="6">
        <v>12.1</v>
      </c>
      <c r="T234" s="5">
        <v>0.02</v>
      </c>
      <c r="U234" s="1">
        <v>-7.0900000000000005E-2</v>
      </c>
      <c r="V234" s="1">
        <v>3.1444999999999999</v>
      </c>
    </row>
    <row r="235" spans="1:22" x14ac:dyDescent="0.25">
      <c r="A235" s="1">
        <v>0.99970000000000003</v>
      </c>
      <c r="B235" s="9" t="s">
        <v>5171</v>
      </c>
      <c r="C235" s="2">
        <v>4445</v>
      </c>
      <c r="D235" s="2" t="s">
        <v>1488</v>
      </c>
      <c r="E235" s="9" t="s">
        <v>5172</v>
      </c>
      <c r="F235" s="9" t="s">
        <v>5173</v>
      </c>
      <c r="G235" s="1">
        <v>1605.8797</v>
      </c>
      <c r="H235" s="2">
        <v>636</v>
      </c>
      <c r="I235" s="2">
        <v>2</v>
      </c>
      <c r="J235" s="1">
        <v>1605.8303000000001</v>
      </c>
      <c r="K235" s="1">
        <v>803.94709999999998</v>
      </c>
      <c r="L235" s="9" t="s">
        <v>5174</v>
      </c>
      <c r="M235" s="2">
        <v>6.22</v>
      </c>
      <c r="N235" s="4">
        <v>6669.27</v>
      </c>
      <c r="O235" s="1">
        <v>-30.723414513218593</v>
      </c>
      <c r="P235" s="6">
        <v>54.1</v>
      </c>
      <c r="Q235" s="6">
        <v>26.2</v>
      </c>
      <c r="R235" s="6">
        <v>12.5</v>
      </c>
      <c r="S235" s="6">
        <v>11.9</v>
      </c>
      <c r="T235" s="5">
        <v>2.8000000000000002E-7</v>
      </c>
      <c r="U235" s="1">
        <v>-4.9399999999999999E-2</v>
      </c>
      <c r="V235" s="1">
        <v>8.7637999999999998</v>
      </c>
    </row>
    <row r="236" spans="1:22" x14ac:dyDescent="0.25">
      <c r="A236" s="1">
        <v>0.999</v>
      </c>
      <c r="B236" s="9" t="s">
        <v>5175</v>
      </c>
      <c r="C236" s="2">
        <v>4457</v>
      </c>
      <c r="D236" s="2" t="s">
        <v>1349</v>
      </c>
      <c r="E236" s="9" t="s">
        <v>5164</v>
      </c>
      <c r="F236" s="9" t="s">
        <v>411</v>
      </c>
      <c r="G236" s="1">
        <v>2281.0697</v>
      </c>
      <c r="H236" s="2">
        <v>1098</v>
      </c>
      <c r="I236" s="2">
        <v>3</v>
      </c>
      <c r="J236" s="1">
        <v>2281.0201999999999</v>
      </c>
      <c r="K236" s="1">
        <v>761.36379999999997</v>
      </c>
      <c r="L236" s="9" t="s">
        <v>412</v>
      </c>
      <c r="M236" s="2">
        <v>5.71</v>
      </c>
      <c r="N236" s="4">
        <v>6691.3</v>
      </c>
      <c r="O236" s="1">
        <v>-21.671637133260081</v>
      </c>
      <c r="P236" s="6">
        <v>42.2</v>
      </c>
      <c r="Q236" s="6">
        <v>26.5</v>
      </c>
      <c r="R236" s="6">
        <v>12.2</v>
      </c>
      <c r="S236" s="6">
        <v>7.1</v>
      </c>
      <c r="T236" s="5">
        <v>6.2E-4</v>
      </c>
      <c r="U236" s="1">
        <v>-4.9500000000000002E-2</v>
      </c>
      <c r="V236" s="1">
        <v>5.0471000000000004</v>
      </c>
    </row>
    <row r="237" spans="1:22" x14ac:dyDescent="0.25">
      <c r="A237" s="1">
        <v>0.99160000000000004</v>
      </c>
      <c r="B237" s="9" t="s">
        <v>5176</v>
      </c>
      <c r="C237" s="2">
        <v>4458</v>
      </c>
      <c r="D237" s="2" t="s">
        <v>178</v>
      </c>
      <c r="E237" s="9" t="s">
        <v>480</v>
      </c>
      <c r="F237" s="9" t="s">
        <v>235</v>
      </c>
      <c r="G237" s="1">
        <v>1583.7877000000001</v>
      </c>
      <c r="H237" s="2">
        <v>637</v>
      </c>
      <c r="I237" s="2">
        <v>2</v>
      </c>
      <c r="J237" s="1">
        <v>1583.7487000000001</v>
      </c>
      <c r="K237" s="1">
        <v>792.90110000000004</v>
      </c>
      <c r="L237" s="9" t="s">
        <v>236</v>
      </c>
      <c r="M237" s="2">
        <v>6.76</v>
      </c>
      <c r="N237" s="4">
        <v>6691.3</v>
      </c>
      <c r="O237" s="1">
        <v>-24.59323111041213</v>
      </c>
      <c r="P237" s="6">
        <v>39.1</v>
      </c>
      <c r="Q237" s="6">
        <v>31.3</v>
      </c>
      <c r="R237" s="6">
        <v>9.6999999999999993</v>
      </c>
      <c r="S237" s="6">
        <v>5.0999999999999996</v>
      </c>
      <c r="T237" s="5">
        <v>3.2000000000000002E-3</v>
      </c>
      <c r="U237" s="1">
        <v>-3.9E-2</v>
      </c>
      <c r="V237" s="1">
        <v>3.8344999999999998</v>
      </c>
    </row>
    <row r="238" spans="1:22" x14ac:dyDescent="0.25">
      <c r="A238" s="1">
        <v>0.99929999999999997</v>
      </c>
      <c r="B238" s="9" t="s">
        <v>5177</v>
      </c>
      <c r="C238" s="2">
        <v>4461</v>
      </c>
      <c r="D238" s="2" t="s">
        <v>5178</v>
      </c>
      <c r="E238" s="9" t="s">
        <v>2863</v>
      </c>
      <c r="F238" s="9" t="s">
        <v>97</v>
      </c>
      <c r="G238" s="1">
        <v>2369.0997000000002</v>
      </c>
      <c r="H238" s="2">
        <v>1099</v>
      </c>
      <c r="I238" s="2">
        <v>3</v>
      </c>
      <c r="J238" s="1">
        <v>2369.0439000000001</v>
      </c>
      <c r="K238" s="1">
        <v>790.70719999999994</v>
      </c>
      <c r="L238" s="9" t="s">
        <v>98</v>
      </c>
      <c r="M238" s="2">
        <v>4.75</v>
      </c>
      <c r="N238" s="4">
        <v>6698.65</v>
      </c>
      <c r="O238" s="1">
        <v>-23.523246025836116</v>
      </c>
      <c r="P238" s="6">
        <v>41.2</v>
      </c>
      <c r="Q238" s="6">
        <v>26.3</v>
      </c>
      <c r="R238" s="6">
        <v>11.7</v>
      </c>
      <c r="S238" s="6">
        <v>6.6</v>
      </c>
      <c r="T238" s="5">
        <v>2.7E-4</v>
      </c>
      <c r="U238" s="1">
        <v>-5.5800000000000002E-2</v>
      </c>
      <c r="V238" s="1">
        <v>5.3646000000000003</v>
      </c>
    </row>
    <row r="239" spans="1:22" x14ac:dyDescent="0.25">
      <c r="A239" s="1">
        <v>0.9698</v>
      </c>
      <c r="B239" s="9" t="s">
        <v>5179</v>
      </c>
      <c r="C239" s="2">
        <v>4466</v>
      </c>
      <c r="D239" s="2" t="s">
        <v>361</v>
      </c>
      <c r="E239" s="9" t="s">
        <v>527</v>
      </c>
      <c r="F239" s="9" t="s">
        <v>528</v>
      </c>
      <c r="G239" s="1">
        <v>1379.6647</v>
      </c>
      <c r="H239" s="2">
        <v>385</v>
      </c>
      <c r="I239" s="2">
        <v>2</v>
      </c>
      <c r="J239" s="1">
        <v>1379.6303</v>
      </c>
      <c r="K239" s="1">
        <v>690.83960000000002</v>
      </c>
      <c r="L239" s="9" t="s">
        <v>529</v>
      </c>
      <c r="M239" s="2">
        <v>4.32</v>
      </c>
      <c r="N239" s="4">
        <v>6706.06</v>
      </c>
      <c r="O239" s="1">
        <v>-24.897240980395448</v>
      </c>
      <c r="P239" s="6">
        <v>31.9</v>
      </c>
      <c r="Q239" s="6">
        <v>21.4</v>
      </c>
      <c r="R239" s="6">
        <v>11.9</v>
      </c>
      <c r="S239" s="6">
        <v>9.6</v>
      </c>
      <c r="T239" s="5">
        <v>8.3000000000000004E-2</v>
      </c>
      <c r="U239" s="1">
        <v>-3.44E-2</v>
      </c>
      <c r="V239" s="1">
        <v>3.0699000000000001</v>
      </c>
    </row>
    <row r="240" spans="1:22" x14ac:dyDescent="0.25">
      <c r="A240" s="1">
        <v>0.99639999999999995</v>
      </c>
      <c r="B240" s="9" t="s">
        <v>5180</v>
      </c>
      <c r="C240" s="2">
        <v>4481</v>
      </c>
      <c r="D240" s="2" t="s">
        <v>349</v>
      </c>
      <c r="E240" s="9" t="s">
        <v>998</v>
      </c>
      <c r="F240" s="9" t="s">
        <v>602</v>
      </c>
      <c r="G240" s="1">
        <v>1773.9947</v>
      </c>
      <c r="H240" s="2">
        <v>1329</v>
      </c>
      <c r="I240" s="2">
        <v>3</v>
      </c>
      <c r="J240" s="1">
        <v>1773.8955000000001</v>
      </c>
      <c r="K240" s="1">
        <v>592.33879999999999</v>
      </c>
      <c r="L240" s="9" t="s">
        <v>603</v>
      </c>
      <c r="M240" s="2">
        <v>4.8499999999999996</v>
      </c>
      <c r="N240" s="4">
        <v>6737.51</v>
      </c>
      <c r="O240" s="1">
        <v>-55.823907984191933</v>
      </c>
      <c r="P240" s="6">
        <v>37.299999999999997</v>
      </c>
      <c r="Q240" s="6">
        <v>26.5</v>
      </c>
      <c r="R240" s="6">
        <v>12.1</v>
      </c>
      <c r="S240" s="6">
        <v>13.6</v>
      </c>
      <c r="T240" s="5">
        <v>2E-3</v>
      </c>
      <c r="U240" s="1">
        <v>-9.9199999999999997E-2</v>
      </c>
      <c r="V240" s="1">
        <v>4.9043999999999999</v>
      </c>
    </row>
    <row r="241" spans="1:22" x14ac:dyDescent="0.25">
      <c r="A241" s="1">
        <v>0.99350000000000005</v>
      </c>
      <c r="B241" s="9" t="s">
        <v>5181</v>
      </c>
      <c r="C241" s="2">
        <v>4485</v>
      </c>
      <c r="D241" s="2" t="s">
        <v>2601</v>
      </c>
      <c r="E241" s="9" t="s">
        <v>981</v>
      </c>
      <c r="F241" s="9" t="s">
        <v>982</v>
      </c>
      <c r="G241" s="1">
        <v>1940.0677000000001</v>
      </c>
      <c r="H241" s="2">
        <v>640</v>
      </c>
      <c r="I241" s="2">
        <v>3</v>
      </c>
      <c r="J241" s="1">
        <v>1940.0183</v>
      </c>
      <c r="K241" s="1">
        <v>647.69650000000001</v>
      </c>
      <c r="L241" s="9" t="s">
        <v>983</v>
      </c>
      <c r="M241" s="2">
        <v>8.75</v>
      </c>
      <c r="N241" s="4">
        <v>6742.63</v>
      </c>
      <c r="O241" s="1">
        <v>-25.423430058162531</v>
      </c>
      <c r="P241" s="6">
        <v>32.9</v>
      </c>
      <c r="Q241" s="6">
        <v>24.8</v>
      </c>
      <c r="R241" s="6">
        <v>10.5</v>
      </c>
      <c r="S241" s="6">
        <v>10.9</v>
      </c>
      <c r="T241" s="5">
        <v>9.2999999999999992E-3</v>
      </c>
      <c r="U241" s="1">
        <v>-4.9399999999999999E-2</v>
      </c>
      <c r="V241" s="1">
        <v>3.7698999999999998</v>
      </c>
    </row>
    <row r="242" spans="1:22" x14ac:dyDescent="0.25">
      <c r="A242" s="1">
        <v>0.99980000000000002</v>
      </c>
      <c r="B242" s="9" t="s">
        <v>5182</v>
      </c>
      <c r="C242" s="2">
        <v>4486</v>
      </c>
      <c r="D242" s="2" t="s">
        <v>349</v>
      </c>
      <c r="E242" s="9" t="s">
        <v>998</v>
      </c>
      <c r="F242" s="9" t="s">
        <v>1522</v>
      </c>
      <c r="G242" s="1">
        <v>1773.9947</v>
      </c>
      <c r="H242" s="2">
        <v>641</v>
      </c>
      <c r="I242" s="2">
        <v>3</v>
      </c>
      <c r="J242" s="1">
        <v>1773.9039</v>
      </c>
      <c r="K242" s="1">
        <v>592.33879999999999</v>
      </c>
      <c r="L242" s="9" t="s">
        <v>603</v>
      </c>
      <c r="M242" s="2">
        <v>4.8499999999999996</v>
      </c>
      <c r="N242" s="4">
        <v>6742.63</v>
      </c>
      <c r="O242" s="1">
        <v>-51.096883517788577</v>
      </c>
      <c r="P242" s="6">
        <v>40.6</v>
      </c>
      <c r="Q242" s="6">
        <v>23.2</v>
      </c>
      <c r="R242" s="6">
        <v>11.6</v>
      </c>
      <c r="S242" s="6">
        <v>13.9</v>
      </c>
      <c r="T242" s="5">
        <v>6.7000000000000002E-5</v>
      </c>
      <c r="U242" s="1">
        <v>-9.0800000000000006E-2</v>
      </c>
      <c r="V242" s="1">
        <v>7.3761000000000001</v>
      </c>
    </row>
    <row r="243" spans="1:22" x14ac:dyDescent="0.25">
      <c r="A243" s="1">
        <v>0.99780000000000002</v>
      </c>
      <c r="B243" s="9" t="s">
        <v>5183</v>
      </c>
      <c r="C243" s="2">
        <v>4489</v>
      </c>
      <c r="D243" s="2" t="s">
        <v>311</v>
      </c>
      <c r="E243" s="9" t="s">
        <v>539</v>
      </c>
      <c r="F243" s="9" t="s">
        <v>540</v>
      </c>
      <c r="G243" s="1">
        <v>1315.7166999999999</v>
      </c>
      <c r="H243" s="2">
        <v>387</v>
      </c>
      <c r="I243" s="2">
        <v>2</v>
      </c>
      <c r="J243" s="1">
        <v>1315.6847</v>
      </c>
      <c r="K243" s="1">
        <v>658.86559999999997</v>
      </c>
      <c r="L243" s="9" t="s">
        <v>514</v>
      </c>
      <c r="M243" s="2">
        <v>8.75</v>
      </c>
      <c r="N243" s="4">
        <v>6749.96</v>
      </c>
      <c r="O243" s="1">
        <v>-24.284163568412133</v>
      </c>
      <c r="P243" s="6">
        <v>36.4</v>
      </c>
      <c r="Q243" s="6">
        <v>21.4</v>
      </c>
      <c r="R243" s="6">
        <v>10.9</v>
      </c>
      <c r="S243" s="6">
        <v>11.6</v>
      </c>
      <c r="T243" s="5">
        <v>1.6000000000000001E-3</v>
      </c>
      <c r="U243" s="1">
        <v>-3.2000000000000001E-2</v>
      </c>
      <c r="V243" s="1">
        <v>5.2767999999999997</v>
      </c>
    </row>
    <row r="244" spans="1:22" x14ac:dyDescent="0.25">
      <c r="A244" s="1">
        <v>0.97099999999999997</v>
      </c>
      <c r="B244" s="9" t="s">
        <v>5184</v>
      </c>
      <c r="C244" s="2">
        <v>4494</v>
      </c>
      <c r="D244" s="2" t="s">
        <v>298</v>
      </c>
      <c r="E244" s="9" t="s">
        <v>5185</v>
      </c>
      <c r="F244" s="9" t="s">
        <v>766</v>
      </c>
      <c r="G244" s="1">
        <v>1020.5317</v>
      </c>
      <c r="H244" s="2">
        <v>1103</v>
      </c>
      <c r="I244" s="2">
        <v>2</v>
      </c>
      <c r="J244" s="1">
        <v>1020.5028</v>
      </c>
      <c r="K244" s="1">
        <v>511.2731</v>
      </c>
      <c r="L244" s="9" t="s">
        <v>767</v>
      </c>
      <c r="M244" s="2">
        <v>6.22</v>
      </c>
      <c r="N244" s="4">
        <v>6757.31</v>
      </c>
      <c r="O244" s="1">
        <v>-28.262781671869689</v>
      </c>
      <c r="P244" s="6">
        <v>33.700000000000003</v>
      </c>
      <c r="Q244" s="6">
        <v>27.5</v>
      </c>
      <c r="R244" s="6">
        <v>10.199999999999999</v>
      </c>
      <c r="S244" s="6">
        <v>8</v>
      </c>
      <c r="T244" s="5">
        <v>7.2999999999999995E-2</v>
      </c>
      <c r="U244" s="1">
        <v>-2.8899999999999999E-2</v>
      </c>
      <c r="V244" s="1">
        <v>2.9213</v>
      </c>
    </row>
    <row r="245" spans="1:22" x14ac:dyDescent="0.25">
      <c r="A245" s="1">
        <v>0.98780000000000001</v>
      </c>
      <c r="B245" s="9" t="s">
        <v>5186</v>
      </c>
      <c r="C245" s="2">
        <v>4497</v>
      </c>
      <c r="D245" s="2" t="s">
        <v>5187</v>
      </c>
      <c r="E245" s="9" t="s">
        <v>2863</v>
      </c>
      <c r="F245" s="9" t="s">
        <v>97</v>
      </c>
      <c r="G245" s="1">
        <v>2369.0997000000002</v>
      </c>
      <c r="H245" s="2">
        <v>642</v>
      </c>
      <c r="I245" s="2">
        <v>3</v>
      </c>
      <c r="J245" s="1">
        <v>2369.0488999999998</v>
      </c>
      <c r="K245" s="1">
        <v>790.70719999999994</v>
      </c>
      <c r="L245" s="9" t="s">
        <v>98</v>
      </c>
      <c r="M245" s="2">
        <v>4.75</v>
      </c>
      <c r="N245" s="4">
        <v>6764.63</v>
      </c>
      <c r="O245" s="1">
        <v>-21.415428281585566</v>
      </c>
      <c r="P245" s="6">
        <v>33.4</v>
      </c>
      <c r="Q245" s="6">
        <v>25</v>
      </c>
      <c r="R245" s="6">
        <v>11.7</v>
      </c>
      <c r="S245" s="6">
        <v>7.2</v>
      </c>
      <c r="T245" s="5">
        <v>4.3E-3</v>
      </c>
      <c r="U245" s="1">
        <v>-5.0799999999999998E-2</v>
      </c>
      <c r="V245" s="1">
        <v>3.6758000000000002</v>
      </c>
    </row>
    <row r="246" spans="1:22" x14ac:dyDescent="0.25">
      <c r="A246" s="1">
        <v>0.99990000000000001</v>
      </c>
      <c r="B246" s="9" t="s">
        <v>5188</v>
      </c>
      <c r="C246" s="2">
        <v>4521</v>
      </c>
      <c r="D246" s="2" t="s">
        <v>349</v>
      </c>
      <c r="E246" s="9" t="s">
        <v>998</v>
      </c>
      <c r="F246" s="9" t="s">
        <v>602</v>
      </c>
      <c r="G246" s="1">
        <v>1773.9947</v>
      </c>
      <c r="H246" s="2">
        <v>1105</v>
      </c>
      <c r="I246" s="2">
        <v>3</v>
      </c>
      <c r="J246" s="1">
        <v>1773.932</v>
      </c>
      <c r="K246" s="1">
        <v>592.33879999999999</v>
      </c>
      <c r="L246" s="9" t="s">
        <v>603</v>
      </c>
      <c r="M246" s="2">
        <v>4.8499999999999996</v>
      </c>
      <c r="N246" s="4">
        <v>6808.58</v>
      </c>
      <c r="O246" s="1">
        <v>-35.283861195653579</v>
      </c>
      <c r="P246" s="6">
        <v>40.799999999999997</v>
      </c>
      <c r="Q246" s="6">
        <v>25.3</v>
      </c>
      <c r="R246" s="6">
        <v>12.4</v>
      </c>
      <c r="S246" s="6">
        <v>13.9</v>
      </c>
      <c r="T246" s="5">
        <v>6.3999999999999997E-5</v>
      </c>
      <c r="U246" s="1">
        <v>-6.2700000000000006E-2</v>
      </c>
      <c r="V246" s="1">
        <v>7.1485000000000003</v>
      </c>
    </row>
    <row r="247" spans="1:22" x14ac:dyDescent="0.25">
      <c r="A247" s="1">
        <v>1</v>
      </c>
      <c r="B247" s="9" t="s">
        <v>5189</v>
      </c>
      <c r="C247" s="2">
        <v>4523</v>
      </c>
      <c r="D247" s="2" t="s">
        <v>3555</v>
      </c>
      <c r="E247" s="9" t="s">
        <v>5190</v>
      </c>
      <c r="F247" s="9" t="s">
        <v>97</v>
      </c>
      <c r="G247" s="1">
        <v>3030.4796999999999</v>
      </c>
      <c r="H247" s="2">
        <v>1106</v>
      </c>
      <c r="I247" s="2">
        <v>3</v>
      </c>
      <c r="J247" s="1">
        <v>3030.4025000000001</v>
      </c>
      <c r="K247" s="1">
        <v>1011.1672</v>
      </c>
      <c r="L247" s="9" t="s">
        <v>98</v>
      </c>
      <c r="M247" s="2">
        <v>6.07</v>
      </c>
      <c r="N247" s="4">
        <v>6808.58</v>
      </c>
      <c r="O247" s="1">
        <v>-25.449137722557985</v>
      </c>
      <c r="P247" s="6">
        <v>66.099999999999994</v>
      </c>
      <c r="Q247" s="6">
        <v>25.1</v>
      </c>
      <c r="R247" s="6">
        <v>11.8</v>
      </c>
      <c r="S247" s="6">
        <v>9.6</v>
      </c>
      <c r="T247" s="5">
        <v>1.6999999999999999E-11</v>
      </c>
      <c r="U247" s="1">
        <v>-7.7200000000000005E-2</v>
      </c>
      <c r="V247" s="1">
        <v>12.359400000000001</v>
      </c>
    </row>
    <row r="248" spans="1:22" x14ac:dyDescent="0.25">
      <c r="A248" s="1">
        <v>0.99790000000000001</v>
      </c>
      <c r="B248" s="9" t="s">
        <v>5191</v>
      </c>
      <c r="C248" s="2">
        <v>4525</v>
      </c>
      <c r="D248" s="2" t="s">
        <v>331</v>
      </c>
      <c r="E248" s="9" t="s">
        <v>539</v>
      </c>
      <c r="F248" s="9" t="s">
        <v>540</v>
      </c>
      <c r="G248" s="1">
        <v>1315.7166999999999</v>
      </c>
      <c r="H248" s="2">
        <v>61</v>
      </c>
      <c r="I248" s="2">
        <v>2</v>
      </c>
      <c r="J248" s="1">
        <v>1315.6856</v>
      </c>
      <c r="K248" s="1">
        <v>658.86559999999997</v>
      </c>
      <c r="L248" s="9" t="s">
        <v>514</v>
      </c>
      <c r="M248" s="2">
        <v>8.75</v>
      </c>
      <c r="N248" s="4">
        <v>6815.91</v>
      </c>
      <c r="O248" s="1">
        <v>-23.601171468050541</v>
      </c>
      <c r="P248" s="6">
        <v>39.299999999999997</v>
      </c>
      <c r="Q248" s="6">
        <v>23.4</v>
      </c>
      <c r="R248" s="6">
        <v>11.1</v>
      </c>
      <c r="S248" s="6">
        <v>11.6</v>
      </c>
      <c r="T248" s="5">
        <v>1.8E-3</v>
      </c>
      <c r="U248" s="1">
        <v>-3.1099999999999999E-2</v>
      </c>
      <c r="V248" s="1">
        <v>5.1877000000000004</v>
      </c>
    </row>
    <row r="249" spans="1:22" x14ac:dyDescent="0.25">
      <c r="A249" s="1">
        <v>0.96519999999999995</v>
      </c>
      <c r="B249" s="9" t="s">
        <v>5192</v>
      </c>
      <c r="C249" s="2">
        <v>4527</v>
      </c>
      <c r="D249" s="2" t="s">
        <v>302</v>
      </c>
      <c r="E249" s="9" t="s">
        <v>2788</v>
      </c>
      <c r="F249" s="9" t="s">
        <v>5193</v>
      </c>
      <c r="G249" s="1">
        <v>1383.8197</v>
      </c>
      <c r="H249" s="2">
        <v>794</v>
      </c>
      <c r="I249" s="2">
        <v>2</v>
      </c>
      <c r="J249" s="1">
        <v>1383.7760000000001</v>
      </c>
      <c r="K249" s="1">
        <v>692.9171</v>
      </c>
      <c r="L249" s="9" t="s">
        <v>2790</v>
      </c>
      <c r="M249" s="2">
        <v>8.59</v>
      </c>
      <c r="N249" s="4">
        <v>6822.21</v>
      </c>
      <c r="O249" s="1">
        <v>-31.533353701330221</v>
      </c>
      <c r="P249" s="6">
        <v>34</v>
      </c>
      <c r="Q249" s="6">
        <v>24.3</v>
      </c>
      <c r="R249" s="6">
        <v>12.1</v>
      </c>
      <c r="S249" s="6">
        <v>12.7</v>
      </c>
      <c r="T249" s="5">
        <v>0.13</v>
      </c>
      <c r="U249" s="1">
        <v>-4.3700000000000003E-2</v>
      </c>
      <c r="V249" s="1">
        <v>2.7606000000000002</v>
      </c>
    </row>
    <row r="250" spans="1:22" x14ac:dyDescent="0.25">
      <c r="A250" s="1">
        <v>0.99039999999999995</v>
      </c>
      <c r="B250" s="9" t="s">
        <v>5194</v>
      </c>
      <c r="C250" s="2">
        <v>4541</v>
      </c>
      <c r="D250" s="2" t="s">
        <v>5178</v>
      </c>
      <c r="E250" s="9" t="s">
        <v>2863</v>
      </c>
      <c r="F250" s="9" t="s">
        <v>97</v>
      </c>
      <c r="G250" s="1">
        <v>2369.0997000000002</v>
      </c>
      <c r="H250" s="2">
        <v>1108</v>
      </c>
      <c r="I250" s="2">
        <v>3</v>
      </c>
      <c r="J250" s="1">
        <v>2370.0418</v>
      </c>
      <c r="K250" s="1">
        <v>790.70719999999994</v>
      </c>
      <c r="L250" s="9" t="s">
        <v>98</v>
      </c>
      <c r="M250" s="2">
        <v>4.75</v>
      </c>
      <c r="N250" s="4">
        <v>6845.27</v>
      </c>
      <c r="O250" s="1">
        <v>-25.822875184813441</v>
      </c>
      <c r="P250" s="6">
        <v>41.1</v>
      </c>
      <c r="Q250" s="6">
        <v>27.2</v>
      </c>
      <c r="R250" s="6">
        <v>11.7</v>
      </c>
      <c r="S250" s="6">
        <v>5.7</v>
      </c>
      <c r="T250" s="5">
        <v>2.5999999999999998E-5</v>
      </c>
      <c r="U250" s="1">
        <v>0.94210000000000005</v>
      </c>
      <c r="V250" s="1">
        <v>6.2836999999999996</v>
      </c>
    </row>
    <row r="251" spans="1:22" x14ac:dyDescent="0.25">
      <c r="A251" s="1">
        <v>0.99650000000000005</v>
      </c>
      <c r="B251" s="9" t="s">
        <v>5195</v>
      </c>
      <c r="C251" s="2">
        <v>4553</v>
      </c>
      <c r="D251" s="2" t="s">
        <v>568</v>
      </c>
      <c r="E251" s="9" t="s">
        <v>569</v>
      </c>
      <c r="F251" s="9" t="s">
        <v>570</v>
      </c>
      <c r="G251" s="1">
        <v>1606.7656999999999</v>
      </c>
      <c r="H251" s="2">
        <v>759</v>
      </c>
      <c r="I251" s="2">
        <v>2</v>
      </c>
      <c r="J251" s="1">
        <v>1606.7363</v>
      </c>
      <c r="K251" s="1">
        <v>804.39009999999996</v>
      </c>
      <c r="L251" s="9" t="s">
        <v>571</v>
      </c>
      <c r="M251" s="2">
        <v>4.75</v>
      </c>
      <c r="N251" s="4">
        <v>6869.52</v>
      </c>
      <c r="O251" s="1">
        <v>-18.274715215913272</v>
      </c>
      <c r="P251" s="6">
        <v>36.6</v>
      </c>
      <c r="Q251" s="6">
        <v>22.7</v>
      </c>
      <c r="R251" s="6">
        <v>10.199999999999999</v>
      </c>
      <c r="S251" s="6">
        <v>12.8</v>
      </c>
      <c r="T251" s="5">
        <v>2.9999999999999997E-4</v>
      </c>
      <c r="U251" s="1">
        <v>-2.9399999999999999E-2</v>
      </c>
      <c r="V251" s="1">
        <v>5.4927000000000001</v>
      </c>
    </row>
    <row r="252" spans="1:22" x14ac:dyDescent="0.25">
      <c r="A252" s="1">
        <v>0.98560000000000003</v>
      </c>
      <c r="B252" s="9" t="s">
        <v>5196</v>
      </c>
      <c r="C252" s="2">
        <v>4578</v>
      </c>
      <c r="D252" s="2" t="s">
        <v>95</v>
      </c>
      <c r="E252" s="9" t="s">
        <v>2385</v>
      </c>
      <c r="F252" s="9" t="s">
        <v>930</v>
      </c>
      <c r="G252" s="1">
        <v>1310.7266999999999</v>
      </c>
      <c r="H252" s="2">
        <v>646</v>
      </c>
      <c r="I252" s="2">
        <v>2</v>
      </c>
      <c r="J252" s="1">
        <v>1310.6833999999999</v>
      </c>
      <c r="K252" s="1">
        <v>656.37059999999997</v>
      </c>
      <c r="L252" s="9" t="s">
        <v>931</v>
      </c>
      <c r="M252" s="2">
        <v>6.09</v>
      </c>
      <c r="N252" s="4">
        <v>6911.39</v>
      </c>
      <c r="O252" s="1">
        <v>-32.984414597485021</v>
      </c>
      <c r="P252" s="6">
        <v>32.799999999999997</v>
      </c>
      <c r="Q252" s="6">
        <v>21.7</v>
      </c>
      <c r="R252" s="6">
        <v>13.1</v>
      </c>
      <c r="S252" s="6">
        <v>7.2</v>
      </c>
      <c r="T252" s="5">
        <v>5.8999999999999997E-2</v>
      </c>
      <c r="U252" s="1">
        <v>-4.3299999999999998E-2</v>
      </c>
      <c r="V252" s="1">
        <v>3.3978999999999999</v>
      </c>
    </row>
    <row r="253" spans="1:22" x14ac:dyDescent="0.25">
      <c r="A253" s="1">
        <v>0.99490000000000001</v>
      </c>
      <c r="B253" s="9" t="s">
        <v>5197</v>
      </c>
      <c r="C253" s="2">
        <v>4579</v>
      </c>
      <c r="D253" s="2" t="s">
        <v>370</v>
      </c>
      <c r="E253" s="9" t="s">
        <v>2378</v>
      </c>
      <c r="F253" s="9" t="s">
        <v>552</v>
      </c>
      <c r="G253" s="1">
        <v>1277.6796999999999</v>
      </c>
      <c r="H253" s="2">
        <v>1111</v>
      </c>
      <c r="I253" s="2">
        <v>2</v>
      </c>
      <c r="J253" s="1">
        <v>1277.6475</v>
      </c>
      <c r="K253" s="1">
        <v>639.84709999999995</v>
      </c>
      <c r="L253" s="9" t="s">
        <v>456</v>
      </c>
      <c r="M253" s="2">
        <v>6.71</v>
      </c>
      <c r="N253" s="4">
        <v>6911.39</v>
      </c>
      <c r="O253" s="1">
        <v>-25.162261421517734</v>
      </c>
      <c r="P253" s="6">
        <v>42.5</v>
      </c>
      <c r="Q253" s="6">
        <v>29.3</v>
      </c>
      <c r="R253" s="6">
        <v>12.1</v>
      </c>
      <c r="S253" s="6">
        <v>11.2</v>
      </c>
      <c r="T253" s="5">
        <v>5.7999999999999996E-3</v>
      </c>
      <c r="U253" s="1">
        <v>-3.2199999999999999E-2</v>
      </c>
      <c r="V253" s="1">
        <v>4.3826999999999998</v>
      </c>
    </row>
    <row r="254" spans="1:22" x14ac:dyDescent="0.25">
      <c r="A254" s="1">
        <v>0.99280000000000002</v>
      </c>
      <c r="B254" s="9" t="s">
        <v>5198</v>
      </c>
      <c r="C254" s="2">
        <v>4586</v>
      </c>
      <c r="D254" s="2" t="s">
        <v>423</v>
      </c>
      <c r="E254" s="9" t="s">
        <v>5199</v>
      </c>
      <c r="F254" s="9" t="s">
        <v>5200</v>
      </c>
      <c r="G254" s="1">
        <v>1612.7707</v>
      </c>
      <c r="H254" s="2">
        <v>1263</v>
      </c>
      <c r="I254" s="2">
        <v>2</v>
      </c>
      <c r="J254" s="1">
        <v>1612.7474999999999</v>
      </c>
      <c r="K254" s="1">
        <v>807.39260000000002</v>
      </c>
      <c r="L254" s="9" t="s">
        <v>5201</v>
      </c>
      <c r="M254" s="2">
        <v>6</v>
      </c>
      <c r="N254" s="4">
        <v>6930.32</v>
      </c>
      <c r="O254" s="1">
        <v>-14.367235964263234</v>
      </c>
      <c r="P254" s="6">
        <v>36.6</v>
      </c>
      <c r="Q254" s="6">
        <v>24.1</v>
      </c>
      <c r="R254" s="6">
        <v>12</v>
      </c>
      <c r="S254" s="6">
        <v>12.5</v>
      </c>
      <c r="T254" s="5">
        <v>7.2000000000000005E-4</v>
      </c>
      <c r="U254" s="1">
        <v>-2.3199999999999998E-2</v>
      </c>
      <c r="V254" s="1">
        <v>5.1266999999999996</v>
      </c>
    </row>
    <row r="255" spans="1:22" x14ac:dyDescent="0.25">
      <c r="A255" s="1">
        <v>0.99309999999999998</v>
      </c>
      <c r="B255" s="9" t="s">
        <v>5202</v>
      </c>
      <c r="C255" s="2">
        <v>4587</v>
      </c>
      <c r="D255" s="2" t="s">
        <v>451</v>
      </c>
      <c r="E255" s="9" t="s">
        <v>5203</v>
      </c>
      <c r="F255" s="9" t="s">
        <v>411</v>
      </c>
      <c r="G255" s="1">
        <v>1468.6577</v>
      </c>
      <c r="H255" s="2">
        <v>1112</v>
      </c>
      <c r="I255" s="2">
        <v>2</v>
      </c>
      <c r="J255" s="1">
        <v>1468.6332</v>
      </c>
      <c r="K255" s="1">
        <v>735.33609999999999</v>
      </c>
      <c r="L255" s="9" t="s">
        <v>412</v>
      </c>
      <c r="M255" s="2">
        <v>4.3</v>
      </c>
      <c r="N255" s="4">
        <v>6926.04</v>
      </c>
      <c r="O255" s="1">
        <v>-16.659048834947722</v>
      </c>
      <c r="P255" s="6">
        <v>35.4</v>
      </c>
      <c r="Q255" s="6">
        <v>25.7</v>
      </c>
      <c r="R255" s="6">
        <v>10.7</v>
      </c>
      <c r="S255" s="6">
        <v>11.3</v>
      </c>
      <c r="T255" s="5">
        <v>2.8E-3</v>
      </c>
      <c r="U255" s="1">
        <v>-2.4500000000000001E-2</v>
      </c>
      <c r="V255" s="1">
        <v>4.0853000000000002</v>
      </c>
    </row>
    <row r="256" spans="1:22" x14ac:dyDescent="0.25">
      <c r="A256" s="1">
        <v>0.97</v>
      </c>
      <c r="B256" s="9" t="s">
        <v>5204</v>
      </c>
      <c r="C256" s="2">
        <v>4589</v>
      </c>
      <c r="D256" s="2" t="s">
        <v>5205</v>
      </c>
      <c r="E256" s="9" t="s">
        <v>5206</v>
      </c>
      <c r="F256" s="9" t="s">
        <v>247</v>
      </c>
      <c r="G256" s="1">
        <v>1990.0697</v>
      </c>
      <c r="H256" s="2">
        <v>647</v>
      </c>
      <c r="I256" s="2">
        <v>3</v>
      </c>
      <c r="J256" s="1">
        <v>1990.0239999999999</v>
      </c>
      <c r="K256" s="1">
        <v>664.36379999999997</v>
      </c>
      <c r="L256" s="9" t="s">
        <v>248</v>
      </c>
      <c r="M256" s="2">
        <v>6.14</v>
      </c>
      <c r="N256" s="4">
        <v>6933.39</v>
      </c>
      <c r="O256" s="1">
        <v>-22.929204350588236</v>
      </c>
      <c r="P256" s="6">
        <v>29.6</v>
      </c>
      <c r="Q256" s="6">
        <v>22.2</v>
      </c>
      <c r="R256" s="6">
        <v>13.8</v>
      </c>
      <c r="S256" s="6">
        <v>7.3</v>
      </c>
      <c r="T256" s="5">
        <v>5.8000000000000003E-2</v>
      </c>
      <c r="U256" s="1">
        <v>-4.5699999999999998E-2</v>
      </c>
      <c r="V256" s="1">
        <v>2.7938000000000001</v>
      </c>
    </row>
    <row r="257" spans="1:22" x14ac:dyDescent="0.25">
      <c r="A257" s="1">
        <v>0.96950000000000003</v>
      </c>
      <c r="B257" s="9" t="s">
        <v>5207</v>
      </c>
      <c r="C257" s="2">
        <v>4606</v>
      </c>
      <c r="D257" s="2" t="s">
        <v>4969</v>
      </c>
      <c r="E257" s="9" t="s">
        <v>5208</v>
      </c>
      <c r="F257" s="9" t="s">
        <v>1490</v>
      </c>
      <c r="G257" s="1">
        <v>2068.0437000000002</v>
      </c>
      <c r="H257" s="2">
        <v>1114</v>
      </c>
      <c r="I257" s="2">
        <v>3</v>
      </c>
      <c r="J257" s="1">
        <v>2067.9647</v>
      </c>
      <c r="K257" s="1">
        <v>690.35519999999997</v>
      </c>
      <c r="L257" s="9" t="s">
        <v>1491</v>
      </c>
      <c r="M257" s="2">
        <v>4.46</v>
      </c>
      <c r="N257" s="4">
        <v>6962.77</v>
      </c>
      <c r="O257" s="1">
        <v>-38.144615023300084</v>
      </c>
      <c r="P257" s="6">
        <v>33.1</v>
      </c>
      <c r="Q257" s="6">
        <v>27.8</v>
      </c>
      <c r="R257" s="6">
        <v>9.6999999999999993</v>
      </c>
      <c r="S257" s="6">
        <v>11.7</v>
      </c>
      <c r="T257" s="5">
        <v>3.3000000000000002E-2</v>
      </c>
      <c r="U257" s="1">
        <v>-7.9000000000000001E-2</v>
      </c>
      <c r="V257" s="1">
        <v>2.6314000000000002</v>
      </c>
    </row>
    <row r="258" spans="1:22" x14ac:dyDescent="0.25">
      <c r="A258" s="1">
        <v>0.998</v>
      </c>
      <c r="B258" s="9" t="s">
        <v>5209</v>
      </c>
      <c r="C258" s="2">
        <v>4609</v>
      </c>
      <c r="D258" s="2" t="s">
        <v>2045</v>
      </c>
      <c r="E258" s="9" t="s">
        <v>5210</v>
      </c>
      <c r="F258" s="9" t="s">
        <v>5211</v>
      </c>
      <c r="G258" s="1">
        <v>1427.8416999999999</v>
      </c>
      <c r="H258" s="2">
        <v>65</v>
      </c>
      <c r="I258" s="2">
        <v>2</v>
      </c>
      <c r="J258" s="1">
        <v>1427.7998</v>
      </c>
      <c r="K258" s="1">
        <v>714.92809999999997</v>
      </c>
      <c r="L258" s="9" t="s">
        <v>5212</v>
      </c>
      <c r="M258" s="2">
        <v>8.59</v>
      </c>
      <c r="N258" s="4">
        <v>6970.12</v>
      </c>
      <c r="O258" s="1">
        <v>-29.303646058953341</v>
      </c>
      <c r="P258" s="6">
        <v>51.6</v>
      </c>
      <c r="Q258" s="6">
        <v>33.1</v>
      </c>
      <c r="R258" s="6">
        <v>12.2</v>
      </c>
      <c r="S258" s="6">
        <v>10.9</v>
      </c>
      <c r="T258" s="5">
        <v>1E-3</v>
      </c>
      <c r="U258" s="1">
        <v>-4.19E-2</v>
      </c>
      <c r="V258" s="1">
        <v>5.2465000000000002</v>
      </c>
    </row>
    <row r="259" spans="1:22" x14ac:dyDescent="0.25">
      <c r="A259" s="1">
        <v>0.99450000000000005</v>
      </c>
      <c r="B259" s="9" t="s">
        <v>5213</v>
      </c>
      <c r="C259" s="2">
        <v>4617</v>
      </c>
      <c r="D259" s="2" t="s">
        <v>201</v>
      </c>
      <c r="E259" s="9" t="s">
        <v>1554</v>
      </c>
      <c r="F259" s="9" t="s">
        <v>1555</v>
      </c>
      <c r="G259" s="1">
        <v>1403.7597000000001</v>
      </c>
      <c r="H259" s="2">
        <v>390</v>
      </c>
      <c r="I259" s="2">
        <v>2</v>
      </c>
      <c r="J259" s="1">
        <v>1403.7147</v>
      </c>
      <c r="K259" s="1">
        <v>702.88710000000003</v>
      </c>
      <c r="L259" s="9" t="s">
        <v>1556</v>
      </c>
      <c r="M259" s="2">
        <v>8.75</v>
      </c>
      <c r="N259" s="4">
        <v>6984.83</v>
      </c>
      <c r="O259" s="1">
        <v>-32.010830757884158</v>
      </c>
      <c r="P259" s="6">
        <v>48.1</v>
      </c>
      <c r="Q259" s="6">
        <v>37.6</v>
      </c>
      <c r="R259" s="6">
        <v>12.5</v>
      </c>
      <c r="S259" s="6">
        <v>12.2</v>
      </c>
      <c r="T259" s="5">
        <v>4.5999999999999999E-3</v>
      </c>
      <c r="U259" s="1">
        <v>-4.4999999999999998E-2</v>
      </c>
      <c r="V259" s="1">
        <v>4.2274000000000003</v>
      </c>
    </row>
    <row r="260" spans="1:22" x14ac:dyDescent="0.25">
      <c r="A260" s="1">
        <v>0.97050000000000003</v>
      </c>
      <c r="B260" s="9" t="s">
        <v>5214</v>
      </c>
      <c r="C260" s="2">
        <v>4619</v>
      </c>
      <c r="D260" s="2" t="s">
        <v>285</v>
      </c>
      <c r="E260" s="9" t="s">
        <v>5215</v>
      </c>
      <c r="F260" s="9" t="s">
        <v>1407</v>
      </c>
      <c r="G260" s="1">
        <v>1207.6747</v>
      </c>
      <c r="H260" s="2">
        <v>1116</v>
      </c>
      <c r="I260" s="2">
        <v>2</v>
      </c>
      <c r="J260" s="1">
        <v>1207.6378999999999</v>
      </c>
      <c r="K260" s="1">
        <v>604.84460000000001</v>
      </c>
      <c r="L260" s="9" t="s">
        <v>1408</v>
      </c>
      <c r="M260" s="2">
        <v>9.75</v>
      </c>
      <c r="N260" s="4">
        <v>6984.83</v>
      </c>
      <c r="O260" s="1">
        <v>-30.421037072993624</v>
      </c>
      <c r="P260" s="6">
        <v>45.9</v>
      </c>
      <c r="Q260" s="6">
        <v>42.1</v>
      </c>
      <c r="R260" s="6">
        <v>11.6</v>
      </c>
      <c r="S260" s="6">
        <v>10.1</v>
      </c>
      <c r="T260" s="5">
        <v>0.01</v>
      </c>
      <c r="U260" s="1">
        <v>-3.6799999999999999E-2</v>
      </c>
      <c r="V260" s="1">
        <v>2.9094000000000002</v>
      </c>
    </row>
    <row r="261" spans="1:22" x14ac:dyDescent="0.25">
      <c r="A261" s="1">
        <v>0.99990000000000001</v>
      </c>
      <c r="B261" s="9" t="s">
        <v>5216</v>
      </c>
      <c r="C261" s="2">
        <v>4621</v>
      </c>
      <c r="D261" s="2" t="s">
        <v>469</v>
      </c>
      <c r="E261" s="9" t="s">
        <v>5217</v>
      </c>
      <c r="F261" s="9" t="s">
        <v>627</v>
      </c>
      <c r="G261" s="1">
        <v>2059.0446999999999</v>
      </c>
      <c r="H261" s="2">
        <v>1117</v>
      </c>
      <c r="I261" s="2">
        <v>3</v>
      </c>
      <c r="J261" s="1">
        <v>2058.9717999999998</v>
      </c>
      <c r="K261" s="1">
        <v>687.35550000000001</v>
      </c>
      <c r="L261" s="9" t="s">
        <v>628</v>
      </c>
      <c r="M261" s="2">
        <v>4.8499999999999996</v>
      </c>
      <c r="N261" s="4">
        <v>6992.17</v>
      </c>
      <c r="O261" s="1">
        <v>-35.352885079118451</v>
      </c>
      <c r="P261" s="6">
        <v>48.1</v>
      </c>
      <c r="Q261" s="6">
        <v>27.6</v>
      </c>
      <c r="R261" s="6">
        <v>11.2</v>
      </c>
      <c r="S261" s="6">
        <v>13.1</v>
      </c>
      <c r="T261" s="5">
        <v>2.0999999999999999E-5</v>
      </c>
      <c r="U261" s="1">
        <v>-7.2900000000000006E-2</v>
      </c>
      <c r="V261" s="1">
        <v>7.492</v>
      </c>
    </row>
    <row r="262" spans="1:22" x14ac:dyDescent="0.25">
      <c r="A262" s="1">
        <v>0.97870000000000001</v>
      </c>
      <c r="B262" s="9" t="s">
        <v>5218</v>
      </c>
      <c r="C262" s="2">
        <v>4631</v>
      </c>
      <c r="D262" s="2" t="s">
        <v>702</v>
      </c>
      <c r="E262" s="9" t="s">
        <v>5219</v>
      </c>
      <c r="F262" s="9" t="s">
        <v>602</v>
      </c>
      <c r="G262" s="1">
        <v>1292.7047</v>
      </c>
      <c r="H262" s="2">
        <v>650</v>
      </c>
      <c r="I262" s="2">
        <v>2</v>
      </c>
      <c r="J262" s="1">
        <v>1292.6398999999999</v>
      </c>
      <c r="K262" s="1">
        <v>647.3596</v>
      </c>
      <c r="L262" s="9" t="s">
        <v>603</v>
      </c>
      <c r="M262" s="2">
        <v>4.54</v>
      </c>
      <c r="N262" s="4">
        <v>7006.88</v>
      </c>
      <c r="O262" s="1">
        <v>-50.0494624625942</v>
      </c>
      <c r="P262" s="6">
        <v>39.1</v>
      </c>
      <c r="Q262" s="6">
        <v>30.1</v>
      </c>
      <c r="R262" s="6">
        <v>12.4</v>
      </c>
      <c r="S262" s="6">
        <v>12.7</v>
      </c>
      <c r="T262" s="5">
        <v>1.6E-2</v>
      </c>
      <c r="U262" s="1">
        <v>-6.4799999999999996E-2</v>
      </c>
      <c r="V262" s="1">
        <v>3.5053000000000001</v>
      </c>
    </row>
    <row r="263" spans="1:22" x14ac:dyDescent="0.25">
      <c r="A263" s="1">
        <v>0.99409999999999998</v>
      </c>
      <c r="B263" s="9" t="s">
        <v>5220</v>
      </c>
      <c r="C263" s="2">
        <v>4651</v>
      </c>
      <c r="D263" s="2" t="s">
        <v>451</v>
      </c>
      <c r="E263" s="9" t="s">
        <v>592</v>
      </c>
      <c r="F263" s="9" t="s">
        <v>130</v>
      </c>
      <c r="G263" s="1">
        <v>1658.8487</v>
      </c>
      <c r="H263" s="2">
        <v>1119</v>
      </c>
      <c r="I263" s="2">
        <v>2</v>
      </c>
      <c r="J263" s="1">
        <v>1658.8032000000001</v>
      </c>
      <c r="K263" s="1">
        <v>830.4316</v>
      </c>
      <c r="L263" s="9" t="s">
        <v>131</v>
      </c>
      <c r="M263" s="2">
        <v>6.26</v>
      </c>
      <c r="N263" s="4">
        <v>7043.63</v>
      </c>
      <c r="O263" s="1">
        <v>-27.395392949882925</v>
      </c>
      <c r="P263" s="6">
        <v>37.299999999999997</v>
      </c>
      <c r="Q263" s="6">
        <v>25.2</v>
      </c>
      <c r="R263" s="6">
        <v>11.8</v>
      </c>
      <c r="S263" s="6">
        <v>8.1</v>
      </c>
      <c r="T263" s="5">
        <v>3.3E-3</v>
      </c>
      <c r="U263" s="1">
        <v>-4.5499999999999999E-2</v>
      </c>
      <c r="V263" s="1">
        <v>4.2305000000000001</v>
      </c>
    </row>
    <row r="264" spans="1:22" x14ac:dyDescent="0.25">
      <c r="A264" s="1">
        <v>0.99890000000000001</v>
      </c>
      <c r="B264" s="9" t="s">
        <v>5221</v>
      </c>
      <c r="C264" s="2">
        <v>4661</v>
      </c>
      <c r="D264" s="2" t="s">
        <v>141</v>
      </c>
      <c r="E264" s="9" t="s">
        <v>5222</v>
      </c>
      <c r="F264" s="9" t="s">
        <v>2288</v>
      </c>
      <c r="G264" s="1">
        <v>1310.6477</v>
      </c>
      <c r="H264" s="2">
        <v>653</v>
      </c>
      <c r="I264" s="2">
        <v>2</v>
      </c>
      <c r="J264" s="1">
        <v>1310.6307999999999</v>
      </c>
      <c r="K264" s="1">
        <v>656.33109999999999</v>
      </c>
      <c r="L264" s="9" t="s">
        <v>131</v>
      </c>
      <c r="M264" s="2">
        <v>6.72</v>
      </c>
      <c r="N264" s="4">
        <v>7065.68</v>
      </c>
      <c r="O264" s="1">
        <v>-12.874599420932512</v>
      </c>
      <c r="P264" s="6">
        <v>51.3</v>
      </c>
      <c r="Q264" s="6">
        <v>29.2</v>
      </c>
      <c r="R264" s="6">
        <v>12</v>
      </c>
      <c r="S264" s="6">
        <v>12.4</v>
      </c>
      <c r="T264" s="5">
        <v>8.4000000000000003E-4</v>
      </c>
      <c r="U264" s="1">
        <v>-1.6899999999999998E-2</v>
      </c>
      <c r="V264" s="1">
        <v>5.8948</v>
      </c>
    </row>
    <row r="265" spans="1:22" x14ac:dyDescent="0.25">
      <c r="A265" s="1">
        <v>0.99119999999999997</v>
      </c>
      <c r="B265" s="9" t="s">
        <v>5223</v>
      </c>
      <c r="C265" s="2">
        <v>4670</v>
      </c>
      <c r="D265" s="2" t="s">
        <v>302</v>
      </c>
      <c r="E265" s="9" t="s">
        <v>584</v>
      </c>
      <c r="F265" s="9" t="s">
        <v>585</v>
      </c>
      <c r="G265" s="1">
        <v>1305.5736999999999</v>
      </c>
      <c r="H265" s="2">
        <v>655</v>
      </c>
      <c r="I265" s="2">
        <v>2</v>
      </c>
      <c r="J265" s="1">
        <v>1305.5391999999999</v>
      </c>
      <c r="K265" s="1">
        <v>653.79409999999996</v>
      </c>
      <c r="L265" s="9" t="s">
        <v>86</v>
      </c>
      <c r="M265" s="2">
        <v>4.71</v>
      </c>
      <c r="N265" s="4">
        <v>7080.38</v>
      </c>
      <c r="O265" s="1">
        <v>-26.384453454076755</v>
      </c>
      <c r="P265" s="6">
        <v>34.4</v>
      </c>
      <c r="Q265" s="6">
        <v>22.4</v>
      </c>
      <c r="R265" s="6">
        <v>10.7</v>
      </c>
      <c r="S265" s="6">
        <v>7.4</v>
      </c>
      <c r="T265" s="5">
        <v>1.4E-2</v>
      </c>
      <c r="U265" s="1">
        <v>-3.4500000000000003E-2</v>
      </c>
      <c r="V265" s="1">
        <v>4.1421999999999999</v>
      </c>
    </row>
    <row r="266" spans="1:22" x14ac:dyDescent="0.25">
      <c r="A266" s="1">
        <v>0.99460000000000004</v>
      </c>
      <c r="B266" s="9" t="s">
        <v>5224</v>
      </c>
      <c r="C266" s="2">
        <v>4677</v>
      </c>
      <c r="D266" s="2" t="s">
        <v>2499</v>
      </c>
      <c r="E266" s="9" t="s">
        <v>5225</v>
      </c>
      <c r="F266" s="9" t="s">
        <v>411</v>
      </c>
      <c r="G266" s="1">
        <v>1762.8347000000001</v>
      </c>
      <c r="H266" s="2">
        <v>1121</v>
      </c>
      <c r="I266" s="2">
        <v>2</v>
      </c>
      <c r="J266" s="1">
        <v>1762.7998</v>
      </c>
      <c r="K266" s="1">
        <v>882.42460000000005</v>
      </c>
      <c r="L266" s="9" t="s">
        <v>412</v>
      </c>
      <c r="M266" s="2">
        <v>4.21</v>
      </c>
      <c r="N266" s="4">
        <v>7095.08</v>
      </c>
      <c r="O266" s="1">
        <v>-19.775060668072943</v>
      </c>
      <c r="P266" s="6">
        <v>40.200000000000003</v>
      </c>
      <c r="Q266" s="6">
        <v>28</v>
      </c>
      <c r="R266" s="6">
        <v>12.1</v>
      </c>
      <c r="S266" s="6">
        <v>9.5</v>
      </c>
      <c r="T266" s="5">
        <v>8.4999999999999995E-4</v>
      </c>
      <c r="U266" s="1">
        <v>-3.49E-2</v>
      </c>
      <c r="V266" s="1">
        <v>4.3213999999999997</v>
      </c>
    </row>
    <row r="267" spans="1:22" x14ac:dyDescent="0.25">
      <c r="A267" s="1">
        <v>0.99650000000000005</v>
      </c>
      <c r="B267" s="9" t="s">
        <v>5226</v>
      </c>
      <c r="C267" s="2">
        <v>4678</v>
      </c>
      <c r="D267" s="2" t="s">
        <v>1271</v>
      </c>
      <c r="E267" s="9" t="s">
        <v>1582</v>
      </c>
      <c r="F267" s="9" t="s">
        <v>897</v>
      </c>
      <c r="G267" s="1">
        <v>1707.8577</v>
      </c>
      <c r="H267" s="2">
        <v>656</v>
      </c>
      <c r="I267" s="2">
        <v>2</v>
      </c>
      <c r="J267" s="1">
        <v>1707.8186000000001</v>
      </c>
      <c r="K267" s="1">
        <v>854.93610000000001</v>
      </c>
      <c r="L267" s="9" t="s">
        <v>898</v>
      </c>
      <c r="M267" s="2">
        <v>6.22</v>
      </c>
      <c r="N267" s="4">
        <v>7095.08</v>
      </c>
      <c r="O267" s="1">
        <v>-22.867206098794988</v>
      </c>
      <c r="P267" s="6">
        <v>36.299999999999997</v>
      </c>
      <c r="Q267" s="6">
        <v>21.6</v>
      </c>
      <c r="R267" s="6">
        <v>12.3</v>
      </c>
      <c r="S267" s="6">
        <v>6.4</v>
      </c>
      <c r="T267" s="5">
        <v>2E-3</v>
      </c>
      <c r="U267" s="1">
        <v>-3.9100000000000003E-2</v>
      </c>
      <c r="V267" s="1">
        <v>4.6402999999999999</v>
      </c>
    </row>
    <row r="268" spans="1:22" x14ac:dyDescent="0.25">
      <c r="A268" s="1">
        <v>0.99780000000000002</v>
      </c>
      <c r="B268" s="9" t="s">
        <v>5227</v>
      </c>
      <c r="C268" s="2">
        <v>4702</v>
      </c>
      <c r="D268" s="2" t="s">
        <v>621</v>
      </c>
      <c r="E268" s="9" t="s">
        <v>5228</v>
      </c>
      <c r="F268" s="9" t="s">
        <v>1533</v>
      </c>
      <c r="G268" s="1">
        <v>1324.6927000000001</v>
      </c>
      <c r="H268" s="2">
        <v>660</v>
      </c>
      <c r="I268" s="2">
        <v>2</v>
      </c>
      <c r="J268" s="1">
        <v>1324.6318000000001</v>
      </c>
      <c r="K268" s="1">
        <v>663.35360000000003</v>
      </c>
      <c r="L268" s="9" t="s">
        <v>1534</v>
      </c>
      <c r="M268" s="2">
        <v>8.59</v>
      </c>
      <c r="N268" s="4">
        <v>7139.18</v>
      </c>
      <c r="O268" s="1">
        <v>-45.903120145876947</v>
      </c>
      <c r="P268" s="6">
        <v>39.1</v>
      </c>
      <c r="Q268" s="6">
        <v>25.9</v>
      </c>
      <c r="R268" s="6">
        <v>8.1999999999999993</v>
      </c>
      <c r="S268" s="6">
        <v>11.4</v>
      </c>
      <c r="T268" s="5">
        <v>2.5999999999999999E-3</v>
      </c>
      <c r="U268" s="1">
        <v>-6.0900000000000003E-2</v>
      </c>
      <c r="V268" s="1">
        <v>5.1196999999999999</v>
      </c>
    </row>
    <row r="269" spans="1:22" x14ac:dyDescent="0.25">
      <c r="A269" s="1">
        <v>0.99760000000000004</v>
      </c>
      <c r="B269" s="9" t="s">
        <v>5229</v>
      </c>
      <c r="C269" s="2">
        <v>4706</v>
      </c>
      <c r="D269" s="2" t="s">
        <v>451</v>
      </c>
      <c r="E269" s="9" t="s">
        <v>5230</v>
      </c>
      <c r="F269" s="9" t="s">
        <v>5231</v>
      </c>
      <c r="G269" s="1">
        <v>1600.8377</v>
      </c>
      <c r="H269" s="2">
        <v>68</v>
      </c>
      <c r="I269" s="2">
        <v>2</v>
      </c>
      <c r="J269" s="1">
        <v>1600.8072999999999</v>
      </c>
      <c r="K269" s="1">
        <v>801.42610000000002</v>
      </c>
      <c r="L269" s="9" t="s">
        <v>2931</v>
      </c>
      <c r="M269" s="2">
        <v>4.8600000000000003</v>
      </c>
      <c r="N269" s="4">
        <v>7146.53</v>
      </c>
      <c r="O269" s="1">
        <v>-18.966190394847384</v>
      </c>
      <c r="P269" s="6">
        <v>36.5</v>
      </c>
      <c r="Q269" s="6">
        <v>22.9</v>
      </c>
      <c r="R269" s="6">
        <v>11.6</v>
      </c>
      <c r="S269" s="6">
        <v>12.6</v>
      </c>
      <c r="T269" s="5">
        <v>8.3000000000000001E-4</v>
      </c>
      <c r="U269" s="1">
        <v>-3.04E-2</v>
      </c>
      <c r="V269" s="1">
        <v>5.0269000000000004</v>
      </c>
    </row>
    <row r="270" spans="1:22" x14ac:dyDescent="0.25">
      <c r="A270" s="1">
        <v>0.99060000000000004</v>
      </c>
      <c r="B270" s="9" t="s">
        <v>5232</v>
      </c>
      <c r="C270" s="2">
        <v>4714</v>
      </c>
      <c r="D270" s="2" t="s">
        <v>2499</v>
      </c>
      <c r="E270" s="9" t="s">
        <v>5225</v>
      </c>
      <c r="F270" s="9" t="s">
        <v>411</v>
      </c>
      <c r="G270" s="1">
        <v>1762.8347000000001</v>
      </c>
      <c r="H270" s="2">
        <v>1126</v>
      </c>
      <c r="I270" s="2">
        <v>2</v>
      </c>
      <c r="J270" s="1">
        <v>1762.7999</v>
      </c>
      <c r="K270" s="1">
        <v>882.42460000000005</v>
      </c>
      <c r="L270" s="9" t="s">
        <v>412</v>
      </c>
      <c r="M270" s="2">
        <v>4.21</v>
      </c>
      <c r="N270" s="4">
        <v>7161.23</v>
      </c>
      <c r="O270" s="1">
        <v>-19.718398603121443</v>
      </c>
      <c r="P270" s="6">
        <v>38.799999999999997</v>
      </c>
      <c r="Q270" s="6">
        <v>28.8</v>
      </c>
      <c r="R270" s="6">
        <v>11.9</v>
      </c>
      <c r="S270" s="6">
        <v>10.8</v>
      </c>
      <c r="T270" s="5">
        <v>2E-3</v>
      </c>
      <c r="U270" s="1">
        <v>-3.4799999999999998E-2</v>
      </c>
      <c r="V270" s="1">
        <v>3.8117999999999999</v>
      </c>
    </row>
    <row r="271" spans="1:22" x14ac:dyDescent="0.25">
      <c r="A271" s="1">
        <v>0.99980000000000002</v>
      </c>
      <c r="B271" s="9" t="s">
        <v>5233</v>
      </c>
      <c r="C271" s="2">
        <v>4719</v>
      </c>
      <c r="D271" s="2" t="s">
        <v>469</v>
      </c>
      <c r="E271" s="9" t="s">
        <v>5234</v>
      </c>
      <c r="F271" s="9" t="s">
        <v>5235</v>
      </c>
      <c r="G271" s="1">
        <v>2254.0477000000001</v>
      </c>
      <c r="H271" s="2">
        <v>664</v>
      </c>
      <c r="I271" s="2">
        <v>3</v>
      </c>
      <c r="J271" s="1">
        <v>2254.0155</v>
      </c>
      <c r="K271" s="1">
        <v>752.35649999999998</v>
      </c>
      <c r="L271" s="9" t="s">
        <v>5236</v>
      </c>
      <c r="M271" s="2">
        <v>4.62</v>
      </c>
      <c r="N271" s="4">
        <v>7168.58</v>
      </c>
      <c r="O271" s="1">
        <v>-14.266286439119398</v>
      </c>
      <c r="P271" s="6">
        <v>44.4</v>
      </c>
      <c r="Q271" s="6">
        <v>29.8</v>
      </c>
      <c r="R271" s="6">
        <v>12.4</v>
      </c>
      <c r="S271" s="6">
        <v>11.8</v>
      </c>
      <c r="T271" s="5">
        <v>1.2E-5</v>
      </c>
      <c r="U271" s="1">
        <v>-3.2199999999999999E-2</v>
      </c>
      <c r="V271" s="1">
        <v>7.2911999999999999</v>
      </c>
    </row>
    <row r="272" spans="1:22" x14ac:dyDescent="0.25">
      <c r="A272" s="1">
        <v>0.99909999999999999</v>
      </c>
      <c r="B272" s="9" t="s">
        <v>5237</v>
      </c>
      <c r="C272" s="2">
        <v>4730</v>
      </c>
      <c r="D272" s="2" t="s">
        <v>69</v>
      </c>
      <c r="E272" s="9" t="s">
        <v>5238</v>
      </c>
      <c r="F272" s="9" t="s">
        <v>5239</v>
      </c>
      <c r="G272" s="1">
        <v>1351.5726999999999</v>
      </c>
      <c r="H272" s="2">
        <v>666</v>
      </c>
      <c r="I272" s="2">
        <v>2</v>
      </c>
      <c r="J272" s="1">
        <v>1351.5488</v>
      </c>
      <c r="K272" s="1">
        <v>676.79359999999997</v>
      </c>
      <c r="L272" s="9" t="s">
        <v>5240</v>
      </c>
      <c r="M272" s="2">
        <v>5.49</v>
      </c>
      <c r="N272" s="4">
        <v>7190.63</v>
      </c>
      <c r="O272" s="1">
        <v>-17.656786352589624</v>
      </c>
      <c r="P272" s="6">
        <v>40.1</v>
      </c>
      <c r="Q272" s="6">
        <v>25.3</v>
      </c>
      <c r="R272" s="6">
        <v>11.5</v>
      </c>
      <c r="S272" s="6">
        <v>10.7</v>
      </c>
      <c r="T272" s="5">
        <v>6.6E-4</v>
      </c>
      <c r="U272" s="1">
        <v>-2.3900000000000001E-2</v>
      </c>
      <c r="V272" s="1">
        <v>6.2742000000000004</v>
      </c>
    </row>
    <row r="273" spans="1:22" x14ac:dyDescent="0.25">
      <c r="A273" s="1">
        <v>0.99690000000000001</v>
      </c>
      <c r="B273" s="9" t="s">
        <v>5241</v>
      </c>
      <c r="C273" s="2">
        <v>4741</v>
      </c>
      <c r="D273" s="2" t="s">
        <v>451</v>
      </c>
      <c r="E273" s="9" t="s">
        <v>5230</v>
      </c>
      <c r="F273" s="9" t="s">
        <v>5231</v>
      </c>
      <c r="G273" s="1">
        <v>1600.8377</v>
      </c>
      <c r="H273" s="2">
        <v>394</v>
      </c>
      <c r="I273" s="2">
        <v>2</v>
      </c>
      <c r="J273" s="1">
        <v>1600.7924</v>
      </c>
      <c r="K273" s="1">
        <v>801.42610000000002</v>
      </c>
      <c r="L273" s="9" t="s">
        <v>2931</v>
      </c>
      <c r="M273" s="2">
        <v>4.8600000000000003</v>
      </c>
      <c r="N273" s="4">
        <v>7212.68</v>
      </c>
      <c r="O273" s="1">
        <v>-28.26211923969035</v>
      </c>
      <c r="P273" s="6">
        <v>38</v>
      </c>
      <c r="Q273" s="6">
        <v>23.5</v>
      </c>
      <c r="R273" s="6">
        <v>13.4</v>
      </c>
      <c r="S273" s="6">
        <v>12.1</v>
      </c>
      <c r="T273" s="5">
        <v>1.4E-3</v>
      </c>
      <c r="U273" s="1">
        <v>-4.53E-2</v>
      </c>
      <c r="V273" s="1">
        <v>4.8417000000000003</v>
      </c>
    </row>
    <row r="274" spans="1:22" x14ac:dyDescent="0.25">
      <c r="A274" s="1">
        <v>0.97040000000000004</v>
      </c>
      <c r="B274" s="9" t="s">
        <v>5242</v>
      </c>
      <c r="C274" s="2">
        <v>4745</v>
      </c>
      <c r="D274" s="2" t="s">
        <v>657</v>
      </c>
      <c r="E274" s="9" t="s">
        <v>5243</v>
      </c>
      <c r="F274" s="9" t="s">
        <v>97</v>
      </c>
      <c r="G274" s="1">
        <v>1979.9376999999999</v>
      </c>
      <c r="H274" s="2">
        <v>176</v>
      </c>
      <c r="I274" s="2">
        <v>2</v>
      </c>
      <c r="J274" s="1">
        <v>1979.8876</v>
      </c>
      <c r="K274" s="1">
        <v>990.97609999999997</v>
      </c>
      <c r="L274" s="9" t="s">
        <v>98</v>
      </c>
      <c r="M274" s="2">
        <v>4.75</v>
      </c>
      <c r="N274" s="4">
        <v>7220.03</v>
      </c>
      <c r="O274" s="1">
        <v>-25.278107110756757</v>
      </c>
      <c r="P274" s="6">
        <v>31.2</v>
      </c>
      <c r="Q274" s="6">
        <v>22.9</v>
      </c>
      <c r="R274" s="6">
        <v>10.5</v>
      </c>
      <c r="S274" s="6">
        <v>10</v>
      </c>
      <c r="T274" s="5">
        <v>1.2999999999999999E-2</v>
      </c>
      <c r="U274" s="1">
        <v>-5.0099999999999999E-2</v>
      </c>
      <c r="V274" s="1">
        <v>3.1175999999999999</v>
      </c>
    </row>
    <row r="275" spans="1:22" x14ac:dyDescent="0.25">
      <c r="A275" s="1">
        <v>0.99960000000000004</v>
      </c>
      <c r="B275" s="9" t="s">
        <v>5244</v>
      </c>
      <c r="C275" s="2">
        <v>4747</v>
      </c>
      <c r="D275" s="2" t="s">
        <v>278</v>
      </c>
      <c r="E275" s="9" t="s">
        <v>573</v>
      </c>
      <c r="F275" s="9" t="s">
        <v>347</v>
      </c>
      <c r="G275" s="1">
        <v>1801.9437</v>
      </c>
      <c r="H275" s="2">
        <v>1129</v>
      </c>
      <c r="I275" s="2">
        <v>2</v>
      </c>
      <c r="J275" s="1">
        <v>1801.8945000000001</v>
      </c>
      <c r="K275" s="1">
        <v>901.97910000000002</v>
      </c>
      <c r="L275" s="9" t="s">
        <v>258</v>
      </c>
      <c r="M275" s="2">
        <v>9.6999999999999993</v>
      </c>
      <c r="N275" s="4">
        <v>7220.03</v>
      </c>
      <c r="O275" s="1">
        <v>-27.273359216416434</v>
      </c>
      <c r="P275" s="6">
        <v>48.5</v>
      </c>
      <c r="Q275" s="6">
        <v>31</v>
      </c>
      <c r="R275" s="6">
        <v>10.9</v>
      </c>
      <c r="S275" s="6">
        <v>9.4</v>
      </c>
      <c r="T275" s="5">
        <v>3.8000000000000002E-5</v>
      </c>
      <c r="U275" s="1">
        <v>-4.9200000000000001E-2</v>
      </c>
      <c r="V275" s="1">
        <v>6.2952000000000004</v>
      </c>
    </row>
    <row r="276" spans="1:22" x14ac:dyDescent="0.25">
      <c r="A276" s="1">
        <v>0.99070000000000003</v>
      </c>
      <c r="B276" s="9" t="s">
        <v>5245</v>
      </c>
      <c r="C276" s="2">
        <v>4762</v>
      </c>
      <c r="D276" s="2" t="s">
        <v>93</v>
      </c>
      <c r="E276" s="9" t="s">
        <v>5246</v>
      </c>
      <c r="F276" s="9" t="s">
        <v>597</v>
      </c>
      <c r="G276" s="1">
        <v>1313.6647</v>
      </c>
      <c r="H276" s="2">
        <v>1418</v>
      </c>
      <c r="I276" s="2">
        <v>2</v>
      </c>
      <c r="J276" s="1">
        <v>1313.6348</v>
      </c>
      <c r="K276" s="1">
        <v>657.83960000000002</v>
      </c>
      <c r="L276" s="9" t="s">
        <v>157</v>
      </c>
      <c r="M276" s="2">
        <v>4.21</v>
      </c>
      <c r="N276" s="4">
        <v>7249.43</v>
      </c>
      <c r="O276" s="1">
        <v>-22.725904612613775</v>
      </c>
      <c r="P276" s="6">
        <v>50.5</v>
      </c>
      <c r="Q276" s="6">
        <v>37.700000000000003</v>
      </c>
      <c r="R276" s="6">
        <v>12.5</v>
      </c>
      <c r="S276" s="6">
        <v>11.8</v>
      </c>
      <c r="T276" s="5">
        <v>4.0000000000000001E-3</v>
      </c>
      <c r="U276" s="1">
        <v>-2.9899999999999999E-2</v>
      </c>
      <c r="V276" s="1">
        <v>4.2864000000000004</v>
      </c>
    </row>
    <row r="277" spans="1:22" x14ac:dyDescent="0.25">
      <c r="A277" s="1">
        <v>0.99929999999999997</v>
      </c>
      <c r="B277" s="9" t="s">
        <v>5247</v>
      </c>
      <c r="C277" s="2">
        <v>4783</v>
      </c>
      <c r="D277" s="2" t="s">
        <v>349</v>
      </c>
      <c r="E277" s="9" t="s">
        <v>5248</v>
      </c>
      <c r="F277" s="9" t="s">
        <v>5249</v>
      </c>
      <c r="G277" s="1">
        <v>1886.0587</v>
      </c>
      <c r="H277" s="2">
        <v>669</v>
      </c>
      <c r="I277" s="2">
        <v>3</v>
      </c>
      <c r="J277" s="1">
        <v>1886.0008</v>
      </c>
      <c r="K277" s="1">
        <v>629.69349999999997</v>
      </c>
      <c r="L277" s="9" t="s">
        <v>5250</v>
      </c>
      <c r="M277" s="2">
        <v>8.5</v>
      </c>
      <c r="N277" s="4">
        <v>7286.23</v>
      </c>
      <c r="O277" s="1">
        <v>-30.649832021451711</v>
      </c>
      <c r="P277" s="6">
        <v>36.1</v>
      </c>
      <c r="Q277" s="6">
        <v>23.2</v>
      </c>
      <c r="R277" s="6">
        <v>11.7</v>
      </c>
      <c r="S277" s="6">
        <v>5.4</v>
      </c>
      <c r="T277" s="5">
        <v>6.4999999999999997E-4</v>
      </c>
      <c r="U277" s="1">
        <v>-5.79E-2</v>
      </c>
      <c r="V277" s="1">
        <v>5.8349000000000002</v>
      </c>
    </row>
    <row r="278" spans="1:22" x14ac:dyDescent="0.25">
      <c r="A278" s="1">
        <v>0.99590000000000001</v>
      </c>
      <c r="B278" s="9" t="s">
        <v>5251</v>
      </c>
      <c r="C278" s="2">
        <v>4790</v>
      </c>
      <c r="D278" s="2" t="s">
        <v>423</v>
      </c>
      <c r="E278" s="9" t="s">
        <v>5252</v>
      </c>
      <c r="F278" s="9" t="s">
        <v>1713</v>
      </c>
      <c r="G278" s="1">
        <v>1542.8077000000001</v>
      </c>
      <c r="H278" s="2">
        <v>396</v>
      </c>
      <c r="I278" s="2">
        <v>2</v>
      </c>
      <c r="J278" s="1">
        <v>1542.7418</v>
      </c>
      <c r="K278" s="1">
        <v>772.41110000000003</v>
      </c>
      <c r="L278" s="9" t="s">
        <v>1298</v>
      </c>
      <c r="M278" s="2">
        <v>4.75</v>
      </c>
      <c r="N278" s="4">
        <v>7301.03</v>
      </c>
      <c r="O278" s="1">
        <v>-42.658630876744262</v>
      </c>
      <c r="P278" s="6">
        <v>39.1</v>
      </c>
      <c r="Q278" s="6">
        <v>27.2</v>
      </c>
      <c r="R278" s="6">
        <v>13.3</v>
      </c>
      <c r="S278" s="6">
        <v>11.2</v>
      </c>
      <c r="T278" s="5">
        <v>2E-3</v>
      </c>
      <c r="U278" s="1">
        <v>-6.59E-2</v>
      </c>
      <c r="V278" s="1">
        <v>4.5084</v>
      </c>
    </row>
    <row r="279" spans="1:22" x14ac:dyDescent="0.25">
      <c r="A279" s="1">
        <v>0.97809999999999997</v>
      </c>
      <c r="B279" s="9" t="s">
        <v>5253</v>
      </c>
      <c r="C279" s="2">
        <v>4795</v>
      </c>
      <c r="D279" s="2" t="s">
        <v>285</v>
      </c>
      <c r="E279" s="9" t="s">
        <v>5254</v>
      </c>
      <c r="F279" s="9" t="s">
        <v>5255</v>
      </c>
      <c r="G279" s="1">
        <v>1485.8087</v>
      </c>
      <c r="H279" s="2">
        <v>181</v>
      </c>
      <c r="I279" s="2">
        <v>2</v>
      </c>
      <c r="J279" s="1">
        <v>1485.7638999999999</v>
      </c>
      <c r="K279" s="1">
        <v>743.91160000000002</v>
      </c>
      <c r="L279" s="9" t="s">
        <v>5256</v>
      </c>
      <c r="M279" s="2">
        <v>8.56</v>
      </c>
      <c r="N279" s="4">
        <v>7308.38</v>
      </c>
      <c r="O279" s="1">
        <v>-30.1111045989873</v>
      </c>
      <c r="P279" s="6">
        <v>48.7</v>
      </c>
      <c r="Q279" s="6">
        <v>33.9</v>
      </c>
      <c r="R279" s="6">
        <v>10.3</v>
      </c>
      <c r="S279" s="6">
        <v>13.9</v>
      </c>
      <c r="T279" s="5">
        <v>7.5999999999999998E-2</v>
      </c>
      <c r="U279" s="1">
        <v>-4.48E-2</v>
      </c>
      <c r="V279" s="1">
        <v>2.9939</v>
      </c>
    </row>
    <row r="280" spans="1:22" x14ac:dyDescent="0.25">
      <c r="A280" s="1">
        <v>0.99939999999999996</v>
      </c>
      <c r="B280" s="9" t="s">
        <v>5257</v>
      </c>
      <c r="C280" s="2">
        <v>4802</v>
      </c>
      <c r="D280" s="2" t="s">
        <v>270</v>
      </c>
      <c r="E280" s="9" t="s">
        <v>5258</v>
      </c>
      <c r="F280" s="9" t="s">
        <v>5259</v>
      </c>
      <c r="G280" s="1">
        <v>1644.8757000000001</v>
      </c>
      <c r="H280" s="2">
        <v>182</v>
      </c>
      <c r="I280" s="2">
        <v>2</v>
      </c>
      <c r="J280" s="1">
        <v>1644.8222000000001</v>
      </c>
      <c r="K280" s="1">
        <v>823.44510000000002</v>
      </c>
      <c r="L280" s="9" t="s">
        <v>5260</v>
      </c>
      <c r="M280" s="2">
        <v>6.19</v>
      </c>
      <c r="N280" s="4">
        <v>7323.08</v>
      </c>
      <c r="O280" s="1">
        <v>-32.485468673017785</v>
      </c>
      <c r="P280" s="6">
        <v>43.7</v>
      </c>
      <c r="Q280" s="6">
        <v>24.4</v>
      </c>
      <c r="R280" s="6">
        <v>13</v>
      </c>
      <c r="S280" s="6">
        <v>12.3</v>
      </c>
      <c r="T280" s="5">
        <v>1.7E-5</v>
      </c>
      <c r="U280" s="1">
        <v>-5.3499999999999999E-2</v>
      </c>
      <c r="V280" s="1">
        <v>6.9847999999999999</v>
      </c>
    </row>
    <row r="281" spans="1:22" x14ac:dyDescent="0.25">
      <c r="A281" s="1">
        <v>0.98939999999999995</v>
      </c>
      <c r="B281" s="9" t="s">
        <v>5261</v>
      </c>
      <c r="C281" s="2">
        <v>4814</v>
      </c>
      <c r="D281" s="2" t="s">
        <v>423</v>
      </c>
      <c r="E281" s="9" t="s">
        <v>5262</v>
      </c>
      <c r="F281" s="9" t="s">
        <v>5263</v>
      </c>
      <c r="G281" s="1">
        <v>1513.8426999999999</v>
      </c>
      <c r="H281" s="2">
        <v>672</v>
      </c>
      <c r="I281" s="2">
        <v>2</v>
      </c>
      <c r="J281" s="1">
        <v>1513.7607</v>
      </c>
      <c r="K281" s="1">
        <v>757.92859999999996</v>
      </c>
      <c r="L281" s="9" t="s">
        <v>5264</v>
      </c>
      <c r="M281" s="2">
        <v>6.22</v>
      </c>
      <c r="N281" s="4">
        <v>7345.14</v>
      </c>
      <c r="O281" s="1">
        <v>-54.094805236271604</v>
      </c>
      <c r="P281" s="6">
        <v>37.5</v>
      </c>
      <c r="Q281" s="6">
        <v>26.1</v>
      </c>
      <c r="R281" s="6">
        <v>12.2</v>
      </c>
      <c r="S281" s="6">
        <v>12.5</v>
      </c>
      <c r="T281" s="5">
        <v>1.4E-2</v>
      </c>
      <c r="U281" s="1">
        <v>-8.2000000000000003E-2</v>
      </c>
      <c r="V281" s="1">
        <v>3.6433</v>
      </c>
    </row>
    <row r="282" spans="1:22" x14ac:dyDescent="0.25">
      <c r="A282" s="1">
        <v>0.98709999999999998</v>
      </c>
      <c r="B282" s="9" t="s">
        <v>5265</v>
      </c>
      <c r="C282" s="2">
        <v>4815</v>
      </c>
      <c r="D282" s="2" t="s">
        <v>891</v>
      </c>
      <c r="E282" s="9" t="s">
        <v>5266</v>
      </c>
      <c r="F282" s="9" t="s">
        <v>5267</v>
      </c>
      <c r="G282" s="1">
        <v>1080.5346999999999</v>
      </c>
      <c r="H282" s="2">
        <v>397</v>
      </c>
      <c r="I282" s="2">
        <v>2</v>
      </c>
      <c r="J282" s="1">
        <v>1080.5050000000001</v>
      </c>
      <c r="K282" s="1">
        <v>541.27459999999996</v>
      </c>
      <c r="L282" s="9" t="s">
        <v>5268</v>
      </c>
      <c r="M282" s="2">
        <v>5.97</v>
      </c>
      <c r="N282" s="4">
        <v>7345.14</v>
      </c>
      <c r="O282" s="1">
        <v>-27.435242666107005</v>
      </c>
      <c r="P282" s="6">
        <v>33.200000000000003</v>
      </c>
      <c r="Q282" s="6">
        <v>27.2</v>
      </c>
      <c r="R282" s="6">
        <v>9.1</v>
      </c>
      <c r="S282" s="6">
        <v>11.2</v>
      </c>
      <c r="T282" s="5">
        <v>2.7E-2</v>
      </c>
      <c r="U282" s="1">
        <v>-2.9700000000000001E-2</v>
      </c>
      <c r="V282" s="1">
        <v>3.4655</v>
      </c>
    </row>
    <row r="283" spans="1:22" x14ac:dyDescent="0.25">
      <c r="A283" s="1">
        <v>0.99939999999999996</v>
      </c>
      <c r="B283" s="9" t="s">
        <v>5269</v>
      </c>
      <c r="C283" s="2">
        <v>4833</v>
      </c>
      <c r="D283" s="2" t="s">
        <v>105</v>
      </c>
      <c r="E283" s="9" t="s">
        <v>2420</v>
      </c>
      <c r="F283" s="9" t="s">
        <v>304</v>
      </c>
      <c r="G283" s="1">
        <v>1688.8837000000001</v>
      </c>
      <c r="H283" s="2">
        <v>185</v>
      </c>
      <c r="I283" s="2">
        <v>2</v>
      </c>
      <c r="J283" s="1">
        <v>1688.8431</v>
      </c>
      <c r="K283" s="1">
        <v>845.44910000000004</v>
      </c>
      <c r="L283" s="9" t="s">
        <v>118</v>
      </c>
      <c r="M283" s="2">
        <v>6.21</v>
      </c>
      <c r="N283" s="4">
        <v>7381.99</v>
      </c>
      <c r="O283" s="1">
        <v>-24.010907339069846</v>
      </c>
      <c r="P283" s="6">
        <v>50.8</v>
      </c>
      <c r="Q283" s="6">
        <v>28.2</v>
      </c>
      <c r="R283" s="6">
        <v>12.7</v>
      </c>
      <c r="S283" s="6">
        <v>9.6</v>
      </c>
      <c r="T283" s="5">
        <v>2.1999999999999999E-5</v>
      </c>
      <c r="U283" s="1">
        <v>-4.0599999999999997E-2</v>
      </c>
      <c r="V283" s="1">
        <v>6.8883999999999999</v>
      </c>
    </row>
    <row r="284" spans="1:22" x14ac:dyDescent="0.25">
      <c r="A284" s="1">
        <v>0.99960000000000004</v>
      </c>
      <c r="B284" s="9" t="s">
        <v>5270</v>
      </c>
      <c r="C284" s="2">
        <v>4837</v>
      </c>
      <c r="D284" s="2" t="s">
        <v>980</v>
      </c>
      <c r="E284" s="9" t="s">
        <v>5271</v>
      </c>
      <c r="F284" s="9" t="s">
        <v>5272</v>
      </c>
      <c r="G284" s="1">
        <v>2049.0427</v>
      </c>
      <c r="H284" s="2">
        <v>674</v>
      </c>
      <c r="I284" s="2">
        <v>3</v>
      </c>
      <c r="J284" s="1">
        <v>2048.9985999999999</v>
      </c>
      <c r="K284" s="1">
        <v>684.02149999999995</v>
      </c>
      <c r="L284" s="9" t="s">
        <v>86</v>
      </c>
      <c r="M284" s="2">
        <v>6.24</v>
      </c>
      <c r="N284" s="4">
        <v>7389.34</v>
      </c>
      <c r="O284" s="1">
        <v>-21.490552563040783</v>
      </c>
      <c r="P284" s="6">
        <v>39.299999999999997</v>
      </c>
      <c r="Q284" s="6">
        <v>24</v>
      </c>
      <c r="R284" s="6">
        <v>13.9</v>
      </c>
      <c r="S284" s="6">
        <v>8.6</v>
      </c>
      <c r="T284" s="5">
        <v>4.8999999999999998E-4</v>
      </c>
      <c r="U284" s="1">
        <v>-4.41E-2</v>
      </c>
      <c r="V284" s="1">
        <v>5.9570999999999996</v>
      </c>
    </row>
    <row r="285" spans="1:22" x14ac:dyDescent="0.25">
      <c r="A285" s="1">
        <v>0.97719999999999996</v>
      </c>
      <c r="B285" s="9" t="s">
        <v>5273</v>
      </c>
      <c r="C285" s="2">
        <v>4849</v>
      </c>
      <c r="D285" s="2" t="s">
        <v>146</v>
      </c>
      <c r="E285" s="9" t="s">
        <v>5274</v>
      </c>
      <c r="F285" s="9" t="s">
        <v>4275</v>
      </c>
      <c r="G285" s="1">
        <v>1389.7517</v>
      </c>
      <c r="H285" s="2">
        <v>934</v>
      </c>
      <c r="I285" s="2">
        <v>2</v>
      </c>
      <c r="J285" s="1">
        <v>1389.7067999999999</v>
      </c>
      <c r="K285" s="1">
        <v>695.88310000000001</v>
      </c>
      <c r="L285" s="9" t="s">
        <v>4276</v>
      </c>
      <c r="M285" s="2">
        <v>8.5</v>
      </c>
      <c r="N285" s="4">
        <v>7413.59</v>
      </c>
      <c r="O285" s="1">
        <v>-32.261165704412136</v>
      </c>
      <c r="P285" s="6">
        <v>40</v>
      </c>
      <c r="Q285" s="6">
        <v>29.1</v>
      </c>
      <c r="R285" s="6">
        <v>9.9</v>
      </c>
      <c r="S285" s="6">
        <v>13</v>
      </c>
      <c r="T285" s="5">
        <v>0.06</v>
      </c>
      <c r="U285" s="1">
        <v>-4.4900000000000002E-2</v>
      </c>
      <c r="V285" s="1">
        <v>3.0718000000000001</v>
      </c>
    </row>
    <row r="286" spans="1:22" x14ac:dyDescent="0.25">
      <c r="A286" s="1">
        <v>0.97899999999999998</v>
      </c>
      <c r="B286" s="9" t="s">
        <v>5275</v>
      </c>
      <c r="C286" s="2">
        <v>4867</v>
      </c>
      <c r="D286" s="2" t="s">
        <v>1271</v>
      </c>
      <c r="E286" s="9" t="s">
        <v>5276</v>
      </c>
      <c r="F286" s="9" t="s">
        <v>5277</v>
      </c>
      <c r="G286" s="1">
        <v>1626.9016999999999</v>
      </c>
      <c r="H286" s="2">
        <v>1138</v>
      </c>
      <c r="I286" s="2">
        <v>2</v>
      </c>
      <c r="J286" s="1">
        <v>1626.8565000000001</v>
      </c>
      <c r="K286" s="1">
        <v>814.45809999999994</v>
      </c>
      <c r="L286" s="9" t="s">
        <v>5278</v>
      </c>
      <c r="M286" s="2">
        <v>5.81</v>
      </c>
      <c r="N286" s="4">
        <v>7440.79</v>
      </c>
      <c r="O286" s="1">
        <v>-27.748511556334204</v>
      </c>
      <c r="P286" s="6">
        <v>42.5</v>
      </c>
      <c r="Q286" s="6">
        <v>32.9</v>
      </c>
      <c r="R286" s="6">
        <v>11.9</v>
      </c>
      <c r="S286" s="6">
        <v>8.4</v>
      </c>
      <c r="T286" s="5">
        <v>1.2E-2</v>
      </c>
      <c r="U286" s="1">
        <v>-4.5199999999999997E-2</v>
      </c>
      <c r="V286" s="1">
        <v>3.1602999999999999</v>
      </c>
    </row>
    <row r="287" spans="1:22" x14ac:dyDescent="0.25">
      <c r="A287" s="1">
        <v>0.9647</v>
      </c>
      <c r="B287" s="9" t="s">
        <v>5279</v>
      </c>
      <c r="C287" s="2">
        <v>4871</v>
      </c>
      <c r="D287" s="2" t="s">
        <v>423</v>
      </c>
      <c r="E287" s="9" t="s">
        <v>626</v>
      </c>
      <c r="F287" s="9" t="s">
        <v>627</v>
      </c>
      <c r="G287" s="1">
        <v>1529.7547</v>
      </c>
      <c r="H287" s="2">
        <v>1140</v>
      </c>
      <c r="I287" s="2">
        <v>2</v>
      </c>
      <c r="J287" s="1">
        <v>1529.7308</v>
      </c>
      <c r="K287" s="1">
        <v>765.88459999999998</v>
      </c>
      <c r="L287" s="9" t="s">
        <v>628</v>
      </c>
      <c r="M287" s="2">
        <v>4.3499999999999996</v>
      </c>
      <c r="N287" s="4">
        <v>7448.19</v>
      </c>
      <c r="O287" s="1">
        <v>-15.602872808775633</v>
      </c>
      <c r="P287" s="6">
        <v>36.6</v>
      </c>
      <c r="Q287" s="6">
        <v>26.4</v>
      </c>
      <c r="R287" s="6">
        <v>12</v>
      </c>
      <c r="S287" s="6">
        <v>12.5</v>
      </c>
      <c r="T287" s="5">
        <v>7.5999999999999998E-2</v>
      </c>
      <c r="U287" s="1">
        <v>-2.3900000000000001E-2</v>
      </c>
      <c r="V287" s="1">
        <v>2.7803</v>
      </c>
    </row>
    <row r="288" spans="1:22" x14ac:dyDescent="0.25">
      <c r="A288" s="1">
        <v>0.98170000000000002</v>
      </c>
      <c r="B288" s="9" t="s">
        <v>5280</v>
      </c>
      <c r="C288" s="2">
        <v>4889</v>
      </c>
      <c r="D288" s="2" t="s">
        <v>511</v>
      </c>
      <c r="E288" s="9" t="s">
        <v>5281</v>
      </c>
      <c r="F288" s="9" t="s">
        <v>1079</v>
      </c>
      <c r="G288" s="1">
        <v>1407.6537000000001</v>
      </c>
      <c r="H288" s="2">
        <v>398</v>
      </c>
      <c r="I288" s="2">
        <v>2</v>
      </c>
      <c r="J288" s="1">
        <v>1407.6063999999999</v>
      </c>
      <c r="K288" s="1">
        <v>704.83410000000003</v>
      </c>
      <c r="L288" s="9" t="s">
        <v>1080</v>
      </c>
      <c r="M288" s="2">
        <v>6.22</v>
      </c>
      <c r="N288" s="4">
        <v>7484.94</v>
      </c>
      <c r="O288" s="1">
        <v>-33.553995188371275</v>
      </c>
      <c r="P288" s="6">
        <v>28.7</v>
      </c>
      <c r="Q288" s="6">
        <v>21.9</v>
      </c>
      <c r="R288" s="6">
        <v>10.199999999999999</v>
      </c>
      <c r="S288" s="6">
        <v>8.5</v>
      </c>
      <c r="T288" s="5">
        <v>4.2999999999999997E-2</v>
      </c>
      <c r="U288" s="1">
        <v>-4.7300000000000002E-2</v>
      </c>
      <c r="V288" s="1">
        <v>3.1907999999999999</v>
      </c>
    </row>
    <row r="289" spans="1:22" x14ac:dyDescent="0.25">
      <c r="A289" s="1">
        <v>0.98340000000000005</v>
      </c>
      <c r="B289" s="9" t="s">
        <v>5282</v>
      </c>
      <c r="C289" s="2">
        <v>4898</v>
      </c>
      <c r="D289" s="2" t="s">
        <v>702</v>
      </c>
      <c r="E289" s="9" t="s">
        <v>5283</v>
      </c>
      <c r="F289" s="9" t="s">
        <v>5284</v>
      </c>
      <c r="G289" s="1">
        <v>1226.6947</v>
      </c>
      <c r="H289" s="2">
        <v>1271</v>
      </c>
      <c r="I289" s="2">
        <v>2</v>
      </c>
      <c r="J289" s="1">
        <v>1226.6569</v>
      </c>
      <c r="K289" s="1">
        <v>614.3546</v>
      </c>
      <c r="L289" s="9" t="s">
        <v>405</v>
      </c>
      <c r="M289" s="2">
        <v>5.84</v>
      </c>
      <c r="N289" s="4">
        <v>7503.89</v>
      </c>
      <c r="O289" s="1">
        <v>-30.763992000710989</v>
      </c>
      <c r="P289" s="6">
        <v>37.9</v>
      </c>
      <c r="Q289" s="6">
        <v>27.4</v>
      </c>
      <c r="R289" s="6">
        <v>12.7</v>
      </c>
      <c r="S289" s="6">
        <v>12.8</v>
      </c>
      <c r="T289" s="5">
        <v>1.2999999999999999E-2</v>
      </c>
      <c r="U289" s="1">
        <v>-3.78E-2</v>
      </c>
      <c r="V289" s="1">
        <v>3.8315999999999999</v>
      </c>
    </row>
    <row r="290" spans="1:22" x14ac:dyDescent="0.25">
      <c r="A290" s="1">
        <v>0.96889999999999998</v>
      </c>
      <c r="B290" s="9" t="s">
        <v>5285</v>
      </c>
      <c r="C290" s="2">
        <v>4905</v>
      </c>
      <c r="D290" s="2" t="s">
        <v>326</v>
      </c>
      <c r="E290" s="9" t="s">
        <v>622</v>
      </c>
      <c r="F290" s="9" t="s">
        <v>623</v>
      </c>
      <c r="G290" s="1">
        <v>1261.6986999999999</v>
      </c>
      <c r="H290" s="2">
        <v>681</v>
      </c>
      <c r="I290" s="2">
        <v>2</v>
      </c>
      <c r="J290" s="1">
        <v>1261.6652999999999</v>
      </c>
      <c r="K290" s="1">
        <v>631.85659999999996</v>
      </c>
      <c r="L290" s="9" t="s">
        <v>412</v>
      </c>
      <c r="M290" s="2">
        <v>6.22</v>
      </c>
      <c r="N290" s="4">
        <v>7514.34</v>
      </c>
      <c r="O290" s="1">
        <v>-26.430047577250914</v>
      </c>
      <c r="P290" s="6">
        <v>42.8</v>
      </c>
      <c r="Q290" s="6">
        <v>31.4</v>
      </c>
      <c r="R290" s="6">
        <v>12.2</v>
      </c>
      <c r="S290" s="6">
        <v>11</v>
      </c>
      <c r="T290" s="5">
        <v>0.12</v>
      </c>
      <c r="U290" s="1">
        <v>-3.3399999999999999E-2</v>
      </c>
      <c r="V290" s="1">
        <v>2.8203999999999998</v>
      </c>
    </row>
    <row r="291" spans="1:22" x14ac:dyDescent="0.25">
      <c r="A291" s="1">
        <v>0.99260000000000004</v>
      </c>
      <c r="B291" s="9" t="s">
        <v>5286</v>
      </c>
      <c r="C291" s="2">
        <v>4913</v>
      </c>
      <c r="D291" s="2" t="s">
        <v>2303</v>
      </c>
      <c r="E291" s="9" t="s">
        <v>1623</v>
      </c>
      <c r="F291" s="9" t="s">
        <v>1624</v>
      </c>
      <c r="G291" s="1">
        <v>2029.1757</v>
      </c>
      <c r="H291" s="2">
        <v>1144</v>
      </c>
      <c r="I291" s="2">
        <v>3</v>
      </c>
      <c r="J291" s="1">
        <v>2029.0967000000001</v>
      </c>
      <c r="K291" s="1">
        <v>677.39919999999995</v>
      </c>
      <c r="L291" s="9" t="s">
        <v>789</v>
      </c>
      <c r="M291" s="2">
        <v>8.75</v>
      </c>
      <c r="N291" s="4">
        <v>7529.04</v>
      </c>
      <c r="O291" s="1">
        <v>-38.874172472204478</v>
      </c>
      <c r="P291" s="6">
        <v>33.6</v>
      </c>
      <c r="Q291" s="6">
        <v>24.6</v>
      </c>
      <c r="R291" s="6">
        <v>13.1</v>
      </c>
      <c r="S291" s="6">
        <v>10.8</v>
      </c>
      <c r="T291" s="5">
        <v>9.7999999999999997E-3</v>
      </c>
      <c r="U291" s="1">
        <v>-7.9000000000000001E-2</v>
      </c>
      <c r="V291" s="1">
        <v>3.5512999999999999</v>
      </c>
    </row>
    <row r="292" spans="1:22" x14ac:dyDescent="0.25">
      <c r="A292" s="1">
        <v>0.99909999999999999</v>
      </c>
      <c r="B292" s="9" t="s">
        <v>5287</v>
      </c>
      <c r="C292" s="2">
        <v>4918</v>
      </c>
      <c r="D292" s="2" t="s">
        <v>178</v>
      </c>
      <c r="E292" s="9" t="s">
        <v>5288</v>
      </c>
      <c r="F292" s="9" t="s">
        <v>304</v>
      </c>
      <c r="G292" s="1">
        <v>1528.8536999999999</v>
      </c>
      <c r="H292" s="2">
        <v>682</v>
      </c>
      <c r="I292" s="2">
        <v>2</v>
      </c>
      <c r="J292" s="1">
        <v>1528.7897</v>
      </c>
      <c r="K292" s="1">
        <v>765.43409999999994</v>
      </c>
      <c r="L292" s="9" t="s">
        <v>118</v>
      </c>
      <c r="M292" s="2">
        <v>6.22</v>
      </c>
      <c r="N292" s="4">
        <v>7536.39</v>
      </c>
      <c r="O292" s="1">
        <v>-41.806342309546963</v>
      </c>
      <c r="P292" s="6">
        <v>43.7</v>
      </c>
      <c r="Q292" s="6">
        <v>24.5</v>
      </c>
      <c r="R292" s="6">
        <v>11.7</v>
      </c>
      <c r="S292" s="6">
        <v>9</v>
      </c>
      <c r="T292" s="5">
        <v>1.8000000000000001E-4</v>
      </c>
      <c r="U292" s="1">
        <v>-6.4000000000000001E-2</v>
      </c>
      <c r="V292" s="1">
        <v>6.1760000000000002</v>
      </c>
    </row>
    <row r="293" spans="1:22" x14ac:dyDescent="0.25">
      <c r="A293" s="1">
        <v>0.99239999999999995</v>
      </c>
      <c r="B293" s="9" t="s">
        <v>5289</v>
      </c>
      <c r="C293" s="2">
        <v>4923</v>
      </c>
      <c r="D293" s="2" t="s">
        <v>1681</v>
      </c>
      <c r="E293" s="9" t="s">
        <v>1662</v>
      </c>
      <c r="F293" s="9" t="s">
        <v>97</v>
      </c>
      <c r="G293" s="1">
        <v>2086.9567000000002</v>
      </c>
      <c r="H293" s="2">
        <v>683</v>
      </c>
      <c r="I293" s="2">
        <v>2</v>
      </c>
      <c r="J293" s="1">
        <v>2086.8863999999999</v>
      </c>
      <c r="K293" s="1">
        <v>1044.4856</v>
      </c>
      <c r="L293" s="9" t="s">
        <v>98</v>
      </c>
      <c r="M293" s="2">
        <v>4.8099999999999996</v>
      </c>
      <c r="N293" s="4">
        <v>7543.74</v>
      </c>
      <c r="O293" s="1">
        <v>-33.652929250532516</v>
      </c>
      <c r="P293" s="6">
        <v>32.700000000000003</v>
      </c>
      <c r="Q293" s="6">
        <v>21.7</v>
      </c>
      <c r="R293" s="6">
        <v>13</v>
      </c>
      <c r="S293" s="6">
        <v>7.7</v>
      </c>
      <c r="T293" s="5">
        <v>1E-3</v>
      </c>
      <c r="U293" s="1">
        <v>-7.0300000000000001E-2</v>
      </c>
      <c r="V293" s="1">
        <v>4.2736999999999998</v>
      </c>
    </row>
    <row r="294" spans="1:22" x14ac:dyDescent="0.25">
      <c r="A294" s="1">
        <v>0.98340000000000005</v>
      </c>
      <c r="B294" s="9" t="s">
        <v>5290</v>
      </c>
      <c r="C294" s="2">
        <v>4941</v>
      </c>
      <c r="D294" s="2" t="s">
        <v>621</v>
      </c>
      <c r="E294" s="9" t="s">
        <v>622</v>
      </c>
      <c r="F294" s="9" t="s">
        <v>4704</v>
      </c>
      <c r="G294" s="1">
        <v>1261.6986999999999</v>
      </c>
      <c r="H294" s="2">
        <v>73</v>
      </c>
      <c r="I294" s="2">
        <v>2</v>
      </c>
      <c r="J294" s="1">
        <v>1261.6618000000001</v>
      </c>
      <c r="K294" s="1">
        <v>631.85659999999996</v>
      </c>
      <c r="L294" s="9" t="s">
        <v>2599</v>
      </c>
      <c r="M294" s="2">
        <v>6.22</v>
      </c>
      <c r="N294" s="4">
        <v>7580.34</v>
      </c>
      <c r="O294" s="1">
        <v>-29.199663341334098</v>
      </c>
      <c r="P294" s="6">
        <v>36.299999999999997</v>
      </c>
      <c r="Q294" s="6">
        <v>26.3</v>
      </c>
      <c r="R294" s="6">
        <v>12.6</v>
      </c>
      <c r="S294" s="6">
        <v>10.9</v>
      </c>
      <c r="T294" s="5">
        <v>6.4000000000000001E-2</v>
      </c>
      <c r="U294" s="1">
        <v>-3.6900000000000002E-2</v>
      </c>
      <c r="V294" s="1">
        <v>3.1846999999999999</v>
      </c>
    </row>
    <row r="295" spans="1:22" x14ac:dyDescent="0.25">
      <c r="A295" s="1">
        <v>0.99009999999999998</v>
      </c>
      <c r="B295" s="9" t="s">
        <v>5291</v>
      </c>
      <c r="C295" s="2">
        <v>4942</v>
      </c>
      <c r="D295" s="2" t="s">
        <v>270</v>
      </c>
      <c r="E295" s="9" t="s">
        <v>635</v>
      </c>
      <c r="F295" s="9" t="s">
        <v>340</v>
      </c>
      <c r="G295" s="1">
        <v>1664.8236999999999</v>
      </c>
      <c r="H295" s="2">
        <v>190</v>
      </c>
      <c r="I295" s="2">
        <v>2</v>
      </c>
      <c r="J295" s="1">
        <v>1664.7795000000001</v>
      </c>
      <c r="K295" s="1">
        <v>833.41909999999996</v>
      </c>
      <c r="L295" s="9" t="s">
        <v>341</v>
      </c>
      <c r="M295" s="2">
        <v>6.22</v>
      </c>
      <c r="N295" s="4">
        <v>7580.34</v>
      </c>
      <c r="O295" s="1">
        <v>-26.517270842484894</v>
      </c>
      <c r="P295" s="6">
        <v>41.5</v>
      </c>
      <c r="Q295" s="6">
        <v>31.7</v>
      </c>
      <c r="R295" s="6">
        <v>9.6</v>
      </c>
      <c r="S295" s="6">
        <v>11</v>
      </c>
      <c r="T295" s="5">
        <v>5.8999999999999999E-3</v>
      </c>
      <c r="U295" s="1">
        <v>-4.4200000000000003E-2</v>
      </c>
      <c r="V295" s="1">
        <v>3.6046999999999998</v>
      </c>
    </row>
    <row r="296" spans="1:22" x14ac:dyDescent="0.25">
      <c r="A296" s="1">
        <v>0.99460000000000004</v>
      </c>
      <c r="B296" s="9" t="s">
        <v>5292</v>
      </c>
      <c r="C296" s="2">
        <v>4949</v>
      </c>
      <c r="D296" s="2" t="s">
        <v>95</v>
      </c>
      <c r="E296" s="9" t="s">
        <v>1058</v>
      </c>
      <c r="F296" s="9" t="s">
        <v>1059</v>
      </c>
      <c r="G296" s="1">
        <v>1375.6327000000001</v>
      </c>
      <c r="H296" s="2">
        <v>401</v>
      </c>
      <c r="I296" s="2">
        <v>2</v>
      </c>
      <c r="J296" s="1">
        <v>1375.6018999999999</v>
      </c>
      <c r="K296" s="1">
        <v>688.82360000000006</v>
      </c>
      <c r="L296" s="9" t="s">
        <v>1060</v>
      </c>
      <c r="M296" s="2">
        <v>4.3099999999999996</v>
      </c>
      <c r="N296" s="4">
        <v>7594.99</v>
      </c>
      <c r="O296" s="1">
        <v>-22.356957572301528</v>
      </c>
      <c r="P296" s="6">
        <v>29.3</v>
      </c>
      <c r="Q296" s="6">
        <v>20.100000000000001</v>
      </c>
      <c r="R296" s="6">
        <v>9.5</v>
      </c>
      <c r="S296" s="6">
        <v>10.6</v>
      </c>
      <c r="T296" s="5">
        <v>3.8999999999999998E-3</v>
      </c>
      <c r="U296" s="1">
        <v>-3.0800000000000001E-2</v>
      </c>
      <c r="V296" s="1">
        <v>4.5906000000000002</v>
      </c>
    </row>
    <row r="297" spans="1:22" x14ac:dyDescent="0.25">
      <c r="A297" s="1">
        <v>0.95499999999999996</v>
      </c>
      <c r="B297" s="9" t="s">
        <v>5293</v>
      </c>
      <c r="C297" s="2">
        <v>4953</v>
      </c>
      <c r="D297" s="2" t="s">
        <v>146</v>
      </c>
      <c r="E297" s="9" t="s">
        <v>2435</v>
      </c>
      <c r="F297" s="9" t="s">
        <v>290</v>
      </c>
      <c r="G297" s="1">
        <v>1260.6637000000001</v>
      </c>
      <c r="H297" s="2">
        <v>1149</v>
      </c>
      <c r="I297" s="2">
        <v>2</v>
      </c>
      <c r="J297" s="1">
        <v>1260.6302000000001</v>
      </c>
      <c r="K297" s="1">
        <v>631.33910000000003</v>
      </c>
      <c r="L297" s="9" t="s">
        <v>291</v>
      </c>
      <c r="M297" s="2">
        <v>4.75</v>
      </c>
      <c r="N297" s="4">
        <v>7602.34</v>
      </c>
      <c r="O297" s="1">
        <v>-26.530908666990531</v>
      </c>
      <c r="P297" s="6">
        <v>38.4</v>
      </c>
      <c r="Q297" s="6">
        <v>29.3</v>
      </c>
      <c r="R297" s="6">
        <v>10.1</v>
      </c>
      <c r="S297" s="6">
        <v>11.5</v>
      </c>
      <c r="T297" s="5">
        <v>0.11</v>
      </c>
      <c r="U297" s="1">
        <v>-3.3500000000000002E-2</v>
      </c>
      <c r="V297" s="1">
        <v>2.6080999999999999</v>
      </c>
    </row>
    <row r="298" spans="1:22" x14ac:dyDescent="0.25">
      <c r="A298" s="1">
        <v>0.97219999999999995</v>
      </c>
      <c r="B298" s="9" t="s">
        <v>5294</v>
      </c>
      <c r="C298" s="2">
        <v>4955</v>
      </c>
      <c r="D298" s="2" t="s">
        <v>95</v>
      </c>
      <c r="E298" s="9" t="s">
        <v>1067</v>
      </c>
      <c r="F298" s="9" t="s">
        <v>1749</v>
      </c>
      <c r="G298" s="1">
        <v>1378.6806999999999</v>
      </c>
      <c r="H298" s="2">
        <v>75</v>
      </c>
      <c r="I298" s="2">
        <v>2</v>
      </c>
      <c r="J298" s="1">
        <v>1378.6376</v>
      </c>
      <c r="K298" s="1">
        <v>690.34760000000006</v>
      </c>
      <c r="L298" s="9" t="s">
        <v>1069</v>
      </c>
      <c r="M298" s="2">
        <v>4.75</v>
      </c>
      <c r="N298" s="4">
        <v>7602.34</v>
      </c>
      <c r="O298" s="1">
        <v>-31.21615835269073</v>
      </c>
      <c r="P298" s="6">
        <v>30.2</v>
      </c>
      <c r="Q298" s="6">
        <v>23.5</v>
      </c>
      <c r="R298" s="6">
        <v>12</v>
      </c>
      <c r="S298" s="6">
        <v>9</v>
      </c>
      <c r="T298" s="5">
        <v>3.5000000000000003E-2</v>
      </c>
      <c r="U298" s="1">
        <v>-4.3099999999999999E-2</v>
      </c>
      <c r="V298" s="1">
        <v>3.0874999999999999</v>
      </c>
    </row>
    <row r="299" spans="1:22" x14ac:dyDescent="0.25">
      <c r="A299" s="1">
        <v>0.99160000000000004</v>
      </c>
      <c r="B299" s="9" t="s">
        <v>5295</v>
      </c>
      <c r="C299" s="2">
        <v>4962</v>
      </c>
      <c r="D299" s="2" t="s">
        <v>331</v>
      </c>
      <c r="E299" s="9" t="s">
        <v>1649</v>
      </c>
      <c r="F299" s="9" t="s">
        <v>222</v>
      </c>
      <c r="G299" s="1">
        <v>1457.7366999999999</v>
      </c>
      <c r="H299" s="2">
        <v>1272</v>
      </c>
      <c r="I299" s="2">
        <v>2</v>
      </c>
      <c r="J299" s="1">
        <v>1457.6904999999999</v>
      </c>
      <c r="K299" s="1">
        <v>729.87559999999996</v>
      </c>
      <c r="L299" s="9" t="s">
        <v>223</v>
      </c>
      <c r="M299" s="2">
        <v>6</v>
      </c>
      <c r="N299" s="4">
        <v>7621.14</v>
      </c>
      <c r="O299" s="1">
        <v>-31.649228991899438</v>
      </c>
      <c r="P299" s="6">
        <v>41.9</v>
      </c>
      <c r="Q299" s="6">
        <v>30.7</v>
      </c>
      <c r="R299" s="6">
        <v>12.8</v>
      </c>
      <c r="S299" s="6">
        <v>13.1</v>
      </c>
      <c r="T299" s="5">
        <v>1.1000000000000001E-3</v>
      </c>
      <c r="U299" s="1">
        <v>-4.6199999999999998E-2</v>
      </c>
      <c r="V299" s="1">
        <v>4.7812000000000001</v>
      </c>
    </row>
    <row r="300" spans="1:22" x14ac:dyDescent="0.25">
      <c r="A300" s="1">
        <v>0.98629999999999995</v>
      </c>
      <c r="B300" s="9" t="s">
        <v>5296</v>
      </c>
      <c r="C300" s="2">
        <v>4973</v>
      </c>
      <c r="D300" s="2" t="s">
        <v>302</v>
      </c>
      <c r="E300" s="9" t="s">
        <v>5297</v>
      </c>
      <c r="F300" s="9" t="s">
        <v>151</v>
      </c>
      <c r="G300" s="1">
        <v>1398.6737000000001</v>
      </c>
      <c r="H300" s="2">
        <v>192</v>
      </c>
      <c r="I300" s="2">
        <v>2</v>
      </c>
      <c r="J300" s="1">
        <v>1398.6569999999999</v>
      </c>
      <c r="K300" s="1">
        <v>700.34410000000003</v>
      </c>
      <c r="L300" s="9" t="s">
        <v>152</v>
      </c>
      <c r="M300" s="2">
        <v>4.54</v>
      </c>
      <c r="N300" s="4">
        <v>7638.84</v>
      </c>
      <c r="O300" s="1">
        <v>-11.922710564706691</v>
      </c>
      <c r="P300" s="6">
        <v>32.299999999999997</v>
      </c>
      <c r="Q300" s="6">
        <v>22.2</v>
      </c>
      <c r="R300" s="6">
        <v>10.1</v>
      </c>
      <c r="S300" s="6">
        <v>11.3</v>
      </c>
      <c r="T300" s="5">
        <v>2.3E-2</v>
      </c>
      <c r="U300" s="1">
        <v>-1.67E-2</v>
      </c>
      <c r="V300" s="1">
        <v>3.7282999999999999</v>
      </c>
    </row>
    <row r="301" spans="1:22" x14ac:dyDescent="0.25">
      <c r="A301" s="1">
        <v>0.99939999999999996</v>
      </c>
      <c r="B301" s="9" t="s">
        <v>5298</v>
      </c>
      <c r="C301" s="2">
        <v>4977</v>
      </c>
      <c r="D301" s="2" t="s">
        <v>2662</v>
      </c>
      <c r="E301" s="9" t="s">
        <v>635</v>
      </c>
      <c r="F301" s="9" t="s">
        <v>340</v>
      </c>
      <c r="G301" s="1">
        <v>1664.8236999999999</v>
      </c>
      <c r="H301" s="2">
        <v>687</v>
      </c>
      <c r="I301" s="2">
        <v>2</v>
      </c>
      <c r="J301" s="1">
        <v>1664.7737999999999</v>
      </c>
      <c r="K301" s="1">
        <v>833.41909999999996</v>
      </c>
      <c r="L301" s="9" t="s">
        <v>341</v>
      </c>
      <c r="M301" s="2">
        <v>6.22</v>
      </c>
      <c r="N301" s="4">
        <v>7646.19</v>
      </c>
      <c r="O301" s="1">
        <v>-29.936918892307606</v>
      </c>
      <c r="P301" s="6">
        <v>56.4</v>
      </c>
      <c r="Q301" s="6">
        <v>36</v>
      </c>
      <c r="R301" s="6">
        <v>10.4</v>
      </c>
      <c r="S301" s="6">
        <v>11</v>
      </c>
      <c r="T301" s="5">
        <v>1.1E-5</v>
      </c>
      <c r="U301" s="1">
        <v>-4.99E-2</v>
      </c>
      <c r="V301" s="1">
        <v>6.8291000000000004</v>
      </c>
    </row>
    <row r="302" spans="1:22" x14ac:dyDescent="0.25">
      <c r="A302" s="1">
        <v>0.95379999999999998</v>
      </c>
      <c r="B302" s="9" t="s">
        <v>5299</v>
      </c>
      <c r="C302" s="2">
        <v>4982</v>
      </c>
      <c r="D302" s="2" t="s">
        <v>331</v>
      </c>
      <c r="E302" s="9" t="s">
        <v>5300</v>
      </c>
      <c r="F302" s="9" t="s">
        <v>2555</v>
      </c>
      <c r="G302" s="1">
        <v>1448.7257</v>
      </c>
      <c r="H302" s="2">
        <v>688</v>
      </c>
      <c r="I302" s="2">
        <v>2</v>
      </c>
      <c r="J302" s="1">
        <v>1448.6829</v>
      </c>
      <c r="K302" s="1">
        <v>725.37009999999998</v>
      </c>
      <c r="L302" s="9" t="s">
        <v>2556</v>
      </c>
      <c r="M302" s="2">
        <v>4.75</v>
      </c>
      <c r="N302" s="4">
        <v>7653.49</v>
      </c>
      <c r="O302" s="1">
        <v>-29.5021810245556</v>
      </c>
      <c r="P302" s="6">
        <v>37.4</v>
      </c>
      <c r="Q302" s="6">
        <v>29.5</v>
      </c>
      <c r="R302" s="6">
        <v>10.8</v>
      </c>
      <c r="S302" s="6">
        <v>8.5</v>
      </c>
      <c r="T302" s="5">
        <v>4.3999999999999997E-2</v>
      </c>
      <c r="U302" s="1">
        <v>-4.2799999999999998E-2</v>
      </c>
      <c r="V302" s="1">
        <v>2.8182999999999998</v>
      </c>
    </row>
    <row r="303" spans="1:22" x14ac:dyDescent="0.25">
      <c r="A303" s="1">
        <v>0.99709999999999999</v>
      </c>
      <c r="B303" s="9" t="s">
        <v>5301</v>
      </c>
      <c r="C303" s="2">
        <v>4985</v>
      </c>
      <c r="D303" s="2" t="s">
        <v>168</v>
      </c>
      <c r="E303" s="9" t="s">
        <v>1643</v>
      </c>
      <c r="F303" s="9" t="s">
        <v>844</v>
      </c>
      <c r="G303" s="1">
        <v>2051.0796999999998</v>
      </c>
      <c r="H303" s="2">
        <v>689</v>
      </c>
      <c r="I303" s="2">
        <v>3</v>
      </c>
      <c r="J303" s="1">
        <v>2051.0201000000002</v>
      </c>
      <c r="K303" s="1">
        <v>684.70050000000003</v>
      </c>
      <c r="L303" s="9" t="s">
        <v>745</v>
      </c>
      <c r="M303" s="2">
        <v>8.59</v>
      </c>
      <c r="N303" s="4">
        <v>7660.79</v>
      </c>
      <c r="O303" s="1">
        <v>-29.015119262607033</v>
      </c>
      <c r="P303" s="6">
        <v>39.200000000000003</v>
      </c>
      <c r="Q303" s="6">
        <v>29.2</v>
      </c>
      <c r="R303" s="6">
        <v>9.1999999999999993</v>
      </c>
      <c r="S303" s="6">
        <v>11.7</v>
      </c>
      <c r="T303" s="5">
        <v>1.7999999999999999E-2</v>
      </c>
      <c r="U303" s="1">
        <v>-5.96E-2</v>
      </c>
      <c r="V303" s="1">
        <v>3.2964000000000002</v>
      </c>
    </row>
    <row r="304" spans="1:22" x14ac:dyDescent="0.25">
      <c r="A304" s="1">
        <v>0.95909999999999995</v>
      </c>
      <c r="B304" s="9" t="s">
        <v>5302</v>
      </c>
      <c r="C304" s="2">
        <v>4986</v>
      </c>
      <c r="D304" s="2" t="s">
        <v>78</v>
      </c>
      <c r="E304" s="9" t="s">
        <v>622</v>
      </c>
      <c r="F304" s="9" t="s">
        <v>623</v>
      </c>
      <c r="G304" s="1">
        <v>1261.6986999999999</v>
      </c>
      <c r="H304" s="2">
        <v>902</v>
      </c>
      <c r="I304" s="2">
        <v>2</v>
      </c>
      <c r="J304" s="1">
        <v>1261.6514</v>
      </c>
      <c r="K304" s="1">
        <v>631.85659999999996</v>
      </c>
      <c r="L304" s="9" t="s">
        <v>412</v>
      </c>
      <c r="M304" s="2">
        <v>6.22</v>
      </c>
      <c r="N304" s="4">
        <v>7665.04</v>
      </c>
      <c r="O304" s="1">
        <v>-37.429378754609836</v>
      </c>
      <c r="P304" s="6">
        <v>40.5</v>
      </c>
      <c r="Q304" s="6">
        <v>32.5</v>
      </c>
      <c r="R304" s="6">
        <v>12.7</v>
      </c>
      <c r="S304" s="6">
        <v>12.3</v>
      </c>
      <c r="T304" s="5">
        <v>8.5000000000000006E-2</v>
      </c>
      <c r="U304" s="1">
        <v>-4.7300000000000002E-2</v>
      </c>
      <c r="V304" s="1">
        <v>2.6467000000000001</v>
      </c>
    </row>
    <row r="305" spans="1:22" x14ac:dyDescent="0.25">
      <c r="A305" s="1">
        <v>0.98399999999999999</v>
      </c>
      <c r="B305" s="9" t="s">
        <v>5303</v>
      </c>
      <c r="C305" s="2">
        <v>4998</v>
      </c>
      <c r="D305" s="2" t="s">
        <v>702</v>
      </c>
      <c r="E305" s="9" t="s">
        <v>637</v>
      </c>
      <c r="F305" s="9" t="s">
        <v>5304</v>
      </c>
      <c r="G305" s="1">
        <v>1456.7266999999999</v>
      </c>
      <c r="H305" s="2">
        <v>690</v>
      </c>
      <c r="I305" s="2">
        <v>2</v>
      </c>
      <c r="J305" s="1">
        <v>1456.6982</v>
      </c>
      <c r="K305" s="1">
        <v>729.37059999999997</v>
      </c>
      <c r="L305" s="9" t="s">
        <v>745</v>
      </c>
      <c r="M305" s="2">
        <v>6.22</v>
      </c>
      <c r="N305" s="4">
        <v>7682.8</v>
      </c>
      <c r="O305" s="1">
        <v>-19.537392924803935</v>
      </c>
      <c r="P305" s="6">
        <v>36.799999999999997</v>
      </c>
      <c r="Q305" s="6">
        <v>27.1</v>
      </c>
      <c r="R305" s="6">
        <v>12</v>
      </c>
      <c r="S305" s="6">
        <v>11.3</v>
      </c>
      <c r="T305" s="5">
        <v>3.3000000000000002E-2</v>
      </c>
      <c r="U305" s="1">
        <v>-2.8500000000000001E-2</v>
      </c>
      <c r="V305" s="1">
        <v>3.3172000000000001</v>
      </c>
    </row>
    <row r="306" spans="1:22" x14ac:dyDescent="0.25">
      <c r="A306" s="1">
        <v>0.99580000000000002</v>
      </c>
      <c r="B306" s="9" t="s">
        <v>5305</v>
      </c>
      <c r="C306" s="2">
        <v>5033</v>
      </c>
      <c r="D306" s="2" t="s">
        <v>702</v>
      </c>
      <c r="E306" s="9" t="s">
        <v>637</v>
      </c>
      <c r="F306" s="9" t="s">
        <v>5304</v>
      </c>
      <c r="G306" s="1">
        <v>1456.7266999999999</v>
      </c>
      <c r="H306" s="2">
        <v>693</v>
      </c>
      <c r="I306" s="2">
        <v>2</v>
      </c>
      <c r="J306" s="1">
        <v>1456.6952000000001</v>
      </c>
      <c r="K306" s="1">
        <v>729.37059999999997</v>
      </c>
      <c r="L306" s="9" t="s">
        <v>745</v>
      </c>
      <c r="M306" s="2">
        <v>6.22</v>
      </c>
      <c r="N306" s="4">
        <v>7748.5</v>
      </c>
      <c r="O306" s="1">
        <v>-21.593960601099088</v>
      </c>
      <c r="P306" s="6">
        <v>36.6</v>
      </c>
      <c r="Q306" s="6">
        <v>23.8</v>
      </c>
      <c r="R306" s="6">
        <v>12</v>
      </c>
      <c r="S306" s="6">
        <v>10.8</v>
      </c>
      <c r="T306" s="5">
        <v>7.3000000000000001E-3</v>
      </c>
      <c r="U306" s="1">
        <v>-3.15E-2</v>
      </c>
      <c r="V306" s="1">
        <v>4.4606000000000003</v>
      </c>
    </row>
    <row r="307" spans="1:22" x14ac:dyDescent="0.25">
      <c r="A307" s="1">
        <v>0.99280000000000002</v>
      </c>
      <c r="B307" s="9" t="s">
        <v>5306</v>
      </c>
      <c r="C307" s="2">
        <v>5037</v>
      </c>
      <c r="D307" s="2" t="s">
        <v>51</v>
      </c>
      <c r="E307" s="9" t="s">
        <v>1071</v>
      </c>
      <c r="F307" s="9" t="s">
        <v>112</v>
      </c>
      <c r="G307" s="1">
        <v>1157.6367</v>
      </c>
      <c r="H307" s="2">
        <v>1157</v>
      </c>
      <c r="I307" s="2">
        <v>2</v>
      </c>
      <c r="J307" s="1">
        <v>1157.5956000000001</v>
      </c>
      <c r="K307" s="1">
        <v>579.82560000000001</v>
      </c>
      <c r="L307" s="9" t="s">
        <v>113</v>
      </c>
      <c r="M307" s="2">
        <v>4.8600000000000003</v>
      </c>
      <c r="N307" s="4">
        <v>7755.8</v>
      </c>
      <c r="O307" s="1">
        <v>-35.44169143273426</v>
      </c>
      <c r="P307" s="6">
        <v>53.3</v>
      </c>
      <c r="Q307" s="6">
        <v>38.9</v>
      </c>
      <c r="R307" s="6">
        <v>11.7</v>
      </c>
      <c r="S307" s="6">
        <v>11.2</v>
      </c>
      <c r="T307" s="5">
        <v>1.0999999999999999E-2</v>
      </c>
      <c r="U307" s="1">
        <v>-4.1099999999999998E-2</v>
      </c>
      <c r="V307" s="1">
        <v>4.0488</v>
      </c>
    </row>
    <row r="308" spans="1:22" x14ac:dyDescent="0.25">
      <c r="A308" s="1">
        <v>0.99150000000000005</v>
      </c>
      <c r="B308" s="9" t="s">
        <v>5307</v>
      </c>
      <c r="C308" s="2">
        <v>5039</v>
      </c>
      <c r="D308" s="2" t="s">
        <v>1000</v>
      </c>
      <c r="E308" s="9" t="s">
        <v>5308</v>
      </c>
      <c r="F308" s="9" t="s">
        <v>358</v>
      </c>
      <c r="G308" s="1">
        <v>1425.7646999999999</v>
      </c>
      <c r="H308" s="2">
        <v>1158</v>
      </c>
      <c r="I308" s="2">
        <v>2</v>
      </c>
      <c r="J308" s="1">
        <v>1425.7295999999999</v>
      </c>
      <c r="K308" s="1">
        <v>713.88959999999997</v>
      </c>
      <c r="L308" s="9" t="s">
        <v>359</v>
      </c>
      <c r="M308" s="2">
        <v>6</v>
      </c>
      <c r="N308" s="4">
        <v>7755.8</v>
      </c>
      <c r="O308" s="1">
        <v>-24.583633099571699</v>
      </c>
      <c r="P308" s="6">
        <v>45</v>
      </c>
      <c r="Q308" s="6">
        <v>35.700000000000003</v>
      </c>
      <c r="R308" s="6">
        <v>13.3</v>
      </c>
      <c r="S308" s="6">
        <v>13.2</v>
      </c>
      <c r="T308" s="5">
        <v>4.0000000000000001E-3</v>
      </c>
      <c r="U308" s="1">
        <v>-3.5099999999999999E-2</v>
      </c>
      <c r="V308" s="1">
        <v>3.9047999999999998</v>
      </c>
    </row>
    <row r="309" spans="1:22" x14ac:dyDescent="0.25">
      <c r="A309" s="1">
        <v>0.99650000000000005</v>
      </c>
      <c r="B309" s="9" t="s">
        <v>5309</v>
      </c>
      <c r="C309" s="2">
        <v>5043</v>
      </c>
      <c r="D309" s="2" t="s">
        <v>154</v>
      </c>
      <c r="E309" s="9" t="s">
        <v>643</v>
      </c>
      <c r="F309" s="9" t="s">
        <v>4704</v>
      </c>
      <c r="G309" s="1">
        <v>1204.6777</v>
      </c>
      <c r="H309" s="2">
        <v>408</v>
      </c>
      <c r="I309" s="2">
        <v>2</v>
      </c>
      <c r="J309" s="1">
        <v>1204.6287</v>
      </c>
      <c r="K309" s="1">
        <v>603.34609999999998</v>
      </c>
      <c r="L309" s="9" t="s">
        <v>2599</v>
      </c>
      <c r="M309" s="2">
        <v>6.22</v>
      </c>
      <c r="N309" s="4">
        <v>7763.1</v>
      </c>
      <c r="O309" s="1">
        <v>-40.606875556169179</v>
      </c>
      <c r="P309" s="6">
        <v>37</v>
      </c>
      <c r="Q309" s="6">
        <v>28</v>
      </c>
      <c r="R309" s="6">
        <v>12.9</v>
      </c>
      <c r="S309" s="6">
        <v>12.5</v>
      </c>
      <c r="T309" s="5">
        <v>3.7000000000000002E-3</v>
      </c>
      <c r="U309" s="1">
        <v>-4.9000000000000002E-2</v>
      </c>
      <c r="V309" s="1">
        <v>4.6837</v>
      </c>
    </row>
    <row r="310" spans="1:22" x14ac:dyDescent="0.25">
      <c r="A310" s="1">
        <v>0.99960000000000004</v>
      </c>
      <c r="B310" s="9" t="s">
        <v>5310</v>
      </c>
      <c r="C310" s="2">
        <v>5047</v>
      </c>
      <c r="D310" s="2" t="s">
        <v>493</v>
      </c>
      <c r="E310" s="9" t="s">
        <v>618</v>
      </c>
      <c r="F310" s="9" t="s">
        <v>619</v>
      </c>
      <c r="G310" s="1">
        <v>1641.8336999999999</v>
      </c>
      <c r="H310" s="2">
        <v>195</v>
      </c>
      <c r="I310" s="2">
        <v>2</v>
      </c>
      <c r="J310" s="1">
        <v>1641.7981</v>
      </c>
      <c r="K310" s="1">
        <v>821.92409999999995</v>
      </c>
      <c r="L310" s="9" t="s">
        <v>571</v>
      </c>
      <c r="M310" s="2">
        <v>6.76</v>
      </c>
      <c r="N310" s="4">
        <v>7770.4</v>
      </c>
      <c r="O310" s="1">
        <v>-21.656500886152383</v>
      </c>
      <c r="P310" s="6">
        <v>51.9</v>
      </c>
      <c r="Q310" s="6">
        <v>31</v>
      </c>
      <c r="R310" s="6">
        <v>10</v>
      </c>
      <c r="S310" s="6">
        <v>12.8</v>
      </c>
      <c r="T310" s="5">
        <v>2.4E-8</v>
      </c>
      <c r="U310" s="1">
        <v>-3.56E-2</v>
      </c>
      <c r="V310" s="1">
        <v>9.9728999999999992</v>
      </c>
    </row>
    <row r="311" spans="1:22" x14ac:dyDescent="0.25">
      <c r="A311" s="1">
        <v>0.99580000000000002</v>
      </c>
      <c r="B311" s="9" t="s">
        <v>5311</v>
      </c>
      <c r="C311" s="2">
        <v>5049</v>
      </c>
      <c r="D311" s="2" t="s">
        <v>520</v>
      </c>
      <c r="E311" s="9" t="s">
        <v>649</v>
      </c>
      <c r="F311" s="9" t="s">
        <v>650</v>
      </c>
      <c r="G311" s="1">
        <v>1519.7597000000001</v>
      </c>
      <c r="H311" s="2">
        <v>409</v>
      </c>
      <c r="I311" s="2">
        <v>2</v>
      </c>
      <c r="J311" s="1">
        <v>1519.7231999999999</v>
      </c>
      <c r="K311" s="1">
        <v>760.88710000000003</v>
      </c>
      <c r="L311" s="9" t="s">
        <v>296</v>
      </c>
      <c r="M311" s="2">
        <v>4.32</v>
      </c>
      <c r="N311" s="4">
        <v>7777.7</v>
      </c>
      <c r="O311" s="1">
        <v>-23.985161530534555</v>
      </c>
      <c r="P311" s="6">
        <v>36.1</v>
      </c>
      <c r="Q311" s="6">
        <v>22.8</v>
      </c>
      <c r="R311" s="6">
        <v>12.2</v>
      </c>
      <c r="S311" s="6">
        <v>10.1</v>
      </c>
      <c r="T311" s="5">
        <v>1.6000000000000001E-3</v>
      </c>
      <c r="U311" s="1">
        <v>-3.6499999999999998E-2</v>
      </c>
      <c r="V311" s="1">
        <v>4.8917000000000002</v>
      </c>
    </row>
    <row r="312" spans="1:22" x14ac:dyDescent="0.25">
      <c r="A312" s="1">
        <v>0.99929999999999997</v>
      </c>
      <c r="B312" s="9" t="s">
        <v>5312</v>
      </c>
      <c r="C312" s="2">
        <v>5067</v>
      </c>
      <c r="D312" s="2" t="s">
        <v>1145</v>
      </c>
      <c r="E312" s="9" t="s">
        <v>2929</v>
      </c>
      <c r="F312" s="9" t="s">
        <v>2930</v>
      </c>
      <c r="G312" s="1">
        <v>1678.8157000000001</v>
      </c>
      <c r="H312" s="2">
        <v>694</v>
      </c>
      <c r="I312" s="2">
        <v>2</v>
      </c>
      <c r="J312" s="1">
        <v>1678.7819999999999</v>
      </c>
      <c r="K312" s="1">
        <v>840.41510000000005</v>
      </c>
      <c r="L312" s="9" t="s">
        <v>2931</v>
      </c>
      <c r="M312" s="2">
        <v>4.43</v>
      </c>
      <c r="N312" s="4">
        <v>7806.9</v>
      </c>
      <c r="O312" s="1">
        <v>-20.049615957638075</v>
      </c>
      <c r="P312" s="6">
        <v>47.2</v>
      </c>
      <c r="Q312" s="6">
        <v>25.4</v>
      </c>
      <c r="R312" s="6">
        <v>12</v>
      </c>
      <c r="S312" s="6">
        <v>10.6</v>
      </c>
      <c r="T312" s="5">
        <v>2.7E-6</v>
      </c>
      <c r="U312" s="1">
        <v>-3.3700000000000001E-2</v>
      </c>
      <c r="V312" s="1">
        <v>7.6052</v>
      </c>
    </row>
    <row r="313" spans="1:22" x14ac:dyDescent="0.25">
      <c r="A313" s="1">
        <v>0.99909999999999999</v>
      </c>
      <c r="B313" s="9" t="s">
        <v>5313</v>
      </c>
      <c r="C313" s="2">
        <v>5073</v>
      </c>
      <c r="D313" s="2" t="s">
        <v>1603</v>
      </c>
      <c r="E313" s="9" t="s">
        <v>646</v>
      </c>
      <c r="F313" s="9" t="s">
        <v>647</v>
      </c>
      <c r="G313" s="1">
        <v>1601.8516999999999</v>
      </c>
      <c r="H313" s="2">
        <v>695</v>
      </c>
      <c r="I313" s="2">
        <v>2</v>
      </c>
      <c r="J313" s="1">
        <v>1601.8105</v>
      </c>
      <c r="K313" s="1">
        <v>801.93309999999997</v>
      </c>
      <c r="L313" s="9" t="s">
        <v>118</v>
      </c>
      <c r="M313" s="2">
        <v>6.21</v>
      </c>
      <c r="N313" s="4">
        <v>7821.5</v>
      </c>
      <c r="O313" s="1">
        <v>-25.687928332176337</v>
      </c>
      <c r="P313" s="6">
        <v>56.4</v>
      </c>
      <c r="Q313" s="6">
        <v>30.9</v>
      </c>
      <c r="R313" s="6">
        <v>11.4</v>
      </c>
      <c r="S313" s="6">
        <v>8.5</v>
      </c>
      <c r="T313" s="5">
        <v>6.0000000000000002E-5</v>
      </c>
      <c r="U313" s="1">
        <v>-4.1200000000000001E-2</v>
      </c>
      <c r="V313" s="1">
        <v>6.2838000000000003</v>
      </c>
    </row>
    <row r="314" spans="1:22" x14ac:dyDescent="0.25">
      <c r="A314" s="1">
        <v>0.99780000000000002</v>
      </c>
      <c r="B314" s="9" t="s">
        <v>5314</v>
      </c>
      <c r="C314" s="2">
        <v>5077</v>
      </c>
      <c r="D314" s="2" t="s">
        <v>154</v>
      </c>
      <c r="E314" s="9" t="s">
        <v>643</v>
      </c>
      <c r="F314" s="9" t="s">
        <v>4704</v>
      </c>
      <c r="G314" s="1">
        <v>1204.6777</v>
      </c>
      <c r="H314" s="2">
        <v>76</v>
      </c>
      <c r="I314" s="2">
        <v>2</v>
      </c>
      <c r="J314" s="1">
        <v>1204.644</v>
      </c>
      <c r="K314" s="1">
        <v>603.34609999999998</v>
      </c>
      <c r="L314" s="9" t="s">
        <v>2599</v>
      </c>
      <c r="M314" s="2">
        <v>6.22</v>
      </c>
      <c r="N314" s="4">
        <v>7828.8</v>
      </c>
      <c r="O314" s="1">
        <v>-27.927585841691862</v>
      </c>
      <c r="P314" s="6">
        <v>36.200000000000003</v>
      </c>
      <c r="Q314" s="6">
        <v>27</v>
      </c>
      <c r="R314" s="6">
        <v>12</v>
      </c>
      <c r="S314" s="6">
        <v>11.6</v>
      </c>
      <c r="T314" s="5">
        <v>1.9E-3</v>
      </c>
      <c r="U314" s="1">
        <v>-3.3700000000000001E-2</v>
      </c>
      <c r="V314" s="1">
        <v>5.0972</v>
      </c>
    </row>
    <row r="315" spans="1:22" x14ac:dyDescent="0.25">
      <c r="A315" s="1">
        <v>0.99850000000000005</v>
      </c>
      <c r="B315" s="9" t="s">
        <v>5315</v>
      </c>
      <c r="C315" s="2">
        <v>5085</v>
      </c>
      <c r="D315" s="2" t="s">
        <v>423</v>
      </c>
      <c r="E315" s="9" t="s">
        <v>649</v>
      </c>
      <c r="F315" s="9" t="s">
        <v>650</v>
      </c>
      <c r="G315" s="1">
        <v>1519.7597000000001</v>
      </c>
      <c r="H315" s="2">
        <v>411</v>
      </c>
      <c r="I315" s="2">
        <v>2</v>
      </c>
      <c r="J315" s="1">
        <v>1519.7208000000001</v>
      </c>
      <c r="K315" s="1">
        <v>760.88710000000003</v>
      </c>
      <c r="L315" s="9" t="s">
        <v>296</v>
      </c>
      <c r="M315" s="2">
        <v>4.32</v>
      </c>
      <c r="N315" s="4">
        <v>7843.45</v>
      </c>
      <c r="O315" s="1">
        <v>-25.562268042131347</v>
      </c>
      <c r="P315" s="6">
        <v>40.4</v>
      </c>
      <c r="Q315" s="6">
        <v>22.6</v>
      </c>
      <c r="R315" s="6">
        <v>12.7</v>
      </c>
      <c r="S315" s="6">
        <v>10</v>
      </c>
      <c r="T315" s="5">
        <v>7.3999999999999996E-5</v>
      </c>
      <c r="U315" s="1">
        <v>-3.8899999999999997E-2</v>
      </c>
      <c r="V315" s="1">
        <v>6.5759999999999996</v>
      </c>
    </row>
    <row r="316" spans="1:22" x14ac:dyDescent="0.25">
      <c r="A316" s="1">
        <v>0.99960000000000004</v>
      </c>
      <c r="B316" s="9" t="s">
        <v>5316</v>
      </c>
      <c r="C316" s="2">
        <v>5090</v>
      </c>
      <c r="D316" s="2" t="s">
        <v>4051</v>
      </c>
      <c r="E316" s="9" t="s">
        <v>5317</v>
      </c>
      <c r="F316" s="9" t="s">
        <v>420</v>
      </c>
      <c r="G316" s="1">
        <v>2269.2507000000001</v>
      </c>
      <c r="H316" s="2">
        <v>1160</v>
      </c>
      <c r="I316" s="2">
        <v>3</v>
      </c>
      <c r="J316" s="1">
        <v>2269.1810999999998</v>
      </c>
      <c r="K316" s="1">
        <v>757.42420000000004</v>
      </c>
      <c r="L316" s="9" t="s">
        <v>421</v>
      </c>
      <c r="M316" s="2">
        <v>8.59</v>
      </c>
      <c r="N316" s="4">
        <v>7850.75</v>
      </c>
      <c r="O316" s="1">
        <v>-30.630127740835313</v>
      </c>
      <c r="P316" s="6">
        <v>47.8</v>
      </c>
      <c r="Q316" s="6">
        <v>29.8</v>
      </c>
      <c r="R316" s="6">
        <v>11.9</v>
      </c>
      <c r="S316" s="6">
        <v>10.8</v>
      </c>
      <c r="T316" s="5">
        <v>9.7999999999999997E-5</v>
      </c>
      <c r="U316" s="1">
        <v>-6.9599999999999995E-2</v>
      </c>
      <c r="V316" s="1">
        <v>5.8719999999999999</v>
      </c>
    </row>
    <row r="317" spans="1:22" x14ac:dyDescent="0.25">
      <c r="A317" s="1">
        <v>0.98009999999999997</v>
      </c>
      <c r="B317" s="9" t="s">
        <v>5318</v>
      </c>
      <c r="C317" s="2">
        <v>5091</v>
      </c>
      <c r="D317" s="2" t="s">
        <v>141</v>
      </c>
      <c r="E317" s="9" t="s">
        <v>5319</v>
      </c>
      <c r="F317" s="9" t="s">
        <v>498</v>
      </c>
      <c r="G317" s="1">
        <v>1252.6957</v>
      </c>
      <c r="H317" s="2">
        <v>1161</v>
      </c>
      <c r="I317" s="2">
        <v>2</v>
      </c>
      <c r="J317" s="1">
        <v>1252.6364000000001</v>
      </c>
      <c r="K317" s="1">
        <v>627.35509999999999</v>
      </c>
      <c r="L317" s="9" t="s">
        <v>499</v>
      </c>
      <c r="M317" s="2">
        <v>9.76</v>
      </c>
      <c r="N317" s="4">
        <v>7850.75</v>
      </c>
      <c r="O317" s="1">
        <v>-47.261909562861604</v>
      </c>
      <c r="P317" s="6">
        <v>48.7</v>
      </c>
      <c r="Q317" s="6">
        <v>34.200000000000003</v>
      </c>
      <c r="R317" s="6">
        <v>12</v>
      </c>
      <c r="S317" s="6">
        <v>11</v>
      </c>
      <c r="T317" s="5">
        <v>5.8999999999999997E-2</v>
      </c>
      <c r="U317" s="1">
        <v>-5.9299999999999999E-2</v>
      </c>
      <c r="V317" s="1">
        <v>3.2017000000000002</v>
      </c>
    </row>
    <row r="318" spans="1:22" x14ac:dyDescent="0.25">
      <c r="A318" s="1">
        <v>0.99009999999999998</v>
      </c>
      <c r="B318" s="9" t="s">
        <v>5320</v>
      </c>
      <c r="C318" s="2">
        <v>5102</v>
      </c>
      <c r="D318" s="2" t="s">
        <v>78</v>
      </c>
      <c r="E318" s="9" t="s">
        <v>5321</v>
      </c>
      <c r="F318" s="9" t="s">
        <v>5322</v>
      </c>
      <c r="G318" s="1">
        <v>1123.5947000000001</v>
      </c>
      <c r="H318" s="2">
        <v>198</v>
      </c>
      <c r="I318" s="2">
        <v>2</v>
      </c>
      <c r="J318" s="1">
        <v>1123.5534</v>
      </c>
      <c r="K318" s="1">
        <v>562.80460000000005</v>
      </c>
      <c r="L318" s="9" t="s">
        <v>5323</v>
      </c>
      <c r="M318" s="2">
        <v>8.75</v>
      </c>
      <c r="N318" s="4">
        <v>7872.65</v>
      </c>
      <c r="O318" s="1">
        <v>-36.691242395673385</v>
      </c>
      <c r="P318" s="6">
        <v>38.700000000000003</v>
      </c>
      <c r="Q318" s="6">
        <v>29.1</v>
      </c>
      <c r="R318" s="6">
        <v>11.9</v>
      </c>
      <c r="S318" s="6">
        <v>10.1</v>
      </c>
      <c r="T318" s="5">
        <v>2.1000000000000001E-2</v>
      </c>
      <c r="U318" s="1">
        <v>-4.1300000000000003E-2</v>
      </c>
      <c r="V318" s="1">
        <v>3.6097999999999999</v>
      </c>
    </row>
    <row r="319" spans="1:22" x14ac:dyDescent="0.25">
      <c r="A319" s="1">
        <v>0.99870000000000003</v>
      </c>
      <c r="B319" s="9" t="s">
        <v>5324</v>
      </c>
      <c r="C319" s="2">
        <v>5107</v>
      </c>
      <c r="D319" s="2" t="s">
        <v>178</v>
      </c>
      <c r="E319" s="9" t="s">
        <v>654</v>
      </c>
      <c r="F319" s="9" t="s">
        <v>655</v>
      </c>
      <c r="G319" s="1">
        <v>1740.8217</v>
      </c>
      <c r="H319" s="2">
        <v>199</v>
      </c>
      <c r="I319" s="2">
        <v>2</v>
      </c>
      <c r="J319" s="1">
        <v>1740.7842000000001</v>
      </c>
      <c r="K319" s="1">
        <v>871.41809999999998</v>
      </c>
      <c r="L319" s="9" t="s">
        <v>412</v>
      </c>
      <c r="M319" s="2">
        <v>6.22</v>
      </c>
      <c r="N319" s="4">
        <v>7879.95</v>
      </c>
      <c r="O319" s="1">
        <v>-21.516651995178893</v>
      </c>
      <c r="P319" s="6">
        <v>37.9</v>
      </c>
      <c r="Q319" s="6">
        <v>23.8</v>
      </c>
      <c r="R319" s="6">
        <v>8.4</v>
      </c>
      <c r="S319" s="6">
        <v>10.8</v>
      </c>
      <c r="T319" s="5">
        <v>2.9999999999999997E-4</v>
      </c>
      <c r="U319" s="1">
        <v>-3.7499999999999999E-2</v>
      </c>
      <c r="V319" s="1">
        <v>5.6505999999999998</v>
      </c>
    </row>
    <row r="320" spans="1:22" x14ac:dyDescent="0.25">
      <c r="A320" s="1">
        <v>0.995</v>
      </c>
      <c r="B320" s="9" t="s">
        <v>5325</v>
      </c>
      <c r="C320" s="2">
        <v>5113</v>
      </c>
      <c r="D320" s="2" t="s">
        <v>154</v>
      </c>
      <c r="E320" s="9" t="s">
        <v>643</v>
      </c>
      <c r="F320" s="9" t="s">
        <v>4704</v>
      </c>
      <c r="G320" s="1">
        <v>1204.6777</v>
      </c>
      <c r="H320" s="2">
        <v>78</v>
      </c>
      <c r="I320" s="2">
        <v>2</v>
      </c>
      <c r="J320" s="1">
        <v>1204.6466</v>
      </c>
      <c r="K320" s="1">
        <v>603.34609999999998</v>
      </c>
      <c r="L320" s="9" t="s">
        <v>2599</v>
      </c>
      <c r="M320" s="2">
        <v>6.22</v>
      </c>
      <c r="N320" s="4">
        <v>7894.55</v>
      </c>
      <c r="O320" s="1">
        <v>-25.772935301976762</v>
      </c>
      <c r="P320" s="6">
        <v>36.1</v>
      </c>
      <c r="Q320" s="6">
        <v>27</v>
      </c>
      <c r="R320" s="6">
        <v>11.9</v>
      </c>
      <c r="S320" s="6">
        <v>11.5</v>
      </c>
      <c r="T320" s="5">
        <v>9.7999999999999997E-3</v>
      </c>
      <c r="U320" s="1">
        <v>-3.1099999999999999E-2</v>
      </c>
      <c r="V320" s="1">
        <v>4.2112999999999996</v>
      </c>
    </row>
    <row r="321" spans="1:22" x14ac:dyDescent="0.25">
      <c r="A321" s="1">
        <v>0.96989999999999998</v>
      </c>
      <c r="B321" s="9" t="s">
        <v>5326</v>
      </c>
      <c r="C321" s="2">
        <v>5117</v>
      </c>
      <c r="D321" s="2" t="s">
        <v>302</v>
      </c>
      <c r="E321" s="9" t="s">
        <v>637</v>
      </c>
      <c r="F321" s="9" t="s">
        <v>5304</v>
      </c>
      <c r="G321" s="1">
        <v>1456.7266999999999</v>
      </c>
      <c r="H321" s="2">
        <v>200</v>
      </c>
      <c r="I321" s="2">
        <v>2</v>
      </c>
      <c r="J321" s="1">
        <v>1456.7014999999999</v>
      </c>
      <c r="K321" s="1">
        <v>729.37059999999997</v>
      </c>
      <c r="L321" s="9" t="s">
        <v>745</v>
      </c>
      <c r="M321" s="2">
        <v>6.22</v>
      </c>
      <c r="N321" s="4">
        <v>7901.85</v>
      </c>
      <c r="O321" s="1">
        <v>-17.27516848087927</v>
      </c>
      <c r="P321" s="6">
        <v>32.9</v>
      </c>
      <c r="Q321" s="6">
        <v>22.8</v>
      </c>
      <c r="R321" s="6">
        <v>11.2</v>
      </c>
      <c r="S321" s="6">
        <v>7.9</v>
      </c>
      <c r="T321" s="5">
        <v>0.16</v>
      </c>
      <c r="U321" s="1">
        <v>-2.52E-2</v>
      </c>
      <c r="V321" s="1">
        <v>2.7650999999999999</v>
      </c>
    </row>
    <row r="322" spans="1:22" x14ac:dyDescent="0.25">
      <c r="A322" s="1">
        <v>0.98899999999999999</v>
      </c>
      <c r="B322" s="9" t="s">
        <v>5327</v>
      </c>
      <c r="C322" s="2">
        <v>5121</v>
      </c>
      <c r="D322" s="2" t="s">
        <v>141</v>
      </c>
      <c r="E322" s="9" t="s">
        <v>5328</v>
      </c>
      <c r="F322" s="9" t="s">
        <v>112</v>
      </c>
      <c r="G322" s="1">
        <v>1228.6737000000001</v>
      </c>
      <c r="H322" s="2">
        <v>79</v>
      </c>
      <c r="I322" s="2">
        <v>2</v>
      </c>
      <c r="J322" s="1">
        <v>1228.6359</v>
      </c>
      <c r="K322" s="1">
        <v>615.34410000000003</v>
      </c>
      <c r="L322" s="9" t="s">
        <v>113</v>
      </c>
      <c r="M322" s="2">
        <v>4.8600000000000003</v>
      </c>
      <c r="N322" s="4">
        <v>7909.15</v>
      </c>
      <c r="O322" s="1">
        <v>-30.714522167353191</v>
      </c>
      <c r="P322" s="6">
        <v>46</v>
      </c>
      <c r="Q322" s="6">
        <v>34.799999999999997</v>
      </c>
      <c r="R322" s="6">
        <v>12.4</v>
      </c>
      <c r="S322" s="6">
        <v>10.3</v>
      </c>
      <c r="T322" s="5">
        <v>1.7999999999999999E-2</v>
      </c>
      <c r="U322" s="1">
        <v>-3.78E-2</v>
      </c>
      <c r="V322" s="1">
        <v>3.5125999999999999</v>
      </c>
    </row>
    <row r="323" spans="1:22" x14ac:dyDescent="0.25">
      <c r="A323" s="1">
        <v>0.96689999999999998</v>
      </c>
      <c r="B323" s="9" t="s">
        <v>5329</v>
      </c>
      <c r="C323" s="2">
        <v>5125</v>
      </c>
      <c r="D323" s="2" t="s">
        <v>250</v>
      </c>
      <c r="E323" s="9" t="s">
        <v>1078</v>
      </c>
      <c r="F323" s="9" t="s">
        <v>1079</v>
      </c>
      <c r="G323" s="1">
        <v>1196.5567000000001</v>
      </c>
      <c r="H323" s="2">
        <v>413</v>
      </c>
      <c r="I323" s="2">
        <v>2</v>
      </c>
      <c r="J323" s="1">
        <v>1196.5327</v>
      </c>
      <c r="K323" s="1">
        <v>599.28560000000004</v>
      </c>
      <c r="L323" s="9" t="s">
        <v>1080</v>
      </c>
      <c r="M323" s="2">
        <v>4.75</v>
      </c>
      <c r="N323" s="4">
        <v>7916.45</v>
      </c>
      <c r="O323" s="1">
        <v>-20.023841720875655</v>
      </c>
      <c r="P323" s="6">
        <v>30.3</v>
      </c>
      <c r="Q323" s="6">
        <v>24.1</v>
      </c>
      <c r="R323" s="6">
        <v>12.1</v>
      </c>
      <c r="S323" s="6">
        <v>12.2</v>
      </c>
      <c r="T323" s="5">
        <v>5.8999999999999997E-2</v>
      </c>
      <c r="U323" s="1">
        <v>-2.4E-2</v>
      </c>
      <c r="V323" s="1">
        <v>3.0007999999999999</v>
      </c>
    </row>
    <row r="324" spans="1:22" x14ac:dyDescent="0.25">
      <c r="A324" s="1">
        <v>0.99839999999999995</v>
      </c>
      <c r="B324" s="9" t="s">
        <v>5330</v>
      </c>
      <c r="C324" s="2">
        <v>5143</v>
      </c>
      <c r="D324" s="2" t="s">
        <v>280</v>
      </c>
      <c r="E324" s="9" t="s">
        <v>5331</v>
      </c>
      <c r="F324" s="9" t="s">
        <v>5332</v>
      </c>
      <c r="G324" s="1">
        <v>1566.8117</v>
      </c>
      <c r="H324" s="2">
        <v>201</v>
      </c>
      <c r="I324" s="2">
        <v>2</v>
      </c>
      <c r="J324" s="1">
        <v>1566.7936</v>
      </c>
      <c r="K324" s="1">
        <v>784.41309999999999</v>
      </c>
      <c r="L324" s="9" t="s">
        <v>5333</v>
      </c>
      <c r="M324" s="2">
        <v>5.51</v>
      </c>
      <c r="N324" s="4">
        <v>7945.65</v>
      </c>
      <c r="O324" s="1">
        <v>-11.537288196742253</v>
      </c>
      <c r="P324" s="6">
        <v>46.1</v>
      </c>
      <c r="Q324" s="6">
        <v>26.8</v>
      </c>
      <c r="R324" s="6">
        <v>11.6</v>
      </c>
      <c r="S324" s="6">
        <v>14</v>
      </c>
      <c r="T324" s="5">
        <v>8.8999999999999995E-4</v>
      </c>
      <c r="U324" s="1">
        <v>-1.8100000000000002E-2</v>
      </c>
      <c r="V324" s="1">
        <v>5.3749000000000002</v>
      </c>
    </row>
    <row r="325" spans="1:22" x14ac:dyDescent="0.25">
      <c r="A325" s="1">
        <v>0.996</v>
      </c>
      <c r="B325" s="9" t="s">
        <v>5334</v>
      </c>
      <c r="C325" s="2">
        <v>5149</v>
      </c>
      <c r="D325" s="2" t="s">
        <v>154</v>
      </c>
      <c r="E325" s="9" t="s">
        <v>643</v>
      </c>
      <c r="F325" s="9" t="s">
        <v>4704</v>
      </c>
      <c r="G325" s="1">
        <v>1204.6777</v>
      </c>
      <c r="H325" s="2">
        <v>82</v>
      </c>
      <c r="I325" s="2">
        <v>2</v>
      </c>
      <c r="J325" s="1">
        <v>1204.6514999999999</v>
      </c>
      <c r="K325" s="1">
        <v>603.34609999999998</v>
      </c>
      <c r="L325" s="9" t="s">
        <v>2599</v>
      </c>
      <c r="M325" s="2">
        <v>6.22</v>
      </c>
      <c r="N325" s="4">
        <v>7960.25</v>
      </c>
      <c r="O325" s="1">
        <v>-21.712247746359843</v>
      </c>
      <c r="P325" s="6">
        <v>36.5</v>
      </c>
      <c r="Q325" s="6">
        <v>27.3</v>
      </c>
      <c r="R325" s="6">
        <v>11.9</v>
      </c>
      <c r="S325" s="6">
        <v>12.3</v>
      </c>
      <c r="T325" s="5">
        <v>6.3E-3</v>
      </c>
      <c r="U325" s="1">
        <v>-2.6200000000000001E-2</v>
      </c>
      <c r="V325" s="1">
        <v>4.4467999999999996</v>
      </c>
    </row>
    <row r="326" spans="1:22" x14ac:dyDescent="0.25">
      <c r="A326" s="1">
        <v>0.99839999999999995</v>
      </c>
      <c r="B326" s="9" t="s">
        <v>5335</v>
      </c>
      <c r="C326" s="2">
        <v>5153</v>
      </c>
      <c r="D326" s="2" t="s">
        <v>702</v>
      </c>
      <c r="E326" s="9" t="s">
        <v>637</v>
      </c>
      <c r="F326" s="9" t="s">
        <v>513</v>
      </c>
      <c r="G326" s="1">
        <v>1456.7266999999999</v>
      </c>
      <c r="H326" s="2">
        <v>83</v>
      </c>
      <c r="I326" s="2">
        <v>2</v>
      </c>
      <c r="J326" s="1">
        <v>1456.7121999999999</v>
      </c>
      <c r="K326" s="1">
        <v>729.37059999999997</v>
      </c>
      <c r="L326" s="9" t="s">
        <v>514</v>
      </c>
      <c r="M326" s="2">
        <v>6.22</v>
      </c>
      <c r="N326" s="4">
        <v>7967.55</v>
      </c>
      <c r="O326" s="1">
        <v>-9.9400771020932304</v>
      </c>
      <c r="P326" s="6">
        <v>35.6</v>
      </c>
      <c r="Q326" s="6">
        <v>23.2</v>
      </c>
      <c r="R326" s="6">
        <v>11.4</v>
      </c>
      <c r="S326" s="6">
        <v>8.4</v>
      </c>
      <c r="T326" s="5">
        <v>7.2999999999999996E-4</v>
      </c>
      <c r="U326" s="1">
        <v>-1.4500000000000001E-2</v>
      </c>
      <c r="V326" s="1">
        <v>5.5646000000000004</v>
      </c>
    </row>
    <row r="327" spans="1:22" x14ac:dyDescent="0.25">
      <c r="A327" s="1">
        <v>0.96830000000000005</v>
      </c>
      <c r="B327" s="9" t="s">
        <v>5336</v>
      </c>
      <c r="C327" s="2">
        <v>5185</v>
      </c>
      <c r="D327" s="2" t="s">
        <v>396</v>
      </c>
      <c r="E327" s="9" t="s">
        <v>643</v>
      </c>
      <c r="F327" s="9" t="s">
        <v>623</v>
      </c>
      <c r="G327" s="1">
        <v>1204.6777</v>
      </c>
      <c r="H327" s="2">
        <v>702</v>
      </c>
      <c r="I327" s="2">
        <v>2</v>
      </c>
      <c r="J327" s="1">
        <v>1204.6742999999999</v>
      </c>
      <c r="K327" s="1">
        <v>603.34609999999998</v>
      </c>
      <c r="L327" s="9" t="s">
        <v>412</v>
      </c>
      <c r="M327" s="2">
        <v>6.22</v>
      </c>
      <c r="N327" s="4">
        <v>8025.95</v>
      </c>
      <c r="O327" s="1">
        <v>-2.8176199365505137</v>
      </c>
      <c r="P327" s="6">
        <v>42.3</v>
      </c>
      <c r="Q327" s="6">
        <v>33.299999999999997</v>
      </c>
      <c r="R327" s="6">
        <v>11.6</v>
      </c>
      <c r="S327" s="6">
        <v>11.2</v>
      </c>
      <c r="T327" s="5">
        <v>9.1999999999999998E-2</v>
      </c>
      <c r="U327" s="1">
        <v>-3.3999999999999998E-3</v>
      </c>
      <c r="V327" s="1">
        <v>2.8073000000000001</v>
      </c>
    </row>
    <row r="328" spans="1:22" x14ac:dyDescent="0.25">
      <c r="A328" s="1">
        <v>0.98209999999999997</v>
      </c>
      <c r="B328" s="9" t="s">
        <v>5337</v>
      </c>
      <c r="C328" s="2">
        <v>5220</v>
      </c>
      <c r="D328" s="2" t="s">
        <v>260</v>
      </c>
      <c r="E328" s="9" t="s">
        <v>643</v>
      </c>
      <c r="F328" s="9" t="s">
        <v>4704</v>
      </c>
      <c r="G328" s="1">
        <v>1204.6777</v>
      </c>
      <c r="H328" s="2">
        <v>416</v>
      </c>
      <c r="I328" s="2">
        <v>2</v>
      </c>
      <c r="J328" s="1">
        <v>1204.6481000000001</v>
      </c>
      <c r="K328" s="1">
        <v>603.34609999999998</v>
      </c>
      <c r="L328" s="9" t="s">
        <v>2599</v>
      </c>
      <c r="M328" s="2">
        <v>6.22</v>
      </c>
      <c r="N328" s="4">
        <v>8089.6</v>
      </c>
      <c r="O328" s="1">
        <v>-24.529867682910361</v>
      </c>
      <c r="P328" s="6">
        <v>33.799999999999997</v>
      </c>
      <c r="Q328" s="6">
        <v>26.4</v>
      </c>
      <c r="R328" s="6">
        <v>12.3</v>
      </c>
      <c r="S328" s="6">
        <v>12.2</v>
      </c>
      <c r="T328" s="5">
        <v>4.5999999999999999E-2</v>
      </c>
      <c r="U328" s="1">
        <v>-2.9600000000000001E-2</v>
      </c>
      <c r="V328" s="1">
        <v>3.2098</v>
      </c>
    </row>
    <row r="329" spans="1:22" x14ac:dyDescent="0.25">
      <c r="A329" s="1">
        <v>0.99719999999999998</v>
      </c>
      <c r="B329" s="9" t="s">
        <v>5338</v>
      </c>
      <c r="C329" s="2">
        <v>5231</v>
      </c>
      <c r="D329" s="2" t="s">
        <v>1000</v>
      </c>
      <c r="E329" s="9" t="s">
        <v>5339</v>
      </c>
      <c r="F329" s="9" t="s">
        <v>328</v>
      </c>
      <c r="G329" s="1">
        <v>1577.7466999999999</v>
      </c>
      <c r="H329" s="2">
        <v>703</v>
      </c>
      <c r="I329" s="2">
        <v>2</v>
      </c>
      <c r="J329" s="1">
        <v>1577.71</v>
      </c>
      <c r="K329" s="1">
        <v>789.88059999999996</v>
      </c>
      <c r="L329" s="9" t="s">
        <v>329</v>
      </c>
      <c r="M329" s="2">
        <v>4.43</v>
      </c>
      <c r="N329" s="4">
        <v>8109.46</v>
      </c>
      <c r="O329" s="1">
        <v>-23.231359271262015</v>
      </c>
      <c r="P329" s="6">
        <v>42.6</v>
      </c>
      <c r="Q329" s="6">
        <v>28.5</v>
      </c>
      <c r="R329" s="6">
        <v>10.6</v>
      </c>
      <c r="S329" s="6">
        <v>11</v>
      </c>
      <c r="T329" s="5">
        <v>6.8999999999999997E-4</v>
      </c>
      <c r="U329" s="1">
        <v>-3.6700000000000003E-2</v>
      </c>
      <c r="V329" s="1">
        <v>5.2907000000000002</v>
      </c>
    </row>
    <row r="330" spans="1:22" x14ac:dyDescent="0.25">
      <c r="A330" s="1">
        <v>0.97750000000000004</v>
      </c>
      <c r="B330" s="9" t="s">
        <v>5340</v>
      </c>
      <c r="C330" s="2">
        <v>5256</v>
      </c>
      <c r="D330" s="2" t="s">
        <v>69</v>
      </c>
      <c r="E330" s="9" t="s">
        <v>643</v>
      </c>
      <c r="F330" s="9" t="s">
        <v>623</v>
      </c>
      <c r="G330" s="1">
        <v>1204.6777</v>
      </c>
      <c r="H330" s="2">
        <v>833</v>
      </c>
      <c r="I330" s="2">
        <v>2</v>
      </c>
      <c r="J330" s="1">
        <v>1204.6388999999999</v>
      </c>
      <c r="K330" s="1">
        <v>603.34609999999998</v>
      </c>
      <c r="L330" s="9" t="s">
        <v>412</v>
      </c>
      <c r="M330" s="2">
        <v>6.22</v>
      </c>
      <c r="N330" s="4">
        <v>8155.65</v>
      </c>
      <c r="O330" s="1">
        <v>-32.154015746517636</v>
      </c>
      <c r="P330" s="6">
        <v>39.799999999999997</v>
      </c>
      <c r="Q330" s="6">
        <v>32.4</v>
      </c>
      <c r="R330" s="6">
        <v>12.1</v>
      </c>
      <c r="S330" s="6">
        <v>11.6</v>
      </c>
      <c r="T330" s="5">
        <v>4.2000000000000003E-2</v>
      </c>
      <c r="U330" s="1">
        <v>-3.8800000000000001E-2</v>
      </c>
      <c r="V330" s="1">
        <v>3.0823</v>
      </c>
    </row>
    <row r="331" spans="1:22" x14ac:dyDescent="0.25">
      <c r="A331" s="1">
        <v>0.99939999999999996</v>
      </c>
      <c r="B331" s="9" t="s">
        <v>5341</v>
      </c>
      <c r="C331" s="2">
        <v>5261</v>
      </c>
      <c r="D331" s="2" t="s">
        <v>5342</v>
      </c>
      <c r="E331" s="9" t="s">
        <v>5343</v>
      </c>
      <c r="F331" s="9" t="s">
        <v>5344</v>
      </c>
      <c r="G331" s="1">
        <v>1694.8626999999999</v>
      </c>
      <c r="H331" s="2">
        <v>709</v>
      </c>
      <c r="I331" s="2">
        <v>2</v>
      </c>
      <c r="J331" s="1">
        <v>1694.7999</v>
      </c>
      <c r="K331" s="1">
        <v>848.43859999999995</v>
      </c>
      <c r="L331" s="9" t="s">
        <v>3325</v>
      </c>
      <c r="M331" s="2">
        <v>4.9400000000000004</v>
      </c>
      <c r="N331" s="4">
        <v>8160.81</v>
      </c>
      <c r="O331" s="1">
        <v>-37.00916012072058</v>
      </c>
      <c r="P331" s="6">
        <v>64.8</v>
      </c>
      <c r="Q331" s="6">
        <v>31.5</v>
      </c>
      <c r="R331" s="6">
        <v>11.4</v>
      </c>
      <c r="S331" s="6">
        <v>10.7</v>
      </c>
      <c r="T331" s="5">
        <v>2.3000000000000001E-8</v>
      </c>
      <c r="U331" s="1">
        <v>-6.2799999999999995E-2</v>
      </c>
      <c r="V331" s="1">
        <v>10.485200000000001</v>
      </c>
    </row>
    <row r="332" spans="1:22" x14ac:dyDescent="0.25">
      <c r="A332" s="1">
        <v>0.99839999999999995</v>
      </c>
      <c r="B332" s="9" t="s">
        <v>5345</v>
      </c>
      <c r="C332" s="2">
        <v>5270</v>
      </c>
      <c r="D332" s="2" t="s">
        <v>331</v>
      </c>
      <c r="E332" s="9" t="s">
        <v>5346</v>
      </c>
      <c r="F332" s="9" t="s">
        <v>2889</v>
      </c>
      <c r="G332" s="1">
        <v>1480.8107</v>
      </c>
      <c r="H332" s="2">
        <v>1171</v>
      </c>
      <c r="I332" s="2">
        <v>2</v>
      </c>
      <c r="J332" s="1">
        <v>1480.7572</v>
      </c>
      <c r="K332" s="1">
        <v>741.4126</v>
      </c>
      <c r="L332" s="9" t="s">
        <v>2890</v>
      </c>
      <c r="M332" s="2">
        <v>6.74</v>
      </c>
      <c r="N332" s="4">
        <v>8175.41</v>
      </c>
      <c r="O332" s="1">
        <v>-36.079775283020545</v>
      </c>
      <c r="P332" s="6">
        <v>43.2</v>
      </c>
      <c r="Q332" s="6">
        <v>28.4</v>
      </c>
      <c r="R332" s="6">
        <v>10.1</v>
      </c>
      <c r="S332" s="6">
        <v>13.7</v>
      </c>
      <c r="T332" s="5">
        <v>2.5000000000000001E-4</v>
      </c>
      <c r="U332" s="1">
        <v>-5.3499999999999999E-2</v>
      </c>
      <c r="V332" s="1">
        <v>5.8132000000000001</v>
      </c>
    </row>
    <row r="333" spans="1:22" x14ac:dyDescent="0.25">
      <c r="A333" s="1">
        <v>0.99409999999999998</v>
      </c>
      <c r="B333" s="9" t="s">
        <v>5347</v>
      </c>
      <c r="C333" s="2">
        <v>5272</v>
      </c>
      <c r="D333" s="2" t="s">
        <v>311</v>
      </c>
      <c r="E333" s="9" t="s">
        <v>1707</v>
      </c>
      <c r="F333" s="9" t="s">
        <v>90</v>
      </c>
      <c r="G333" s="1">
        <v>1439.7807</v>
      </c>
      <c r="H333" s="2">
        <v>1172</v>
      </c>
      <c r="I333" s="2">
        <v>2</v>
      </c>
      <c r="J333" s="1">
        <v>1439.7482</v>
      </c>
      <c r="K333" s="1">
        <v>720.89760000000001</v>
      </c>
      <c r="L333" s="9" t="s">
        <v>91</v>
      </c>
      <c r="M333" s="2">
        <v>6</v>
      </c>
      <c r="N333" s="4">
        <v>8182.71</v>
      </c>
      <c r="O333" s="1">
        <v>-22.541342903624592</v>
      </c>
      <c r="P333" s="6">
        <v>38.200000000000003</v>
      </c>
      <c r="Q333" s="6">
        <v>26.4</v>
      </c>
      <c r="R333" s="6">
        <v>12.7</v>
      </c>
      <c r="S333" s="6">
        <v>13.3</v>
      </c>
      <c r="T333" s="5">
        <v>5.4999999999999997E-3</v>
      </c>
      <c r="U333" s="1">
        <v>-3.2500000000000001E-2</v>
      </c>
      <c r="V333" s="1">
        <v>4.2298999999999998</v>
      </c>
    </row>
    <row r="334" spans="1:22" x14ac:dyDescent="0.25">
      <c r="A334" s="1">
        <v>0.99619999999999997</v>
      </c>
      <c r="B334" s="9" t="s">
        <v>5348</v>
      </c>
      <c r="C334" s="2">
        <v>5290</v>
      </c>
      <c r="D334" s="2" t="s">
        <v>69</v>
      </c>
      <c r="E334" s="9" t="s">
        <v>643</v>
      </c>
      <c r="F334" s="9" t="s">
        <v>4704</v>
      </c>
      <c r="G334" s="1">
        <v>1204.6777</v>
      </c>
      <c r="H334" s="2">
        <v>417</v>
      </c>
      <c r="I334" s="2">
        <v>2</v>
      </c>
      <c r="J334" s="1">
        <v>1204.6224</v>
      </c>
      <c r="K334" s="1">
        <v>603.34609999999998</v>
      </c>
      <c r="L334" s="9" t="s">
        <v>2599</v>
      </c>
      <c r="M334" s="2">
        <v>6.22</v>
      </c>
      <c r="N334" s="4">
        <v>8215.11</v>
      </c>
      <c r="O334" s="1">
        <v>-45.827759556248061</v>
      </c>
      <c r="P334" s="6">
        <v>40.200000000000003</v>
      </c>
      <c r="Q334" s="6">
        <v>29.2</v>
      </c>
      <c r="R334" s="6">
        <v>12.4</v>
      </c>
      <c r="S334" s="6">
        <v>12</v>
      </c>
      <c r="T334" s="5">
        <v>6.0000000000000001E-3</v>
      </c>
      <c r="U334" s="1">
        <v>-5.5300000000000002E-2</v>
      </c>
      <c r="V334" s="1">
        <v>4.5879000000000003</v>
      </c>
    </row>
    <row r="335" spans="1:22" x14ac:dyDescent="0.25">
      <c r="A335" s="1">
        <v>0.99829999999999997</v>
      </c>
      <c r="B335" s="9" t="s">
        <v>5349</v>
      </c>
      <c r="C335" s="2">
        <v>5295</v>
      </c>
      <c r="D335" s="2" t="s">
        <v>270</v>
      </c>
      <c r="E335" s="9" t="s">
        <v>1703</v>
      </c>
      <c r="F335" s="9" t="s">
        <v>90</v>
      </c>
      <c r="G335" s="1">
        <v>1581.8547000000001</v>
      </c>
      <c r="H335" s="2">
        <v>1174</v>
      </c>
      <c r="I335" s="2">
        <v>2</v>
      </c>
      <c r="J335" s="1">
        <v>1581.8000999999999</v>
      </c>
      <c r="K335" s="1">
        <v>791.93460000000005</v>
      </c>
      <c r="L335" s="9" t="s">
        <v>91</v>
      </c>
      <c r="M335" s="2">
        <v>6</v>
      </c>
      <c r="N335" s="4">
        <v>8222.41</v>
      </c>
      <c r="O335" s="1">
        <v>-34.472543566097507</v>
      </c>
      <c r="P335" s="6">
        <v>44.3</v>
      </c>
      <c r="Q335" s="6">
        <v>26.1</v>
      </c>
      <c r="R335" s="6">
        <v>13.5</v>
      </c>
      <c r="S335" s="6">
        <v>10.199999999999999</v>
      </c>
      <c r="T335" s="5">
        <v>2.5999999999999998E-4</v>
      </c>
      <c r="U335" s="1">
        <v>-5.4600000000000003E-2</v>
      </c>
      <c r="V335" s="1">
        <v>5.6867000000000001</v>
      </c>
    </row>
    <row r="336" spans="1:22" x14ac:dyDescent="0.25">
      <c r="A336" s="1">
        <v>0.95350000000000001</v>
      </c>
      <c r="B336" s="9" t="s">
        <v>5350</v>
      </c>
      <c r="C336" s="2">
        <v>5296</v>
      </c>
      <c r="D336" s="2" t="s">
        <v>302</v>
      </c>
      <c r="E336" s="9" t="s">
        <v>5351</v>
      </c>
      <c r="F336" s="9" t="s">
        <v>5352</v>
      </c>
      <c r="G336" s="1">
        <v>1260.6817000000001</v>
      </c>
      <c r="H336" s="2">
        <v>1175</v>
      </c>
      <c r="I336" s="2">
        <v>2</v>
      </c>
      <c r="J336" s="1">
        <v>1260.6406999999999</v>
      </c>
      <c r="K336" s="1">
        <v>631.34810000000004</v>
      </c>
      <c r="L336" s="9" t="s">
        <v>1907</v>
      </c>
      <c r="M336" s="2">
        <v>6.22</v>
      </c>
      <c r="N336" s="4">
        <v>8222.41</v>
      </c>
      <c r="O336" s="1">
        <v>-32.470201462552907</v>
      </c>
      <c r="P336" s="6">
        <v>33.700000000000003</v>
      </c>
      <c r="Q336" s="6">
        <v>26.2</v>
      </c>
      <c r="R336" s="6">
        <v>9.6999999999999993</v>
      </c>
      <c r="S336" s="6">
        <v>8.1999999999999993</v>
      </c>
      <c r="T336" s="5">
        <v>0.1</v>
      </c>
      <c r="U336" s="1">
        <v>-4.1000000000000002E-2</v>
      </c>
      <c r="V336" s="1">
        <v>2.5844</v>
      </c>
    </row>
    <row r="337" spans="1:22" x14ac:dyDescent="0.25">
      <c r="A337" s="1">
        <v>0.99719999999999998</v>
      </c>
      <c r="B337" s="9" t="s">
        <v>5353</v>
      </c>
      <c r="C337" s="2">
        <v>5306</v>
      </c>
      <c r="D337" s="2" t="s">
        <v>1000</v>
      </c>
      <c r="E337" s="9" t="s">
        <v>1707</v>
      </c>
      <c r="F337" s="9" t="s">
        <v>90</v>
      </c>
      <c r="G337" s="1">
        <v>1439.7807</v>
      </c>
      <c r="H337" s="2">
        <v>1176</v>
      </c>
      <c r="I337" s="2">
        <v>2</v>
      </c>
      <c r="J337" s="1">
        <v>1439.7532000000001</v>
      </c>
      <c r="K337" s="1">
        <v>720.89760000000001</v>
      </c>
      <c r="L337" s="9" t="s">
        <v>91</v>
      </c>
      <c r="M337" s="2">
        <v>6</v>
      </c>
      <c r="N337" s="4">
        <v>8244.31</v>
      </c>
      <c r="O337" s="1">
        <v>-19.073443995374653</v>
      </c>
      <c r="P337" s="6">
        <v>45</v>
      </c>
      <c r="Q337" s="6">
        <v>30.4</v>
      </c>
      <c r="R337" s="6">
        <v>13.4</v>
      </c>
      <c r="S337" s="6">
        <v>13.1</v>
      </c>
      <c r="T337" s="5">
        <v>1.1000000000000001E-3</v>
      </c>
      <c r="U337" s="1">
        <v>-2.75E-2</v>
      </c>
      <c r="V337" s="1">
        <v>5.0450999999999997</v>
      </c>
    </row>
    <row r="338" spans="1:22" x14ac:dyDescent="0.25">
      <c r="A338" s="1">
        <v>0.96730000000000005</v>
      </c>
      <c r="B338" s="9" t="s">
        <v>5354</v>
      </c>
      <c r="C338" s="2">
        <v>5328</v>
      </c>
      <c r="D338" s="2" t="s">
        <v>302</v>
      </c>
      <c r="E338" s="9" t="s">
        <v>5351</v>
      </c>
      <c r="F338" s="9" t="s">
        <v>5355</v>
      </c>
      <c r="G338" s="1">
        <v>1260.6817000000001</v>
      </c>
      <c r="H338" s="2">
        <v>875</v>
      </c>
      <c r="I338" s="2">
        <v>2</v>
      </c>
      <c r="J338" s="1">
        <v>1260.6485</v>
      </c>
      <c r="K338" s="1">
        <v>631.34810000000004</v>
      </c>
      <c r="L338" s="9" t="s">
        <v>1907</v>
      </c>
      <c r="M338" s="2">
        <v>6.22</v>
      </c>
      <c r="N338" s="4">
        <v>8285.26</v>
      </c>
      <c r="O338" s="1">
        <v>-26.292943623335525</v>
      </c>
      <c r="P338" s="6">
        <v>35.9</v>
      </c>
      <c r="Q338" s="6">
        <v>27.3</v>
      </c>
      <c r="R338" s="6">
        <v>11.8</v>
      </c>
      <c r="S338" s="6">
        <v>10.5</v>
      </c>
      <c r="T338" s="5">
        <v>7.4999999999999997E-2</v>
      </c>
      <c r="U338" s="1">
        <v>-3.32E-2</v>
      </c>
      <c r="V338" s="1">
        <v>2.8052000000000001</v>
      </c>
    </row>
    <row r="339" spans="1:22" x14ac:dyDescent="0.25">
      <c r="A339" s="1">
        <v>0.99550000000000005</v>
      </c>
      <c r="B339" s="9" t="s">
        <v>5356</v>
      </c>
      <c r="C339" s="2">
        <v>5343</v>
      </c>
      <c r="D339" s="2" t="s">
        <v>311</v>
      </c>
      <c r="E339" s="9" t="s">
        <v>1707</v>
      </c>
      <c r="F339" s="9" t="s">
        <v>90</v>
      </c>
      <c r="G339" s="1">
        <v>1439.7807</v>
      </c>
      <c r="H339" s="2">
        <v>1433</v>
      </c>
      <c r="I339" s="2">
        <v>2</v>
      </c>
      <c r="J339" s="1">
        <v>1439.7406000000001</v>
      </c>
      <c r="K339" s="1">
        <v>720.89760000000001</v>
      </c>
      <c r="L339" s="9" t="s">
        <v>91</v>
      </c>
      <c r="M339" s="2">
        <v>6</v>
      </c>
      <c r="N339" s="4">
        <v>8310.31</v>
      </c>
      <c r="O339" s="1">
        <v>-27.812549244164494</v>
      </c>
      <c r="P339" s="6">
        <v>38.299999999999997</v>
      </c>
      <c r="Q339" s="6">
        <v>27.4</v>
      </c>
      <c r="R339" s="6">
        <v>13.2</v>
      </c>
      <c r="S339" s="6">
        <v>13.1</v>
      </c>
      <c r="T339" s="5">
        <v>3.3E-4</v>
      </c>
      <c r="U339" s="1">
        <v>-4.0099999999999997E-2</v>
      </c>
      <c r="V339" s="1">
        <v>5.4170999999999996</v>
      </c>
    </row>
    <row r="340" spans="1:22" x14ac:dyDescent="0.25">
      <c r="A340" s="1">
        <v>0.99370000000000003</v>
      </c>
      <c r="B340" s="9" t="s">
        <v>5357</v>
      </c>
      <c r="C340" s="2">
        <v>5368</v>
      </c>
      <c r="D340" s="2" t="s">
        <v>451</v>
      </c>
      <c r="E340" s="9" t="s">
        <v>5358</v>
      </c>
      <c r="F340" s="9" t="s">
        <v>5359</v>
      </c>
      <c r="G340" s="1">
        <v>1574.8197</v>
      </c>
      <c r="H340" s="2">
        <v>1274</v>
      </c>
      <c r="I340" s="2">
        <v>2</v>
      </c>
      <c r="J340" s="1">
        <v>1574.7755</v>
      </c>
      <c r="K340" s="1">
        <v>788.4171</v>
      </c>
      <c r="L340" s="9" t="s">
        <v>5360</v>
      </c>
      <c r="M340" s="2">
        <v>8.19</v>
      </c>
      <c r="N340" s="4">
        <v>8356.41</v>
      </c>
      <c r="O340" s="1">
        <v>-28.030848138631189</v>
      </c>
      <c r="P340" s="6">
        <v>39.9</v>
      </c>
      <c r="Q340" s="6">
        <v>23.8</v>
      </c>
      <c r="R340" s="6">
        <v>12</v>
      </c>
      <c r="S340" s="6">
        <v>10.1</v>
      </c>
      <c r="T340" s="5">
        <v>3.4000000000000002E-4</v>
      </c>
      <c r="U340" s="1">
        <v>-4.4200000000000003E-2</v>
      </c>
      <c r="V340" s="1">
        <v>5.5407000000000002</v>
      </c>
    </row>
    <row r="341" spans="1:22" x14ac:dyDescent="0.25">
      <c r="A341" s="1">
        <v>0.96989999999999998</v>
      </c>
      <c r="B341" s="9" t="s">
        <v>5361</v>
      </c>
      <c r="C341" s="2">
        <v>5396</v>
      </c>
      <c r="D341" s="2" t="s">
        <v>260</v>
      </c>
      <c r="E341" s="9" t="s">
        <v>5362</v>
      </c>
      <c r="F341" s="9" t="s">
        <v>1593</v>
      </c>
      <c r="G341" s="1">
        <v>1118.5677000000001</v>
      </c>
      <c r="H341" s="2">
        <v>715</v>
      </c>
      <c r="I341" s="2">
        <v>2</v>
      </c>
      <c r="J341" s="1">
        <v>1118.539</v>
      </c>
      <c r="K341" s="1">
        <v>560.29110000000003</v>
      </c>
      <c r="L341" s="9" t="s">
        <v>1594</v>
      </c>
      <c r="M341" s="2">
        <v>4.5999999999999996</v>
      </c>
      <c r="N341" s="4">
        <v>8404.4599999999991</v>
      </c>
      <c r="O341" s="1">
        <v>-25.611686496537246</v>
      </c>
      <c r="P341" s="6">
        <v>32.6</v>
      </c>
      <c r="Q341" s="6">
        <v>25.4</v>
      </c>
      <c r="R341" s="6">
        <v>12.2</v>
      </c>
      <c r="S341" s="6">
        <v>10.9</v>
      </c>
      <c r="T341" s="5">
        <v>9.2999999999999999E-2</v>
      </c>
      <c r="U341" s="1">
        <v>-2.87E-2</v>
      </c>
      <c r="V341" s="1">
        <v>2.8447</v>
      </c>
    </row>
    <row r="342" spans="1:22" x14ac:dyDescent="0.25">
      <c r="A342" s="1">
        <v>0.99750000000000005</v>
      </c>
      <c r="B342" s="9" t="s">
        <v>5363</v>
      </c>
      <c r="C342" s="2">
        <v>5423</v>
      </c>
      <c r="D342" s="2" t="s">
        <v>178</v>
      </c>
      <c r="E342" s="9" t="s">
        <v>1725</v>
      </c>
      <c r="F342" s="9" t="s">
        <v>788</v>
      </c>
      <c r="G342" s="1">
        <v>1592.8197</v>
      </c>
      <c r="H342" s="2">
        <v>718</v>
      </c>
      <c r="I342" s="2">
        <v>2</v>
      </c>
      <c r="J342" s="1">
        <v>1592.7744</v>
      </c>
      <c r="K342" s="1">
        <v>797.4171</v>
      </c>
      <c r="L342" s="9" t="s">
        <v>789</v>
      </c>
      <c r="M342" s="2">
        <v>4.75</v>
      </c>
      <c r="N342" s="4">
        <v>8449.41</v>
      </c>
      <c r="O342" s="1">
        <v>-28.404206531312159</v>
      </c>
      <c r="P342" s="6">
        <v>39.4</v>
      </c>
      <c r="Q342" s="6">
        <v>25.9</v>
      </c>
      <c r="R342" s="6">
        <v>10</v>
      </c>
      <c r="S342" s="6">
        <v>12.3</v>
      </c>
      <c r="T342" s="5">
        <v>3.8999999999999999E-4</v>
      </c>
      <c r="U342" s="1">
        <v>-4.53E-2</v>
      </c>
      <c r="V342" s="1">
        <v>5.4036999999999997</v>
      </c>
    </row>
    <row r="343" spans="1:22" x14ac:dyDescent="0.25">
      <c r="A343" s="1">
        <v>0.97209999999999996</v>
      </c>
      <c r="B343" s="9" t="s">
        <v>5364</v>
      </c>
      <c r="C343" s="2">
        <v>5463</v>
      </c>
      <c r="D343" s="2" t="s">
        <v>458</v>
      </c>
      <c r="E343" s="9" t="s">
        <v>5365</v>
      </c>
      <c r="F343" s="9" t="s">
        <v>5366</v>
      </c>
      <c r="G343" s="1">
        <v>1488.7927</v>
      </c>
      <c r="H343" s="2">
        <v>90</v>
      </c>
      <c r="I343" s="2">
        <v>2</v>
      </c>
      <c r="J343" s="1">
        <v>1488.7527</v>
      </c>
      <c r="K343" s="1">
        <v>745.40359999999998</v>
      </c>
      <c r="L343" s="9" t="s">
        <v>5367</v>
      </c>
      <c r="M343" s="2">
        <v>6.22</v>
      </c>
      <c r="N343" s="4">
        <v>8523.56</v>
      </c>
      <c r="O343" s="1">
        <v>-26.831101969456547</v>
      </c>
      <c r="P343" s="6">
        <v>26.8</v>
      </c>
      <c r="Q343" s="6">
        <v>20</v>
      </c>
      <c r="R343" s="6">
        <v>10.6</v>
      </c>
      <c r="S343" s="6">
        <v>11.3</v>
      </c>
      <c r="T343" s="5">
        <v>5.6000000000000001E-2</v>
      </c>
      <c r="U343" s="1">
        <v>-0.04</v>
      </c>
      <c r="V343" s="1">
        <v>2.8050999999999999</v>
      </c>
    </row>
    <row r="344" spans="1:22" x14ac:dyDescent="0.25">
      <c r="A344" s="1">
        <v>0.99139999999999995</v>
      </c>
      <c r="B344" s="9" t="s">
        <v>5368</v>
      </c>
      <c r="C344" s="2">
        <v>5529</v>
      </c>
      <c r="D344" s="2" t="s">
        <v>423</v>
      </c>
      <c r="E344" s="9" t="s">
        <v>5369</v>
      </c>
      <c r="F344" s="9" t="s">
        <v>5239</v>
      </c>
      <c r="G344" s="1">
        <v>1627.8467000000001</v>
      </c>
      <c r="H344" s="2">
        <v>204</v>
      </c>
      <c r="I344" s="2">
        <v>2</v>
      </c>
      <c r="J344" s="1">
        <v>1627.8143</v>
      </c>
      <c r="K344" s="1">
        <v>814.93060000000003</v>
      </c>
      <c r="L344" s="9" t="s">
        <v>5240</v>
      </c>
      <c r="M344" s="2">
        <v>5.37</v>
      </c>
      <c r="N344" s="4">
        <v>8640.6200000000008</v>
      </c>
      <c r="O344" s="1">
        <v>-19.878993376859327</v>
      </c>
      <c r="P344" s="6">
        <v>36.700000000000003</v>
      </c>
      <c r="Q344" s="6">
        <v>23.8</v>
      </c>
      <c r="R344" s="6">
        <v>12.1</v>
      </c>
      <c r="S344" s="6">
        <v>10.8</v>
      </c>
      <c r="T344" s="5">
        <v>1.9E-2</v>
      </c>
      <c r="U344" s="1">
        <v>-3.2399999999999998E-2</v>
      </c>
      <c r="V344" s="1">
        <v>3.7185999999999999</v>
      </c>
    </row>
    <row r="345" spans="1:22" x14ac:dyDescent="0.25">
      <c r="A345" s="1">
        <v>0.99819999999999998</v>
      </c>
      <c r="B345" s="9" t="s">
        <v>5370</v>
      </c>
      <c r="C345" s="2">
        <v>5599</v>
      </c>
      <c r="D345" s="2" t="s">
        <v>2045</v>
      </c>
      <c r="E345" s="9" t="s">
        <v>5371</v>
      </c>
      <c r="F345" s="9" t="s">
        <v>5372</v>
      </c>
      <c r="G345" s="1">
        <v>1425.8377</v>
      </c>
      <c r="H345" s="2">
        <v>206</v>
      </c>
      <c r="I345" s="2">
        <v>2</v>
      </c>
      <c r="J345" s="1">
        <v>1425.7831000000001</v>
      </c>
      <c r="K345" s="1">
        <v>713.92610000000002</v>
      </c>
      <c r="L345" s="9" t="s">
        <v>5373</v>
      </c>
      <c r="M345" s="2">
        <v>8.75</v>
      </c>
      <c r="N345" s="4">
        <v>8767.02</v>
      </c>
      <c r="O345" s="1">
        <v>-38.239251933778576</v>
      </c>
      <c r="P345" s="6">
        <v>46.6</v>
      </c>
      <c r="Q345" s="6">
        <v>29</v>
      </c>
      <c r="R345" s="6">
        <v>8.6999999999999993</v>
      </c>
      <c r="S345" s="6">
        <v>7.8</v>
      </c>
      <c r="T345" s="5">
        <v>1.1999999999999999E-3</v>
      </c>
      <c r="U345" s="1">
        <v>-5.4600000000000003E-2</v>
      </c>
      <c r="V345" s="1">
        <v>5.2507999999999999</v>
      </c>
    </row>
  </sheetData>
  <mergeCells count="1">
    <mergeCell ref="A2:I2"/>
  </mergeCells>
  <phoneticPr fontId="21" type="noConversion"/>
  <hyperlinks>
    <hyperlink ref="J1" location="'Supplementary Table 2'!A1" display="back to index"/>
  </hyperlinks>
  <pageMargins left="0.39000000000000007" right="0.39000000000000007" top="0.39000000000000007" bottom="0.39000000000000007" header="0" footer="0"/>
  <pageSetup orientation="landscape" r:id="rId1"/>
  <ignoredErrors>
    <ignoredError sqref="A5:N345 A4:N4 P4:V4 P5:V345" twoDigitTextYear="1"/>
  </ignoredError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Supplementary Table 2</vt:lpstr>
      <vt:lpstr>MMP1-G</vt:lpstr>
      <vt:lpstr>MMP2-G</vt:lpstr>
      <vt:lpstr>MMP3-G</vt:lpstr>
      <vt:lpstr>MMP7-G</vt:lpstr>
      <vt:lpstr>MMP8-G</vt:lpstr>
      <vt:lpstr>MMP9-G</vt:lpstr>
      <vt:lpstr>MMP12-G</vt:lpstr>
      <vt:lpstr>MMP13-G</vt:lpstr>
      <vt:lpstr>MMP14-G</vt:lpstr>
      <vt:lpstr>'Supplementary Table 2'!Print_Area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Ulrich</dc:creator>
  <cp:lastModifiedBy>Ulrich ECKHARD</cp:lastModifiedBy>
  <cp:lastPrinted>2014-07-25T02:52:44Z</cp:lastPrinted>
  <dcterms:created xsi:type="dcterms:W3CDTF">2014-07-10T19:43:11Z</dcterms:created>
  <dcterms:modified xsi:type="dcterms:W3CDTF">2015-09-17T20:47:38Z</dcterms:modified>
</cp:coreProperties>
</file>